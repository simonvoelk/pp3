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filterPrivacy="1" codeName="DieseArbeitsmappe" defaultThemeVersion="124226"/>
  <xr:revisionPtr revIDLastSave="0" documentId="13_ncr:1_{65F3EB16-05F2-41AB-891F-ABB10AF5444D}" xr6:coauthVersionLast="47" xr6:coauthVersionMax="47" xr10:uidLastSave="{00000000-0000-0000-0000-000000000000}"/>
  <bookViews>
    <workbookView xWindow="-120" yWindow="-120" windowWidth="29040" windowHeight="15990" activeTab="1" xr2:uid="{00000000-000D-0000-FFFF-FFFF00000000}"/>
  </bookViews>
  <sheets>
    <sheet name="History" sheetId="1" r:id="rId1"/>
    <sheet name="SXU ALP+" sheetId="5" r:id="rId2"/>
  </sheets>
  <externalReferences>
    <externalReference r:id="rId3"/>
  </externalReferences>
  <definedNames>
    <definedName name="_xlnm._FilterDatabase" localSheetId="1" hidden="1">'SXU ALP+'!$A$3:$N$95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5" l="1"/>
  <c r="N6" i="5"/>
  <c r="N7" i="5"/>
  <c r="N8" i="5"/>
  <c r="N9" i="5"/>
  <c r="N10" i="5"/>
  <c r="N11" i="5"/>
  <c r="N13" i="5"/>
  <c r="N14" i="5"/>
  <c r="N15" i="5"/>
  <c r="N16" i="5"/>
  <c r="N12"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4" i="5"/>
  <c r="K30" i="5"/>
  <c r="K82" i="5"/>
  <c r="K81" i="5"/>
  <c r="K80" i="5"/>
  <c r="K79" i="5"/>
  <c r="K78" i="5"/>
  <c r="K73" i="5"/>
  <c r="K72" i="5"/>
  <c r="K71" i="5"/>
  <c r="K70" i="5"/>
  <c r="K69" i="5"/>
</calcChain>
</file>

<file path=xl/sharedStrings.xml><?xml version="1.0" encoding="utf-8"?>
<sst xmlns="http://schemas.openxmlformats.org/spreadsheetml/2006/main" count="788" uniqueCount="584">
  <si>
    <t>Kommentar</t>
  </si>
  <si>
    <t>Datum</t>
  </si>
  <si>
    <t>Name</t>
  </si>
  <si>
    <t>Legende</t>
  </si>
  <si>
    <t>x</t>
  </si>
  <si>
    <t>benötigt</t>
  </si>
  <si>
    <t>-</t>
  </si>
  <si>
    <t>nicht benötigt</t>
  </si>
  <si>
    <t>Keller</t>
  </si>
  <si>
    <r>
      <t>Autor:</t>
    </r>
    <r>
      <rPr>
        <sz val="9"/>
        <rFont val="Arial"/>
        <family val="2"/>
      </rPr>
      <t xml:space="preserve">  </t>
    </r>
  </si>
  <si>
    <t>Freigeber:</t>
  </si>
  <si>
    <t>Komponente</t>
  </si>
  <si>
    <t>Doku Version</t>
  </si>
  <si>
    <t>Interface Version</t>
  </si>
  <si>
    <t>AL_Nr</t>
  </si>
  <si>
    <t>SYS_ID Alarm Status</t>
  </si>
  <si>
    <t>Alarm Name</t>
  </si>
  <si>
    <t>AL Power Limitation Active</t>
  </si>
  <si>
    <t>MMS - AIS / Alarmprotokoll Plus MCS - SXU  Schnittstelle</t>
  </si>
  <si>
    <t>SXU ALP+</t>
  </si>
  <si>
    <t>AL Develop PR Set</t>
  </si>
  <si>
    <t>SD T-Exhaust SCR Inlet 1</t>
  </si>
  <si>
    <t>HI T-Exhaust SCR Inlet 1</t>
  </si>
  <si>
    <t>HIHI T-Exhaust SCR Inlet 1</t>
  </si>
  <si>
    <t>HI T-Exhaust SCR Outlet 1</t>
  </si>
  <si>
    <t>HIHI T-Exhaust SCR Outlet 1</t>
  </si>
  <si>
    <t>SD P-Exhaust SCR Inlet 1</t>
  </si>
  <si>
    <t>SD RA Concentration</t>
  </si>
  <si>
    <t>SD NOx EGAT Inlet 1</t>
  </si>
  <si>
    <t>SD NOx EGAT Outlet 1</t>
  </si>
  <si>
    <t>HI P-Exhaust Diff. SCR  1</t>
  </si>
  <si>
    <t>HIHI P-Exhaust Diff. SCR 1</t>
  </si>
  <si>
    <t>HI RA Concentration</t>
  </si>
  <si>
    <t>HIHI RA Concentration</t>
  </si>
  <si>
    <t>LO RA Concentration</t>
  </si>
  <si>
    <t>LOLO RA Concentration</t>
  </si>
  <si>
    <t>AL CAN1 Node Lost</t>
  </si>
  <si>
    <t>AL CAN2 Node Lost</t>
  </si>
  <si>
    <t>AL Write Error Flash</t>
  </si>
  <si>
    <t>AL_SD_T_Exh_SCRsys_inl_F1</t>
  </si>
  <si>
    <t>AL_HI1_T_Exh_SCRsys_inl_F1</t>
  </si>
  <si>
    <t>AL_HI2_T_Exh_SCRsys_inl_F1</t>
  </si>
  <si>
    <t>AL_HI1_T_Exh_SCRsys_outl_F1</t>
  </si>
  <si>
    <t>AL_HI2_T_Exh_SCRsys_outl_F1</t>
  </si>
  <si>
    <t>AL_SD_dp_Exh_SCRsys_F1</t>
  </si>
  <si>
    <t>AL_SD_p_Exh_SCRsys_inl_F1</t>
  </si>
  <si>
    <t>AL_SD_c_RA</t>
  </si>
  <si>
    <t>AL_SD_T_Exh_SCRsys_outl_F1</t>
  </si>
  <si>
    <t>AL_SD_NOx_EGAT_inl_F1</t>
  </si>
  <si>
    <t>AL_CommLost_NOx_EGAT_inl_F1</t>
  </si>
  <si>
    <t>AL_SD_NOx_EGAT_outl_F1</t>
  </si>
  <si>
    <t>AL_CommLost_NOx_EGAT_outl_F1</t>
  </si>
  <si>
    <t>AL_CommLost_SUDU1</t>
  </si>
  <si>
    <t>AL_HI1_dp_Exh_SCRsys_F1</t>
  </si>
  <si>
    <t>AL_HI2_dp_Exh_SCRsys_F1</t>
  </si>
  <si>
    <t>AL_HI1_c_RA</t>
  </si>
  <si>
    <t>AL_HI2_c_RA</t>
  </si>
  <si>
    <t>AL_LO1_c_RA</t>
  </si>
  <si>
    <t>AL_LO2_c_RA</t>
  </si>
  <si>
    <t>AL_supply_unit_defect_SU1</t>
  </si>
  <si>
    <t>AL_hydraulics_fault_SUDU1</t>
  </si>
  <si>
    <t>AL_CommLost_NH3_EGAT_outl_F1</t>
  </si>
  <si>
    <t>AL_SD_NH3_EGAT_outl_F1</t>
  </si>
  <si>
    <t>AL EGAT Full Bypass Position Fault</t>
  </si>
  <si>
    <t>AL_HI1_p_Exh_SCRsys_inl_F1</t>
  </si>
  <si>
    <t>AL_HI2_p_Exh_SCRsys_inl_F1</t>
  </si>
  <si>
    <t>AL_LO1_U_PowerSupply_SXU</t>
  </si>
  <si>
    <t>AL_LO2_U_PowerSupply_SXU</t>
  </si>
  <si>
    <t>AL_HI1_U_PowerSupply_SXU</t>
  </si>
  <si>
    <t>AL_HI2_U_PowerSupply_SXU</t>
  </si>
  <si>
    <t>AL_HI1_T_SXU</t>
  </si>
  <si>
    <t>AL_SXU_Internal_Error</t>
  </si>
  <si>
    <t>MMS Name</t>
  </si>
  <si>
    <t>SXU</t>
  </si>
  <si>
    <t xml:space="preserve">Connection to a node on CAN bus 1 lost. ==&gt; Check devices connected on CAN </t>
  </si>
  <si>
    <t>Connection to a node on CAN bus 2 lost. ==&gt; Check devices connected on CAN</t>
  </si>
  <si>
    <t>A CAN mode is selected which the communication is initialized aided of the PU data module. However, required PU data module is not present or is not valid. ==&gt; Check the devices connected by CAN</t>
  </si>
  <si>
    <t>During attempt to copy a received PU data module to Flash module, a program error occurred. ==&gt; Electronic service</t>
  </si>
  <si>
    <t xml:space="preserve">CAN Controller 1 is in "Bus Off" state =&gt; Automatic switchover to CAN2   ==&gt;causes e.g. short circuit, massive interference or baud rate incompatibility </t>
  </si>
  <si>
    <t>CAN Controller 1 has signaled a warning. ==&gt; causes e.g. lack of associated nodes, slight interference or short-term bus overload.</t>
  </si>
  <si>
    <t>CAN-Controller 2 is in "Bus Off" state =&gt; Automatic switchover to CAN 1 ==&gt;causes e.g. short circuit, massive interference or baud rate incompatibility.</t>
  </si>
  <si>
    <t>CAN Controller 2 has signaled a warning. ==&gt; causes e.g. lack of associated nodes, slight interference or short-term bus overload.</t>
  </si>
  <si>
    <t>The value can't take over to the flash</t>
  </si>
  <si>
    <t>The used parameter set is a develop parameter set. The alarm remains set until a series parameter set is loaded.</t>
  </si>
  <si>
    <t>Defect of sensor or cabling for the temperature of the exhaust gas at the inlet of the SCR Catalyst has been detected. Inlet means where the exhaust gas stream enters the SCR Catalyst. The number identifies the software measurement value. For the correspo</t>
  </si>
  <si>
    <t>L2 T-Exhaust After SCR flow1 exceeded</t>
  </si>
  <si>
    <t>Sensor P-DiffExhaust at SCR1 defective ==&gt; short circuit or cable breakage ==&gt; Check sensor and cable, if necessary replace it.</t>
  </si>
  <si>
    <t>Any component of the NOx Sensor (NOx detector or O2 detector or heater)  is Short Circuit (FMI = 3) or Open Wire (FMI = 5). See PV 1.0711.062, 1.0711.091, and 1.0711.094 for more information. =&gt; Check sensor, cabling and connectors. Replace if necessary</t>
  </si>
  <si>
    <t xml:space="preserve">Communication to NOx sensor is lost on CAN bus. =&gt; Check sensor, cabling and connectors. Check DCM if available in system. Replace if necessary. </t>
  </si>
  <si>
    <t>Any component of the NOx Sensor (NOx detector or O2 detector or heater)  is Short Circuit (FMI = 3) or Open Wire (FMI = 5). See PV 1.0715.062, 1.0715.091, and 1.0715.094 for more information. =&gt; Check sensor, cabling and connectors. Replace if necessary</t>
  </si>
  <si>
    <t>Communication to NOx sensor is lost on CAN bus. =&gt; Check sensor, cabling and connectors. Check DCM if available in system. Replace if necessary.</t>
  </si>
  <si>
    <t>The ECU has lost the communication to the Diesel Exhaust Fluid (DEF) Dosing System 1. No messages are received from this actuator component. 1 is an identification number representing the position of the actuator component in the system. See system descri</t>
  </si>
  <si>
    <t>Limit 1 for pressure difference of exhaust gas between inlet and outlet of the SCR 1 exceeded. ==&gt; Pressure difference exceeds value of parameter 1.1750.046 ==&gt; Check if SCR 1 is blocked.</t>
  </si>
  <si>
    <t>Limit 2 for pressure difference of exhaust gas between inlet and outlet of the SCR 1 exceeded. ==&gt; Pressure difference exceeds value of parameter 1.1750.047 ==&gt; Check if SCR 1 is blocked.</t>
  </si>
  <si>
    <t>The concentration of the reducing agent for the SCR system (RA quality) is higher as the specified limit 1 (HI1).</t>
  </si>
  <si>
    <t>The concentration of the reducing agent for the SCR system is higher as the specified limit 2 (HI2).</t>
  </si>
  <si>
    <t>The concentration of the reducing agent for the SCR system (RA quality) is lower than the first specified limit (LO1).</t>
  </si>
  <si>
    <t>The concentration of the reducing agent for the SCR system (RA quality) is lower than the second specified limit (LO2).</t>
  </si>
  <si>
    <t xml:space="preserve">An electrical error of the Supply Unit (SU) is reported by the on-board diagnostic system (OBD) of the Diesel Exhaust Fluid (DEF) Dosing System 1 mounted to the SCR catalyst. See PV 1.0721.042 Fault State 1 DEF Doser 1 and PV 1.0721.043 Fault State 2 DEF </t>
  </si>
  <si>
    <t>A hydraulical fault is reported by the on-board diagnostic system (OBD) of the Diesel Exhaust Fluid (DEF) Dosing System 1 mounted to the SCR catalyst. See PV 1.0721.042 Fault State 1 DEF Doser 1 and PV 1.0721.043 Fault State 2 DEF Doser 1 for detailed inf</t>
  </si>
  <si>
    <t>Communication to NH3 sensor is lost on CAN bus. =&gt; Check sensor, cabling and connectors. Check DCM if available in system. Replace if necessary.</t>
  </si>
  <si>
    <t xml:space="preserve"> =&gt; Check sensor, cabling and connectors. Replace if necessary.</t>
  </si>
  <si>
    <t>[TBD]</t>
  </si>
  <si>
    <t xml:space="preserve">The internal temperature of the electronic device SXU of the Exhaust Gas Aftertreatment (EGAT) system has exceeded the specified temperature range for a defined period of time. The electronic device may be damaged. </t>
  </si>
  <si>
    <t>An internal error of the device SXU as part of the Exhaust Gas AfterTreatment (EGAT) system has been detected. See error log for further information. ==&gt; Replace device SXU.</t>
  </si>
  <si>
    <t>HI P-Exhaust SCR Inlet 1</t>
  </si>
  <si>
    <t>LO SXU Power Supply Voltage</t>
  </si>
  <si>
    <t>LOLO SXU Power Supply Voltage</t>
  </si>
  <si>
    <t>HI SXU Power Supply Voltage</t>
  </si>
  <si>
    <t>HIHI SXU Power Supply Voltage</t>
  </si>
  <si>
    <t>HI T-SXU</t>
  </si>
  <si>
    <t>AL SXU Internal Error</t>
  </si>
  <si>
    <t>ZKP</t>
  </si>
  <si>
    <t>AL Power Limitation Active (SXU)</t>
  </si>
  <si>
    <t>Type 2 Var1 Ed_01_00</t>
  </si>
  <si>
    <t>2.0500.180</t>
  </si>
  <si>
    <t>2.0500.181</t>
  </si>
  <si>
    <t>2.0500.183</t>
  </si>
  <si>
    <t>2.0500.184</t>
  </si>
  <si>
    <t>2.0500.186</t>
  </si>
  <si>
    <t>2.0500.187</t>
  </si>
  <si>
    <t>2.0500.188</t>
  </si>
  <si>
    <t>2.0500.189</t>
  </si>
  <si>
    <t>1.8000.208</t>
  </si>
  <si>
    <t>1.8000.216</t>
  </si>
  <si>
    <t>1.0204.900</t>
  </si>
  <si>
    <t>2.0204.901</t>
  </si>
  <si>
    <t>2.0204.902</t>
  </si>
  <si>
    <t>2.0206.901</t>
  </si>
  <si>
    <t>2.0206.902</t>
  </si>
  <si>
    <t>1.0238.902</t>
  </si>
  <si>
    <t>1.0238.901</t>
  </si>
  <si>
    <t>1.0243.901</t>
  </si>
  <si>
    <t>1.0204.903</t>
  </si>
  <si>
    <t>1.0711.951</t>
  </si>
  <si>
    <t>1.0711.952</t>
  </si>
  <si>
    <t>1.0715.951</t>
  </si>
  <si>
    <t>1.0715.952</t>
  </si>
  <si>
    <t>1.0721.951</t>
  </si>
  <si>
    <t>2.0238.901</t>
  </si>
  <si>
    <t>2.0238.902</t>
  </si>
  <si>
    <t>1.1755.900</t>
  </si>
  <si>
    <t>1.1755.902</t>
  </si>
  <si>
    <t>1.1755.904</t>
  </si>
  <si>
    <t>1.1755.906</t>
  </si>
  <si>
    <t>1.0721.954</t>
  </si>
  <si>
    <t>1.0721.955</t>
  </si>
  <si>
    <t>1.0740.952</t>
  </si>
  <si>
    <t>1.0740.951</t>
  </si>
  <si>
    <t>1.9920.951</t>
  </si>
  <si>
    <t>2.0238.957</t>
  </si>
  <si>
    <t>2.0238.958</t>
  </si>
  <si>
    <t>2.0140.953</t>
  </si>
  <si>
    <t>2.0140.954</t>
  </si>
  <si>
    <t>2.0140.955</t>
  </si>
  <si>
    <t>2.0140.956</t>
  </si>
  <si>
    <t>2.0132.951</t>
  </si>
  <si>
    <t>1.0004.951</t>
  </si>
  <si>
    <t>AL_LO1_Level_RA_RA_tank</t>
  </si>
  <si>
    <t>AL_Empty_Level_RA_RA_tank</t>
  </si>
  <si>
    <t>DEF tank level below threshold "low". ==&gt; If necessary, fill up with DEF.  (Alarm Configuration Parameter, for details see PR 2.8008.100)</t>
  </si>
  <si>
    <t>DEF tank level below threshold "very low". ==&gt; If necessary, fill up with DEF.  (Alarm Configuration Parameter, for details see PR 2.8008.100)</t>
  </si>
  <si>
    <t>DEF tank level below threshold "empty". ==&gt; Fill up with DEF.  (Alarm Configuration Parameter, for details see PR 2.8008.100)</t>
  </si>
  <si>
    <t>AL_LO2_Level_RA_RA_tank</t>
  </si>
  <si>
    <t>2.1751.951</t>
  </si>
  <si>
    <t>2.1751.952</t>
  </si>
  <si>
    <t>2.1751.953</t>
  </si>
  <si>
    <t>AL_HI3_c_NH3_EGAT_outl_F1</t>
  </si>
  <si>
    <t>AL_LO1_T_RA_SUDU_F1</t>
  </si>
  <si>
    <t>AL_LO1_p_RA_DU_F1</t>
  </si>
  <si>
    <t>AL_HI1_p_RA_DU_F1</t>
  </si>
  <si>
    <t>AL_SD_p_Exh_SCRsys_inl_F1_rdnt</t>
  </si>
  <si>
    <t>AL_HI3_p_Exh_SCRsys_inl_F1</t>
  </si>
  <si>
    <t>AL Inplausible NOx High Limit3</t>
  </si>
  <si>
    <t>AL_TD_p_Exh_SCRsys_inl_F1</t>
  </si>
  <si>
    <t>AL_electrical_fault_VND</t>
  </si>
  <si>
    <t>AL_electrical_fault_VNC</t>
  </si>
  <si>
    <t>AL_hydraulics_fault_VND</t>
  </si>
  <si>
    <t>AL_hydraulics_fault_VNR</t>
  </si>
  <si>
    <t>1.1708.923</t>
  </si>
  <si>
    <t>2.1702.912</t>
  </si>
  <si>
    <t>2.1702.914</t>
  </si>
  <si>
    <t>2.1702.916</t>
  </si>
  <si>
    <t>1.0239.901</t>
  </si>
  <si>
    <t>2.0238.909</t>
  </si>
  <si>
    <t>1.1605.916</t>
  </si>
  <si>
    <t>2.0238.910</t>
  </si>
  <si>
    <t>1.0721.906</t>
  </si>
  <si>
    <t>1.0721.907</t>
  </si>
  <si>
    <t>1.0721.908</t>
  </si>
  <si>
    <t>1.0721.909</t>
  </si>
  <si>
    <t>AL_HI1_T_RA_SUDU_F1</t>
  </si>
  <si>
    <t>2.1702.930</t>
  </si>
  <si>
    <t>AL DEF temperature at dosers is too high  (Alarm Configuration Parameter, for details see PR 2.8008.100)</t>
  </si>
  <si>
    <t>Neue Alarme aus EDW-Export hinzu. Stand SXU Ed1_2_1 vom 6.9.18</t>
  </si>
  <si>
    <t>The outlet NH3 concentration for the SCR system is higher as the specified limit 3 (HI3).  (Alarm Configuration Parameter, for details see PR 2.8008.100)</t>
  </si>
  <si>
    <t>The temperature (T) of the reducing agent (RA) in the supply unit / dosing unit assembly (SUDU) of exhaust gas flow 1 (F1) is less than the first lower limit (LO1). See PR1D 1.5101.981 and following f</t>
  </si>
  <si>
    <t>The pressure (p) of the reducing agent (RA) in the RA dosing unit (DU) of exhaust gas flow 1 (F1) is less than the first lower limit (LO1). See PR1D 1.5102.001 and following for monitoring configurati</t>
  </si>
  <si>
    <t>The pressure (p) of the reducing agent (RA) in the RA dosing unit (DU) of exhaust gas flow 1 (F1) is greater than the first upper limit (HI1). See PR1D 1.5102.011 and following for monitoring configur</t>
  </si>
  <si>
    <t>Emission alarm active because of too high NOx Limit3  (Alarm Configuration Parameter, for details see PR 2.8008.100)</t>
  </si>
  <si>
    <t>Difference between primary und secondary sensor exceeded ==&gt; Pressure difference exceeds value of parameter 1.5102.072 ==&gt; Check if SCR 1 is blocked.  (Alarm Configuration Parameter, for details see</t>
  </si>
  <si>
    <t>An electrical error of the VND is reported by the on-board diagnostic system (OBD) of the Reducing Agent (RA) Dosing System 1 mounted to the SCR catalyst. See PV 1.0721.045 Fault_state_1_SMA_SUDU1 and</t>
  </si>
  <si>
    <t>An electrical error of the VNC is reported by the on-board diagnostic system (OBD) of the Reducing Agent (RA) Dosing System 1 mounted to the SCR catalyst. See PV 1.0721.045 Fault_state_1_SMA_SUDU1 and</t>
  </si>
  <si>
    <t>A hydraulical fault of the VND is reported by the on-board diagnostic system (OBD) of the Reducing Agent (RA) Dosing System 1 mounted to the SCR catalyst. See PV 1.0721.045 Fault_state_1_SMA_SUDU1 and</t>
  </si>
  <si>
    <t>A hydraulical fault of the VNR is reported by the on-board diagnostic system (OBD) of the Reducing Agent (RA) Dosing System 1 mounted to the SCR catalyst. See PV 1.0721.045 Fault_state_1_SMA_SUDU1 and</t>
  </si>
  <si>
    <t>HIHI P-Exhaust SCR Inlet 1</t>
  </si>
  <si>
    <t>HI Exhaust NOx</t>
  </si>
  <si>
    <t>TD P-Exhaust SCR Inlet 1</t>
  </si>
  <si>
    <t>SD P-Exhaust SCR Red. Inlet 1</t>
  </si>
  <si>
    <t>SD T-Exhaust SCR Outlet 1</t>
  </si>
  <si>
    <t>LO RA Tank Level</t>
  </si>
  <si>
    <t>LOLO RA Tank Level</t>
  </si>
  <si>
    <t>AL RA Tank Level Empty</t>
  </si>
  <si>
    <t>123456789123456789123456789123</t>
  </si>
  <si>
    <t>AL EGAT Bypass Position Fault</t>
  </si>
  <si>
    <t>AL ElectricalFault VND</t>
  </si>
  <si>
    <t>AL ElectricalFault VNC</t>
  </si>
  <si>
    <t>AL HydraulicsFault VND</t>
  </si>
  <si>
    <t>AL HydraulicsFault VNR</t>
  </si>
  <si>
    <t>The SXU Power supply voltage too low (limit 2)..==&gt; Check battery / generator . The Exhaust Gas Aftertreatment (EGAT) System usually is now disabled to prevent unpredictably behaviour of the EGAT</t>
  </si>
  <si>
    <t>The SXU Power supply voltage too high (limit 2)..==&gt; Check battery / generator .</t>
  </si>
  <si>
    <t>The SXU Power supply voltage too high (limit 1)..==&gt; Check battery / generator .</t>
  </si>
  <si>
    <t>The exhaust back pressure before the SCR is too high (limit3). This alarm retriggers the limit2 alarm and usually cause an automatic engine shutdown. The Exhaust Gas Aftertreatment (EGAT) System is usually  disabled now. A worsening situation cloud trigger a engine safety reaction and shutdown the engine!</t>
  </si>
  <si>
    <t>The exhaust back pressure before the SCR is too high (limit2). The Exhaust Gas Aftertreatment (EGAT) System is usually disabled now. A worsening situation cloud trigger a engine safety reaction and shutdown the engine!</t>
  </si>
  <si>
    <t>The exhaust back pressure before the SCR is too high (limit1). A worsening situation could force the system to disable  the Exhaust Gas Aftertreatment (EGAT) System including the Selective Catalytic Reduction (SCR).</t>
  </si>
  <si>
    <t>The SXU Power supply voltage too low (limit 1) ==&gt; Check battery / generator.  A worsening situation could force  the system to disable the Exhaust Gas Aftertreatment (EGAT) System including the Selective Catalytic Reduction (SCR).</t>
  </si>
  <si>
    <t>Redudant Sensor P-Exhaust SCR1 Inlet defect ==&gt; short circuit or cable breakage ==&gt; Check sensor and cable, if necessary replace it.</t>
  </si>
  <si>
    <t>Sensor P-Exhaust SCR1 Inlet defect ==&gt; short circuit or cable breakage ==&gt; Check sensor and cable, if necessary replace it.</t>
  </si>
  <si>
    <t xml:space="preserve">Reducing agent Quality sensor is defect ==&gt; short circuit or cable breakage ==&gt; Check sensor and cable, if necessary replace it. </t>
  </si>
  <si>
    <t>Defect of sensor or cabling for the temperature of the exhaust gas at the inlet of the SCR Catalyst has been detected. Inlet means where the exhaust gas stream enters the SCR Catalyst.</t>
  </si>
  <si>
    <t>Temperatur of Exhaust gas before SCR flow1 is too high (limit1)</t>
  </si>
  <si>
    <t>Temperatur of Exhaust gas before SCR flow1 is too high (limit2)</t>
  </si>
  <si>
    <t>Temperatur of Exhaust gas after SCR flow1 is too high (limit2)</t>
  </si>
  <si>
    <t>0012.050101.105.001.2</t>
  </si>
  <si>
    <t>Farben entfernt. Unnütze Tabellen entfernt</t>
  </si>
  <si>
    <t>SysID von Errcode 1747 "ST_HIHI_SXUPowerSupplyVoltage" war falsch / die selbe Errorcode 1746.
SysID von Errorcode 1743 war ebenfalls falsch</t>
  </si>
  <si>
    <t>Alarm-SysID</t>
  </si>
  <si>
    <t>0012.057405.205.001.2</t>
  </si>
  <si>
    <t>0012.043101.010.001.2</t>
  </si>
  <si>
    <t>0012.006200.215.001.2</t>
  </si>
  <si>
    <t>0012.006200.155.001.2</t>
  </si>
  <si>
    <t>0012.006200.165.001.2</t>
  </si>
  <si>
    <t>0012.006201.155.001.2</t>
  </si>
  <si>
    <t>0012.006201.165.001.2</t>
  </si>
  <si>
    <t>0012.024101.155.001.2</t>
  </si>
  <si>
    <t>0012.006500.215.001.2</t>
  </si>
  <si>
    <t>0012.006502.215.001.2</t>
  </si>
  <si>
    <t>0012.024424.215.001.2</t>
  </si>
  <si>
    <t>0012.006201.215.001.2</t>
  </si>
  <si>
    <t>0012.024404.215.001.2</t>
  </si>
  <si>
    <t>0012.024404.205.001.2</t>
  </si>
  <si>
    <t>0012.024406.215.001.2</t>
  </si>
  <si>
    <t>0012.024406.205.001.2</t>
  </si>
  <si>
    <t>0012.024407.205.001.2</t>
  </si>
  <si>
    <t>0012.006500.155.001.2</t>
  </si>
  <si>
    <t>0012.006500.165.001.2</t>
  </si>
  <si>
    <t>0050.024300.105.011.2</t>
  </si>
  <si>
    <t>0050.024300.115.011.2</t>
  </si>
  <si>
    <t>0050.024300.205.011.2</t>
  </si>
  <si>
    <t>0012.024424.155.001.2</t>
  </si>
  <si>
    <t>0012.024424.165.001.2</t>
  </si>
  <si>
    <t>0012.024424.105.001.2</t>
  </si>
  <si>
    <t>0012.024424.115.001.2</t>
  </si>
  <si>
    <t>0012.089300.205.001.2</t>
  </si>
  <si>
    <t>0012.024425.205.001.2</t>
  </si>
  <si>
    <t>0012.006700.205.001.2</t>
  </si>
  <si>
    <t>0012.006700.215.001.2</t>
  </si>
  <si>
    <t>0012.058600.205.001.2</t>
  </si>
  <si>
    <t>0012.006502.155.001.2</t>
  </si>
  <si>
    <t>0012.006502.165.001.2</t>
  </si>
  <si>
    <t>0012.050101.115.001.2</t>
  </si>
  <si>
    <t>0012.050101.155.001.2</t>
  </si>
  <si>
    <t>0012.050101.165.001.2</t>
  </si>
  <si>
    <t>0012.057300.155.001.2</t>
  </si>
  <si>
    <t>0012.057310.205.001.2</t>
  </si>
  <si>
    <t>0012.006700.155.001.2</t>
  </si>
  <si>
    <t>0012.024101.105.001.2</t>
  </si>
  <si>
    <t>0012.024201.105.001.2</t>
  </si>
  <si>
    <t>0012.024201.155.001.2</t>
  </si>
  <si>
    <t>0012.006503.215.001.2</t>
  </si>
  <si>
    <t>0012.006502.175.001.2</t>
  </si>
  <si>
    <t>0012.006601.155.001.2</t>
  </si>
  <si>
    <t>0012.006502.225.001.2</t>
  </si>
  <si>
    <t>0012.089001.205.001.2</t>
  </si>
  <si>
    <t>0012.089002.205.001.2</t>
  </si>
  <si>
    <t>0012.089003.205.001.2</t>
  </si>
  <si>
    <t>0012.089004.205.001.2</t>
  </si>
  <si>
    <t>ST_LO_SXUPowerSupplyVoltage: Falsche SysID: von 0012.050101.105.001.2 auf 0012.050101.105.000.0 geändert</t>
  </si>
  <si>
    <t>V003</t>
  </si>
  <si>
    <t>V004</t>
  </si>
  <si>
    <t>1.1708.926</t>
  </si>
  <si>
    <t>1.1708.928</t>
  </si>
  <si>
    <t>1.1708.930</t>
  </si>
  <si>
    <t>1.1708.932</t>
  </si>
  <si>
    <t>1.1708.934</t>
  </si>
  <si>
    <t>AL_HI3_load_HC_short_SCRsys</t>
  </si>
  <si>
    <t>AL_HI2_load_HC_long_SCRsys</t>
  </si>
  <si>
    <t>AL_HI3_load_HC_long_SCRsys</t>
  </si>
  <si>
    <t>AL_HI2_c_NH3_EGAT_outl_F1</t>
  </si>
  <si>
    <t>AL_HI1_c_NH3_EGAT_outl_F1</t>
  </si>
  <si>
    <t>The calculated load of HC short in the SCR system exceeded limit 3 which should trigger TM. But TM could not be started because at least one clearance condition  is missing.</t>
  </si>
  <si>
    <t>The calculated load of HC long in the SCR system exceeded limit 2 which should trigger TM. But TM could not be started because at least one clearance condition  is missing.</t>
  </si>
  <si>
    <t>The calculated load of HC long in the SCR system exceeded limit 3 which should trigger TM. But TM could not be started because at least one clearance condition  is missing.</t>
  </si>
  <si>
    <t>The outlet NH3 concentration for the SCR system is higher as the specified limit 2 (HI2).</t>
  </si>
  <si>
    <t>The outlet NH3 concentration for the SCR system is higher as the specified limit 1 (HI1).</t>
  </si>
  <si>
    <t>1.1760.901</t>
  </si>
  <si>
    <t>AL_EmissionComplianceFailure</t>
  </si>
  <si>
    <t>1.1708.912</t>
  </si>
  <si>
    <t>AL_HI1_load_HC_short_SCRsys</t>
  </si>
  <si>
    <t>1.1708.914</t>
  </si>
  <si>
    <t>AL_HI2_load_HC_short_SCRsys</t>
  </si>
  <si>
    <t>1.1708.916</t>
  </si>
  <si>
    <t>AL_HI1_load_HC_long_SCRsys</t>
  </si>
  <si>
    <t>1.1750.903</t>
  </si>
  <si>
    <t>AL_HI1_number_hot_shutdowns_RA_sys</t>
  </si>
  <si>
    <t>1.1605.901</t>
  </si>
  <si>
    <t>AL Inplausible NOx High Limit1</t>
  </si>
  <si>
    <t>1.1605.903</t>
  </si>
  <si>
    <t>AL NOx Alarm Fail Counter</t>
  </si>
  <si>
    <t>1.1605.904</t>
  </si>
  <si>
    <t>AL Inplausible NOx High Limit2</t>
  </si>
  <si>
    <t>1.8012.901</t>
  </si>
  <si>
    <t>AL System Reset by Watchdog</t>
  </si>
  <si>
    <t>2.7001.902</t>
  </si>
  <si>
    <t>AL Power Cut-Off detected</t>
  </si>
  <si>
    <t>2.0500.192</t>
  </si>
  <si>
    <t>AL CAN3 Bus Off</t>
  </si>
  <si>
    <t>2.0500.193</t>
  </si>
  <si>
    <t>AL CAN3 Error Passive</t>
  </si>
  <si>
    <t>2.0500.194</t>
  </si>
  <si>
    <t>AL CAN4 Bus Off</t>
  </si>
  <si>
    <t>2.0500.195</t>
  </si>
  <si>
    <t>AL CAN4 Error Passive</t>
  </si>
  <si>
    <t>0012.089000.205.001.2</t>
  </si>
  <si>
    <t>0012.006700.175.001.2</t>
  </si>
  <si>
    <t>0012.006700.165.001.2</t>
  </si>
  <si>
    <t>0012.089006.245.001.2</t>
  </si>
  <si>
    <t>0012.089005.155.001.2</t>
  </si>
  <si>
    <t>HI SCR HC1 Deposition</t>
  </si>
  <si>
    <t>HIHI SCR HC1 Deposition</t>
  </si>
  <si>
    <t>HI SCR HC2 Deposition</t>
  </si>
  <si>
    <t>0012.089204.155.001.2</t>
  </si>
  <si>
    <t>HIHI SCR HC2 Deposition</t>
  </si>
  <si>
    <t>0012.089204.175.001.2</t>
  </si>
  <si>
    <t>0012.089203.175.001.2</t>
  </si>
  <si>
    <t>0012.089203.155.001.2</t>
  </si>
  <si>
    <t>0012.089203.165.001.2</t>
  </si>
  <si>
    <t>Neue Alarme aus SXU C-Muster. Stand gemäß MMS Vorgabe "SmartAGN - Plant Interface - Alarms SXU" vom 11.07.2019</t>
  </si>
  <si>
    <t>V005</t>
  </si>
  <si>
    <t>0012.089204.165.001.2</t>
  </si>
  <si>
    <t>AL_EGAT_BypHndWheelEngaged_Critical</t>
  </si>
  <si>
    <t>Bypass hand wheel is engaged and emergency bypass flap is closed. Manual operation of hand wheel is critical</t>
  </si>
  <si>
    <t>Bypass hand wheel is engaged and emergency bypass flap is open. Manual operation of hand wheel is potentially critical.</t>
  </si>
  <si>
    <t>0012.058602.205.001.2</t>
  </si>
  <si>
    <t>0012.058602.205.011.2</t>
  </si>
  <si>
    <t>V007</t>
  </si>
  <si>
    <t>AL_EGAT_BypHndWheelEngaged</t>
  </si>
  <si>
    <t>1.9920.006</t>
  </si>
  <si>
    <t>1.9920.008</t>
  </si>
  <si>
    <t>Farben gelöscht. Änderungen in grün. Neue Alarme Errorcode 1947,1948 für Handrad des EGAT bypass. Kommt zu SXU D-Muster. BT #13534, MMS/SXU CR780686</t>
  </si>
  <si>
    <t>---</t>
  </si>
  <si>
    <t>Type 1 Var1 Ed_01_00</t>
  </si>
  <si>
    <t>ST_SD_T_ExhaustSCRInlet1SXU</t>
  </si>
  <si>
    <t>ST_HI_T_ExhaustSCRInlet1SXU</t>
  </si>
  <si>
    <t>ST_HIHI_T_ExhaustSCRInlet1SXU</t>
  </si>
  <si>
    <t>ST_HI_T_ExhaustSCROutlet1SXU</t>
  </si>
  <si>
    <t>ST_HIHI_T_ExhaustSCROutlet1SXU</t>
  </si>
  <si>
    <t>ST_HIHI_P_ExhaustDiffSCR1SXU</t>
  </si>
  <si>
    <t>ST_HI_EGAT_HotShutdownCountSXU</t>
  </si>
  <si>
    <t>ST_HI_RA_ConcentrationSXU</t>
  </si>
  <si>
    <t>ST_HIHI_RA_ConcentrationSXU</t>
  </si>
  <si>
    <t>ST_LO_RA_ConcentrationSXU</t>
  </si>
  <si>
    <t>ST_LOLO_RA_ConcentrationSXU</t>
  </si>
  <si>
    <t>ST_AL_HydraulicsFaultSUDU1SXU</t>
  </si>
  <si>
    <t>ST_AL_ComLostNH3_SCROutlet1SXU</t>
  </si>
  <si>
    <t>ST_SD_NH3_SCROutlet1SXU</t>
  </si>
  <si>
    <t>ST_HI_P_ExhaustSCRInlet1SXU</t>
  </si>
  <si>
    <t>ST_HIHI_P_ExhaustSCRInlet1SXU</t>
  </si>
  <si>
    <t>ST_HI_SCR_HC1_DepositionSXU</t>
  </si>
  <si>
    <t>ST_HIHI_SCR_HC1_DepositionSXU</t>
  </si>
  <si>
    <t>ST_HI_SCR_HC2_DepositionSXU</t>
  </si>
  <si>
    <t>ST_HIHIHI_NH3_EGAT_Outlet1SXU</t>
  </si>
  <si>
    <t>ST_LO_T_ReducingAgentSUDU_F1SXU</t>
  </si>
  <si>
    <t>ST_LO_P_ReducingAgentDU_F1SXU</t>
  </si>
  <si>
    <t>ST_HI_P_ReducingAgentDU_F1SXU</t>
  </si>
  <si>
    <t>ST_SD_P_ExhaustSCRRedInlet1SXU</t>
  </si>
  <si>
    <t>ST_HIHIHI_P_ExhaustSCRInlet1SXU</t>
  </si>
  <si>
    <t>ST_HI_Exhaust_NOxSXU</t>
  </si>
  <si>
    <t>ST_TD_P_ExhaustSCRInlet1SXU</t>
  </si>
  <si>
    <t>ST_HIHIHI_SCR_HC1_DepositionSXU</t>
  </si>
  <si>
    <t>ST_HIHI_SCR_HC2_DepositionSXU</t>
  </si>
  <si>
    <t>ST_HIHIHI_SCR_HC2_DepositionSXU</t>
  </si>
  <si>
    <t>ST_HIHI_NH3_EGAT_Outlet1SXU</t>
  </si>
  <si>
    <t>ST_HI_NH3_EGAT_Outlet1SXU</t>
  </si>
  <si>
    <t>ST_AL_ElectricalFault_VNDSXU</t>
  </si>
  <si>
    <t>ST_AL_ElectricalFault_VNCSXU</t>
  </si>
  <si>
    <t>ST_AL_HydraulicsFault_VNDSXU</t>
  </si>
  <si>
    <t>ST_AL_HydraulicsFault_VNRSXU</t>
  </si>
  <si>
    <t>0012.057405.205.400.0</t>
  </si>
  <si>
    <t>0012.043101.010.400.0</t>
  </si>
  <si>
    <t>0012.006200.215.400.0</t>
  </si>
  <si>
    <t>0012.006200.155.400.0</t>
  </si>
  <si>
    <t>0012.006200.165.400.0</t>
  </si>
  <si>
    <t>0012.006201.155.400.0</t>
  </si>
  <si>
    <t>0012.006201.165.400.0</t>
  </si>
  <si>
    <t>0012.024101.155.400.0</t>
  </si>
  <si>
    <t>0012.006500.215.400.0</t>
  </si>
  <si>
    <t>0012.006502.215.400.0</t>
  </si>
  <si>
    <t>0012.024424.215.400.0</t>
  </si>
  <si>
    <t>0012.006201.215.400.0</t>
  </si>
  <si>
    <t>0012.024404.215.400.0</t>
  </si>
  <si>
    <t>0012.024404.205.400.0</t>
  </si>
  <si>
    <t>0012.024406.215.400.0</t>
  </si>
  <si>
    <t>0012.024406.205.400.0</t>
  </si>
  <si>
    <t>0012.024407.205.400.0</t>
  </si>
  <si>
    <t>0012.006500.155.400.0</t>
  </si>
  <si>
    <t>0012.006500.165.400.0</t>
  </si>
  <si>
    <t>0050.024300.105.410.0</t>
  </si>
  <si>
    <t>0050.024300.115.410.0</t>
  </si>
  <si>
    <t>0050.024300.205.410.0</t>
  </si>
  <si>
    <t>0012.089005.155.400.0</t>
  </si>
  <si>
    <t>0012.024424.155.400.0</t>
  </si>
  <si>
    <t>0012.024424.165.400.0</t>
  </si>
  <si>
    <t>0012.024424.105.400.0</t>
  </si>
  <si>
    <t>0012.024424.115.400.0</t>
  </si>
  <si>
    <t>0012.089300.205.400.0</t>
  </si>
  <si>
    <t>0012.024425.205.400.0</t>
  </si>
  <si>
    <t>0012.006700.205.400.0</t>
  </si>
  <si>
    <t>0012.006700.215.400.0</t>
  </si>
  <si>
    <t>0012.058600.205.400.0</t>
  </si>
  <si>
    <t>0012.006502.155.400.0</t>
  </si>
  <si>
    <t>0012.006502.165.400.0</t>
  </si>
  <si>
    <t>0012.050101.105.400.0</t>
  </si>
  <si>
    <t>0012.050101.115.400.0</t>
  </si>
  <si>
    <t>0012.050101.155.400.0</t>
  </si>
  <si>
    <t>0012.050101.165.400.0</t>
  </si>
  <si>
    <t>0012.057300.155.400.0</t>
  </si>
  <si>
    <t>0012.057310.205.400.0</t>
  </si>
  <si>
    <t>0012.089203.155.400.0</t>
  </si>
  <si>
    <t>0012.089203.165.400.0</t>
  </si>
  <si>
    <t>0012.089204.155.400.0</t>
  </si>
  <si>
    <t>0012.006700.175.400.0</t>
  </si>
  <si>
    <t>0012.024101.105.400.0</t>
  </si>
  <si>
    <t>0012.024201.105.400.0</t>
  </si>
  <si>
    <t>0012.024201.155.400.0</t>
  </si>
  <si>
    <t>0012.006503.215.400.0</t>
  </si>
  <si>
    <t>0012.006502.175.400.0</t>
  </si>
  <si>
    <t>0012.006601.155.400.0</t>
  </si>
  <si>
    <t>0012.006502.225.400.0</t>
  </si>
  <si>
    <t>0012.089000.205.400.0</t>
  </si>
  <si>
    <t>0012.089001.205.400.0</t>
  </si>
  <si>
    <t>0012.089002.205.400.0</t>
  </si>
  <si>
    <t>0012.089003.205.400.0</t>
  </si>
  <si>
    <t>0012.089004.205.400.0</t>
  </si>
  <si>
    <t>0012.089203.175.400.0</t>
  </si>
  <si>
    <t>0012.089204.165.400.0</t>
  </si>
  <si>
    <t>0012.089204.175.400.0</t>
  </si>
  <si>
    <t>0012.006700.165.400.0</t>
  </si>
  <si>
    <t>0012.006700.155.400.0</t>
  </si>
  <si>
    <t>0012.058602.205.410.0</t>
  </si>
  <si>
    <t>0012.058602.205.400.0</t>
  </si>
  <si>
    <t>1.1614.902</t>
  </si>
  <si>
    <t>AL_ChargeAirState_invalid_SXU</t>
  </si>
  <si>
    <t>2.1751.905</t>
  </si>
  <si>
    <t>AL_CL_RA_Tank_sensor_SXU</t>
  </si>
  <si>
    <t>2.1700.900</t>
  </si>
  <si>
    <t>AL_p_Fuel_Rail_incorrect_SXU</t>
  </si>
  <si>
    <t>2.7002.902</t>
  </si>
  <si>
    <t>AL_OverrideActive_SXU</t>
  </si>
  <si>
    <t>1.0740.953</t>
  </si>
  <si>
    <t>AL_NH3_EGAT_outl_SlipMon</t>
  </si>
  <si>
    <t>1.8013.001</t>
  </si>
  <si>
    <t>AL_ServiceMode_Active</t>
  </si>
  <si>
    <t>1.8013.003</t>
  </si>
  <si>
    <t>AL_ServiceMode_RefreshTime_Exceeded</t>
  </si>
  <si>
    <t>1.8013.005</t>
  </si>
  <si>
    <t>AL_ServiceMode_Refresh_Required</t>
  </si>
  <si>
    <t>1.8013.007</t>
  </si>
  <si>
    <t>AL_ServiceMode_Max_Time_Exceeded</t>
  </si>
  <si>
    <t>1.8013.009</t>
  </si>
  <si>
    <t>AL_ServiceMode_Max_Time_Reached</t>
  </si>
  <si>
    <t>BVNG /GLNG</t>
  </si>
  <si>
    <t>Desciption</t>
  </si>
  <si>
    <t>ECU Errorcode</t>
  </si>
  <si>
    <t>Bugtracker / PTC Trace</t>
  </si>
  <si>
    <t>ST_AL_OverrideActivatedSXU</t>
  </si>
  <si>
    <t>AL NH3 EGAT Outlet SlipMon</t>
  </si>
  <si>
    <t>0012.006701.015.400.0</t>
  </si>
  <si>
    <t>ST_AL_NH3_SCR_Out_SlipMonSXU</t>
  </si>
  <si>
    <t>Farben gelöscht. Übernahme aus dem SmartAGN PSG. 
- Neue SysIDs für SXU mit InstanceIndex Offset 40
- Alle SysIDs mit Postfix SXU in den Namen
- SXU D-Muster Alarme hinzu</t>
  </si>
  <si>
    <t>0012.043201.205.400.0</t>
  </si>
  <si>
    <t>0010.075103.245.400.0</t>
  </si>
  <si>
    <t>0010.075104.245.400.0</t>
  </si>
  <si>
    <t>0010.075106.245.400.0</t>
  </si>
  <si>
    <t>0010.075107.245.400.0</t>
  </si>
  <si>
    <t>0010.075108.245.400.0</t>
  </si>
  <si>
    <t>0010.075109.245.400.0</t>
  </si>
  <si>
    <t>0010.075110.245.400.0</t>
  </si>
  <si>
    <t>Combine with other Override Alarms</t>
  </si>
  <si>
    <t>Combine with other SE  Alarms</t>
  </si>
  <si>
    <t>Req: 545236</t>
  </si>
  <si>
    <t>Req: 545244</t>
  </si>
  <si>
    <t>Req: 545242</t>
  </si>
  <si>
    <t>do not implement. "AL MMS Combined yel/red" is sufficient</t>
  </si>
  <si>
    <t>"ignore": nur projektieren nicht in Alarmmanagement</t>
  </si>
  <si>
    <t>BT14981 Req: 545238</t>
  </si>
  <si>
    <t>0010.075111.245.400.0</t>
  </si>
  <si>
    <t>ST_SE_CAN1NodeLostSXU</t>
  </si>
  <si>
    <t>ST_SE_CAN2NodeLostSXU</t>
  </si>
  <si>
    <t>ST_SE_CANNoPU_DataSXU</t>
  </si>
  <si>
    <t>ST_SE_CANPU_DataFlashErrorSXU</t>
  </si>
  <si>
    <t>ST_SE_CAN1BusOffSXU</t>
  </si>
  <si>
    <t>ST_SE_CAN1ErrorPassiveSXU</t>
  </si>
  <si>
    <t>ST_SE_CAN2BusOffSXU</t>
  </si>
  <si>
    <t>ST_SE_CAN2ErrorPassiveSXU</t>
  </si>
  <si>
    <t>0050.024300.215.030.0</t>
  </si>
  <si>
    <t>ST_LO_SXUPowerSupplyVoltage</t>
  </si>
  <si>
    <t>ST_LOLO_SXUPowerSupplyVoltage</t>
  </si>
  <si>
    <t>ST_HI_SXUPowerSupplyVoltage</t>
  </si>
  <si>
    <t>ST_HIHI_SXUPowerSupplyVoltage</t>
  </si>
  <si>
    <t>ST_HI_T_SXU</t>
  </si>
  <si>
    <t>ST_AL_SXUPowerLimitationActive</t>
  </si>
  <si>
    <t>ST_SD_P_ExhaustDiffSCR1SXU</t>
  </si>
  <si>
    <t>ST_SD_P_ExhaustSCRInlet1SXU</t>
  </si>
  <si>
    <t>ST_SD_RA_ConcentrationSXU</t>
  </si>
  <si>
    <t>ST_SD_T_ExhaustSCROutlet1SXU</t>
  </si>
  <si>
    <t>ST_SD_Nox_EGAT_Inlet1SXU</t>
  </si>
  <si>
    <t>ST_AL_CommLostNOxEGATInlet1SXU</t>
  </si>
  <si>
    <t>ST_SD_Nox_EGAT_Outlet1SXU</t>
  </si>
  <si>
    <t>ST_AL_CommLostDEFDoser1SXU</t>
  </si>
  <si>
    <t>ST_HI_P_ExhaustDiffSCR1SXU</t>
  </si>
  <si>
    <t>ST_LO_RATankLevelMMSSXU</t>
  </si>
  <si>
    <t>ST_LOLO_RATankLevelMMSSXU</t>
  </si>
  <si>
    <t>ST_AL_RATankEmptySXU</t>
  </si>
  <si>
    <t>ST_AL_EGAT_BypassPositionFaultSXU</t>
  </si>
  <si>
    <t>ST_AL_SXUInternalErrorSXU</t>
  </si>
  <si>
    <t>ST_AL_EmissionComplFailSXU</t>
  </si>
  <si>
    <t>ST_HI_T_ReducingAgentSUDU_SXU</t>
  </si>
  <si>
    <t>ST_AL_CommLostNOxEGATOutSXU</t>
  </si>
  <si>
    <t>ST_AL_SCR_SupplyUnitDefectSXU</t>
  </si>
  <si>
    <t>ST_AL_EGATBypassManClosedSXU</t>
  </si>
  <si>
    <t>ST_SD_RATankLevelSXU_1991</t>
  </si>
  <si>
    <t>Doppelte Namen Chaos beseitigt</t>
  </si>
  <si>
    <t>ST_AL_DevelopPRSet_SXU</t>
  </si>
  <si>
    <t>Kommentar "COmbine with ECU" entfernt, da alles über den SXU/ECU Combine Adaptewr geht, außer die speziell behandelten (Override, SE, Gerätespezisifisch)</t>
  </si>
  <si>
    <t>AL_CAN_P_No_PU_Data</t>
  </si>
  <si>
    <t>AL_CAN_P_PU_Data_Flash_Error</t>
  </si>
  <si>
    <t>AL_CAN1_P_Bus_Off</t>
  </si>
  <si>
    <t>AL_CAN1_P_Error_Passive</t>
  </si>
  <si>
    <t>AL_CAN2_P_Bus_Off</t>
  </si>
  <si>
    <t>AL_CAN2_P_Error_Passive</t>
  </si>
  <si>
    <t>EC 182 gibt es bei der SXU nicht. SysID Mapping war um eins verschoben bei EC 183 bis 514. Alle SysID und Name für alle Alarme mit "Do not implement" auf "---" geändert
EC 514, 549,641 SysID entfernt und auf "do not implement" gesetzt --&gt; MMS Combined Kübel</t>
  </si>
  <si>
    <t>Alarm Status Name</t>
  </si>
  <si>
    <t>SE CAN 1 Node Lost</t>
  </si>
  <si>
    <t>SE CAN 2 Node Lost</t>
  </si>
  <si>
    <t>SE CAN No PU Data</t>
  </si>
  <si>
    <t>SE CAN PU Data Flash Error</t>
  </si>
  <si>
    <t>SE CAN 1 Bus off</t>
  </si>
  <si>
    <t>SE CAN 1 Error Passive</t>
  </si>
  <si>
    <t>SE CAN 2 Bus off</t>
  </si>
  <si>
    <t>SE CAN 2 Error Passive</t>
  </si>
  <si>
    <t>HI T-Reducing Agent SUDU F1</t>
  </si>
  <si>
    <t>SD P-Exhaust Diff. SCR 1</t>
  </si>
  <si>
    <t>AL Com. Lost NOx EGAT Inlet 1</t>
  </si>
  <si>
    <t>AL Com. Lost NOx EGAT Outlet1</t>
  </si>
  <si>
    <t>AL Com. Lost RA Dosing Unit 1</t>
  </si>
  <si>
    <t>HI EGAT HotShutdown Count</t>
  </si>
  <si>
    <t>AL RA Supply Unit 1 Defect</t>
  </si>
  <si>
    <t>AL Hydraulics Fault SUDU 1</t>
  </si>
  <si>
    <t>AL Com. Lost NH3 SCR Outlet 1</t>
  </si>
  <si>
    <t>SD Ammonia NH3 SCR Outlet 1</t>
  </si>
  <si>
    <t>HIHIHI Ammonia NH3 SCR Out 1</t>
  </si>
  <si>
    <t>LO T-Reducing Agent SUDU F1</t>
  </si>
  <si>
    <t>LO P-Reducing Agent DU 1</t>
  </si>
  <si>
    <t>HI P-Reducing Agent DU 1</t>
  </si>
  <si>
    <t>AL Emission Compliance Failure</t>
  </si>
  <si>
    <t>HIHI Ammonia NH3 SCR Out 1</t>
  </si>
  <si>
    <t>HI Ammonia NH3 SCR Outlet 1</t>
  </si>
  <si>
    <t>AL EGAT Bypass Man Closed</t>
  </si>
  <si>
    <t>SD RA Tank Level</t>
  </si>
  <si>
    <t>AL Override Activated</t>
  </si>
  <si>
    <t>AL NH3 SCR Outlet SlipMon</t>
  </si>
  <si>
    <t>ST_AL_EGATBypassManEngagedSXU</t>
  </si>
  <si>
    <t>AL EGAT Bypass Man Engaged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</si>
</sst>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x14ac:knownFonts="1">
    <font>
      <sz val="11"/>
      <color theme="1"/>
      <name val="Calibri"/>
      <family val="2"/>
      <scheme val="minor"/>
    </font>
    <font>
      <b/>
      <sz val="11"/>
      <color theme="1"/>
      <name val="Calibri"/>
      <family val="2"/>
      <scheme val="minor"/>
    </font>
    <font>
      <b/>
      <sz val="26"/>
      <color theme="1"/>
      <name val="Calibri"/>
      <family val="2"/>
      <scheme val="minor"/>
    </font>
    <font>
      <sz val="10"/>
      <name val="Arial"/>
      <family val="2"/>
    </font>
    <font>
      <b/>
      <sz val="16"/>
      <name val="Arial"/>
      <family val="2"/>
    </font>
    <font>
      <b/>
      <sz val="10"/>
      <name val="Arial"/>
      <family val="2"/>
    </font>
    <font>
      <b/>
      <sz val="9"/>
      <name val="Arial"/>
      <family val="2"/>
      <charset val="204"/>
    </font>
    <font>
      <sz val="9"/>
      <name val="Arial"/>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sz val="11"/>
      <color indexed="8"/>
      <name val="Calibri"/>
      <family val="2"/>
    </font>
    <font>
      <u/>
      <sz val="10"/>
      <color indexed="12"/>
      <name val="Arial"/>
      <family val="2"/>
    </font>
    <font>
      <sz val="10"/>
      <color indexed="8"/>
      <name val="Arial"/>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0"/>
      <color indexed="60"/>
      <name val="Arial"/>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u/>
      <sz val="11"/>
      <color indexed="12"/>
      <name val="Calibri"/>
      <family val="2"/>
    </font>
    <font>
      <sz val="10"/>
      <color theme="1"/>
      <name val="Arial"/>
      <family val="2"/>
    </font>
    <font>
      <strike/>
      <sz val="11"/>
      <color theme="1"/>
      <name val="Calibri"/>
      <family val="2"/>
      <scheme val="minor"/>
    </font>
    <font>
      <sz val="11"/>
      <color theme="1"/>
      <name val="Courier"/>
      <family val="3"/>
    </font>
    <font>
      <sz val="8"/>
      <name val="Courier"/>
      <family val="3"/>
    </font>
    <font>
      <sz val="8"/>
      <name val="Courier New"/>
      <family val="3"/>
    </font>
    <font>
      <sz val="10"/>
      <color rgb="FF000000"/>
      <name val="DejaVu Sans Mono"/>
      <family val="3"/>
    </font>
    <font>
      <sz val="8"/>
      <name val="Calibri"/>
      <family val="2"/>
      <scheme val="minor"/>
    </font>
  </fonts>
  <fills count="57">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9" tint="0.59999389629810485"/>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s>
  <cellStyleXfs count="723">
    <xf numFmtId="0" fontId="0" fillId="0" borderId="0"/>
    <xf numFmtId="0" fontId="3" fillId="0" borderId="0"/>
    <xf numFmtId="0" fontId="9" fillId="0" borderId="0" applyNumberFormat="0" applyFill="0" applyBorder="0" applyAlignment="0" applyProtection="0"/>
    <xf numFmtId="0" fontId="24" fillId="0" borderId="0"/>
    <xf numFmtId="0" fontId="8" fillId="11" borderId="0" applyNumberFormat="0" applyBorder="0" applyAlignment="0" applyProtection="0"/>
    <xf numFmtId="0" fontId="25" fillId="34" borderId="0" applyNumberFormat="0" applyBorder="0" applyAlignment="0" applyProtection="0"/>
    <xf numFmtId="0" fontId="25" fillId="34" borderId="0" applyNumberFormat="0" applyBorder="0" applyAlignment="0" applyProtection="0"/>
    <xf numFmtId="0" fontId="8" fillId="11" borderId="0" applyNumberFormat="0" applyBorder="0" applyAlignment="0" applyProtection="0"/>
    <xf numFmtId="0" fontId="8" fillId="1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8" fillId="15" borderId="0" applyNumberFormat="0" applyBorder="0" applyAlignment="0" applyProtection="0"/>
    <xf numFmtId="0" fontId="8" fillId="19"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8" fillId="19" borderId="0" applyNumberFormat="0" applyBorder="0" applyAlignment="0" applyProtection="0"/>
    <xf numFmtId="0" fontId="8" fillId="23" borderId="0" applyNumberFormat="0" applyBorder="0" applyAlignment="0" applyProtection="0"/>
    <xf numFmtId="0" fontId="25" fillId="37" borderId="0" applyNumberFormat="0" applyBorder="0" applyAlignment="0" applyProtection="0"/>
    <xf numFmtId="0" fontId="25" fillId="37" borderId="0" applyNumberFormat="0" applyBorder="0" applyAlignment="0" applyProtection="0"/>
    <xf numFmtId="0" fontId="8" fillId="23" borderId="0" applyNumberFormat="0" applyBorder="0" applyAlignment="0" applyProtection="0"/>
    <xf numFmtId="0" fontId="8" fillId="27" borderId="0" applyNumberFormat="0" applyBorder="0" applyAlignment="0" applyProtection="0"/>
    <xf numFmtId="0" fontId="25" fillId="38" borderId="0" applyNumberFormat="0" applyBorder="0" applyAlignment="0" applyProtection="0"/>
    <xf numFmtId="0" fontId="25" fillId="38"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8" fillId="31" borderId="0" applyNumberFormat="0" applyBorder="0" applyAlignment="0" applyProtection="0"/>
    <xf numFmtId="0" fontId="8" fillId="12"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8" fillId="12" borderId="0" applyNumberFormat="0" applyBorder="0" applyAlignment="0" applyProtection="0"/>
    <xf numFmtId="0" fontId="8" fillId="16" borderId="0" applyNumberFormat="0" applyBorder="0" applyAlignment="0" applyProtection="0"/>
    <xf numFmtId="0" fontId="25" fillId="41" borderId="0" applyNumberFormat="0" applyBorder="0" applyAlignment="0" applyProtection="0"/>
    <xf numFmtId="0" fontId="25" fillId="41" borderId="0" applyNumberFormat="0" applyBorder="0" applyAlignment="0" applyProtection="0"/>
    <xf numFmtId="0" fontId="8" fillId="16" borderId="0" applyNumberFormat="0" applyBorder="0" applyAlignment="0" applyProtection="0"/>
    <xf numFmtId="0" fontId="8" fillId="20"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8" fillId="20" borderId="0" applyNumberFormat="0" applyBorder="0" applyAlignment="0" applyProtection="0"/>
    <xf numFmtId="0" fontId="8" fillId="24" borderId="0" applyNumberFormat="0" applyBorder="0" applyAlignment="0" applyProtection="0"/>
    <xf numFmtId="0" fontId="25" fillId="37" borderId="0" applyNumberFormat="0" applyBorder="0" applyAlignment="0" applyProtection="0"/>
    <xf numFmtId="0" fontId="25" fillId="37" borderId="0" applyNumberFormat="0" applyBorder="0" applyAlignment="0" applyProtection="0"/>
    <xf numFmtId="0" fontId="8" fillId="24" borderId="0" applyNumberFormat="0" applyBorder="0" applyAlignment="0" applyProtection="0"/>
    <xf numFmtId="0" fontId="8" fillId="28"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8" fillId="32" borderId="0" applyNumberFormat="0" applyBorder="0" applyAlignment="0" applyProtection="0"/>
    <xf numFmtId="0" fontId="23" fillId="13" borderId="0" applyNumberFormat="0" applyBorder="0" applyAlignment="0" applyProtection="0"/>
    <xf numFmtId="0" fontId="28" fillId="44" borderId="0" applyNumberFormat="0" applyBorder="0" applyAlignment="0" applyProtection="0"/>
    <xf numFmtId="0" fontId="23" fillId="13" borderId="0" applyNumberFormat="0" applyBorder="0" applyAlignment="0" applyProtection="0"/>
    <xf numFmtId="0" fontId="23" fillId="17" borderId="0" applyNumberFormat="0" applyBorder="0" applyAlignment="0" applyProtection="0"/>
    <xf numFmtId="0" fontId="28" fillId="41" borderId="0" applyNumberFormat="0" applyBorder="0" applyAlignment="0" applyProtection="0"/>
    <xf numFmtId="0" fontId="23" fillId="17" borderId="0" applyNumberFormat="0" applyBorder="0" applyAlignment="0" applyProtection="0"/>
    <xf numFmtId="0" fontId="23" fillId="21" borderId="0" applyNumberFormat="0" applyBorder="0" applyAlignment="0" applyProtection="0"/>
    <xf numFmtId="0" fontId="28" fillId="42" borderId="0" applyNumberFormat="0" applyBorder="0" applyAlignment="0" applyProtection="0"/>
    <xf numFmtId="0" fontId="23" fillId="21" borderId="0" applyNumberFormat="0" applyBorder="0" applyAlignment="0" applyProtection="0"/>
    <xf numFmtId="0" fontId="23" fillId="25" borderId="0" applyNumberFormat="0" applyBorder="0" applyAlignment="0" applyProtection="0"/>
    <xf numFmtId="0" fontId="28" fillId="45" borderId="0" applyNumberFormat="0" applyBorder="0" applyAlignment="0" applyProtection="0"/>
    <xf numFmtId="0" fontId="23" fillId="25" borderId="0" applyNumberFormat="0" applyBorder="0" applyAlignment="0" applyProtection="0"/>
    <xf numFmtId="0" fontId="23" fillId="29" borderId="0" applyNumberFormat="0" applyBorder="0" applyAlignment="0" applyProtection="0"/>
    <xf numFmtId="0" fontId="28" fillId="46" borderId="0" applyNumberFormat="0" applyBorder="0" applyAlignment="0" applyProtection="0"/>
    <xf numFmtId="0" fontId="23" fillId="29" borderId="0" applyNumberFormat="0" applyBorder="0" applyAlignment="0" applyProtection="0"/>
    <xf numFmtId="0" fontId="23" fillId="33" borderId="0" applyNumberFormat="0" applyBorder="0" applyAlignment="0" applyProtection="0"/>
    <xf numFmtId="0" fontId="28" fillId="47" borderId="0" applyNumberFormat="0" applyBorder="0" applyAlignment="0" applyProtection="0"/>
    <xf numFmtId="0" fontId="23" fillId="33" borderId="0" applyNumberFormat="0" applyBorder="0" applyAlignment="0" applyProtection="0"/>
    <xf numFmtId="0" fontId="23" fillId="10" borderId="0" applyNumberFormat="0" applyBorder="0" applyAlignment="0" applyProtection="0"/>
    <xf numFmtId="0" fontId="28" fillId="48" borderId="0" applyNumberFormat="0" applyBorder="0" applyAlignment="0" applyProtection="0"/>
    <xf numFmtId="0" fontId="23" fillId="10" borderId="0" applyNumberFormat="0" applyBorder="0" applyAlignment="0" applyProtection="0"/>
    <xf numFmtId="0" fontId="23" fillId="14" borderId="0" applyNumberFormat="0" applyBorder="0" applyAlignment="0" applyProtection="0"/>
    <xf numFmtId="0" fontId="28" fillId="49" borderId="0" applyNumberFormat="0" applyBorder="0" applyAlignment="0" applyProtection="0"/>
    <xf numFmtId="0" fontId="23" fillId="14" borderId="0" applyNumberFormat="0" applyBorder="0" applyAlignment="0" applyProtection="0"/>
    <xf numFmtId="0" fontId="23" fillId="18" borderId="0" applyNumberFormat="0" applyBorder="0" applyAlignment="0" applyProtection="0"/>
    <xf numFmtId="0" fontId="28" fillId="50" borderId="0" applyNumberFormat="0" applyBorder="0" applyAlignment="0" applyProtection="0"/>
    <xf numFmtId="0" fontId="23" fillId="18" borderId="0" applyNumberFormat="0" applyBorder="0" applyAlignment="0" applyProtection="0"/>
    <xf numFmtId="0" fontId="23" fillId="22" borderId="0" applyNumberFormat="0" applyBorder="0" applyAlignment="0" applyProtection="0"/>
    <xf numFmtId="0" fontId="28" fillId="45" borderId="0" applyNumberFormat="0" applyBorder="0" applyAlignment="0" applyProtection="0"/>
    <xf numFmtId="0" fontId="23" fillId="22" borderId="0" applyNumberFormat="0" applyBorder="0" applyAlignment="0" applyProtection="0"/>
    <xf numFmtId="0" fontId="23" fillId="26" borderId="0" applyNumberFormat="0" applyBorder="0" applyAlignment="0" applyProtection="0"/>
    <xf numFmtId="0" fontId="28" fillId="46" borderId="0" applyNumberFormat="0" applyBorder="0" applyAlignment="0" applyProtection="0"/>
    <xf numFmtId="0" fontId="23" fillId="26" borderId="0" applyNumberFormat="0" applyBorder="0" applyAlignment="0" applyProtection="0"/>
    <xf numFmtId="0" fontId="23" fillId="30" borderId="0" applyNumberFormat="0" applyBorder="0" applyAlignment="0" applyProtection="0"/>
    <xf numFmtId="0" fontId="28" fillId="51" borderId="0" applyNumberFormat="0" applyBorder="0" applyAlignment="0" applyProtection="0"/>
    <xf numFmtId="0" fontId="23" fillId="30" borderId="0" applyNumberFormat="0" applyBorder="0" applyAlignment="0" applyProtection="0"/>
    <xf numFmtId="0" fontId="17" fillId="7" borderId="13" applyNumberFormat="0" applyAlignment="0" applyProtection="0"/>
    <xf numFmtId="0" fontId="29" fillId="52" borderId="18" applyNumberFormat="0" applyAlignment="0" applyProtection="0"/>
    <xf numFmtId="0" fontId="17" fillId="7" borderId="13" applyNumberFormat="0" applyAlignment="0" applyProtection="0"/>
    <xf numFmtId="0" fontId="18" fillId="7" borderId="12" applyNumberFormat="0" applyAlignment="0" applyProtection="0"/>
    <xf numFmtId="0" fontId="30" fillId="52" borderId="19" applyNumberFormat="0" applyAlignment="0" applyProtection="0"/>
    <xf numFmtId="0" fontId="18" fillId="7" borderId="12" applyNumberFormat="0" applyAlignment="0" applyProtection="0"/>
    <xf numFmtId="0" fontId="16" fillId="6" borderId="12" applyNumberFormat="0" applyAlignment="0" applyProtection="0"/>
    <xf numFmtId="0" fontId="31" fillId="39" borderId="19" applyNumberFormat="0" applyAlignment="0" applyProtection="0"/>
    <xf numFmtId="0" fontId="16" fillId="6" borderId="12" applyNumberFormat="0" applyAlignment="0" applyProtection="0"/>
    <xf numFmtId="0" fontId="1" fillId="0" borderId="17" applyNumberFormat="0" applyFill="0" applyAlignment="0" applyProtection="0"/>
    <xf numFmtId="0" fontId="32" fillId="0" borderId="20" applyNumberFormat="0" applyFill="0" applyAlignment="0" applyProtection="0"/>
    <xf numFmtId="0" fontId="32" fillId="0" borderId="20" applyNumberFormat="0" applyFill="0" applyAlignment="0" applyProtection="0"/>
    <xf numFmtId="0" fontId="1" fillId="0" borderId="17" applyNumberFormat="0" applyFill="0" applyAlignment="0" applyProtection="0"/>
    <xf numFmtId="0" fontId="22" fillId="0" borderId="0" applyNumberFormat="0" applyFill="0" applyBorder="0" applyAlignment="0" applyProtection="0"/>
    <xf numFmtId="0" fontId="33" fillId="0" borderId="0" applyNumberFormat="0" applyFill="0" applyBorder="0" applyAlignment="0" applyProtection="0"/>
    <xf numFmtId="0" fontId="22" fillId="0" borderId="0" applyNumberFormat="0" applyFill="0" applyBorder="0" applyAlignment="0" applyProtection="0"/>
    <xf numFmtId="0" fontId="13" fillId="3" borderId="0" applyNumberFormat="0" applyBorder="0" applyAlignment="0" applyProtection="0"/>
    <xf numFmtId="0" fontId="34" fillId="36" borderId="0" applyNumberFormat="0" applyBorder="0" applyAlignment="0" applyProtection="0"/>
    <xf numFmtId="0" fontId="13" fillId="3" borderId="0" applyNumberFormat="0" applyBorder="0" applyAlignment="0" applyProtection="0"/>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15" fillId="5" borderId="0" applyNumberFormat="0" applyBorder="0" applyAlignment="0" applyProtection="0"/>
    <xf numFmtId="0" fontId="36" fillId="53" borderId="0" applyNumberFormat="0" applyBorder="0" applyAlignment="0" applyProtection="0"/>
    <xf numFmtId="0" fontId="15" fillId="5" borderId="0" applyNumberFormat="0" applyBorder="0" applyAlignment="0" applyProtection="0"/>
    <xf numFmtId="0" fontId="35" fillId="53" borderId="0" applyNumberFormat="0" applyBorder="0" applyAlignment="0" applyProtection="0"/>
    <xf numFmtId="0" fontId="2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7" fillId="0" borderId="0"/>
    <xf numFmtId="0" fontId="3" fillId="54" borderId="21" applyNumberFormat="0" applyFont="0" applyAlignment="0" applyProtection="0"/>
    <xf numFmtId="0" fontId="3" fillId="54" borderId="21" applyNumberFormat="0" applyFont="0" applyAlignment="0" applyProtection="0"/>
    <xf numFmtId="0" fontId="3" fillId="54" borderId="21" applyNumberFormat="0" applyFont="0" applyAlignment="0" applyProtection="0"/>
    <xf numFmtId="0" fontId="3" fillId="54" borderId="21" applyNumberFormat="0" applyFont="0" applyAlignment="0" applyProtection="0"/>
    <xf numFmtId="0" fontId="3" fillId="54" borderId="21" applyNumberFormat="0" applyFont="0" applyAlignment="0" applyProtection="0"/>
    <xf numFmtId="0" fontId="3" fillId="54" borderId="21" applyNumberFormat="0" applyFont="0" applyAlignment="0" applyProtection="0"/>
    <xf numFmtId="0" fontId="3" fillId="54" borderId="21" applyNumberFormat="0" applyFont="0" applyAlignment="0" applyProtection="0"/>
    <xf numFmtId="0" fontId="3" fillId="54" borderId="21" applyNumberFormat="0" applyFont="0" applyAlignment="0" applyProtection="0"/>
    <xf numFmtId="0" fontId="3" fillId="54" borderId="21" applyNumberFormat="0" applyFont="0" applyAlignment="0" applyProtection="0"/>
    <xf numFmtId="0" fontId="3" fillId="54" borderId="21" applyNumberFormat="0" applyFont="0" applyAlignment="0" applyProtection="0"/>
    <xf numFmtId="0" fontId="3" fillId="54" borderId="21" applyNumberFormat="0" applyFont="0" applyAlignment="0" applyProtection="0"/>
    <xf numFmtId="0" fontId="3" fillId="54" borderId="21" applyNumberFormat="0" applyFont="0" applyAlignment="0" applyProtection="0"/>
    <xf numFmtId="0" fontId="3" fillId="54" borderId="21" applyNumberFormat="0" applyFont="0" applyAlignment="0" applyProtection="0"/>
    <xf numFmtId="0" fontId="3" fillId="54" borderId="21" applyNumberFormat="0" applyFont="0" applyAlignment="0" applyProtection="0"/>
    <xf numFmtId="0" fontId="3" fillId="54" borderId="21" applyNumberFormat="0" applyFont="0" applyAlignment="0" applyProtection="0"/>
    <xf numFmtId="0" fontId="25" fillId="9" borderId="16" applyNumberFormat="0" applyFont="0" applyAlignment="0" applyProtection="0"/>
    <xf numFmtId="0" fontId="25" fillId="54" borderId="21" applyNumberFormat="0" applyFont="0" applyAlignment="0" applyProtection="0"/>
    <xf numFmtId="0" fontId="25" fillId="54" borderId="21" applyNumberFormat="0" applyFont="0" applyAlignment="0" applyProtection="0"/>
    <xf numFmtId="0" fontId="25" fillId="9" borderId="16" applyNumberFormat="0" applyFont="0" applyAlignment="0" applyProtection="0"/>
    <xf numFmtId="0" fontId="3" fillId="54" borderId="21" applyNumberFormat="0" applyFont="0" applyAlignment="0" applyProtection="0"/>
    <xf numFmtId="0" fontId="3" fillId="54" borderId="21" applyNumberFormat="0" applyFont="0" applyAlignment="0" applyProtection="0"/>
    <xf numFmtId="0" fontId="3" fillId="54" borderId="21" applyNumberFormat="0" applyFont="0" applyAlignment="0" applyProtection="0"/>
    <xf numFmtId="0" fontId="3" fillId="54" borderId="21" applyNumberFormat="0" applyFont="0" applyAlignment="0" applyProtection="0"/>
    <xf numFmtId="0" fontId="3" fillId="54" borderId="21" applyNumberFormat="0" applyFont="0" applyAlignment="0" applyProtection="0"/>
    <xf numFmtId="0" fontId="3" fillId="54" borderId="21" applyNumberFormat="0" applyFont="0" applyAlignment="0" applyProtection="0"/>
    <xf numFmtId="0" fontId="3" fillId="54" borderId="21" applyNumberFormat="0" applyFont="0" applyAlignment="0" applyProtection="0"/>
    <xf numFmtId="0" fontId="3" fillId="54" borderId="21" applyNumberFormat="0" applyFont="0" applyAlignment="0" applyProtection="0"/>
    <xf numFmtId="0" fontId="3" fillId="54" borderId="21" applyNumberFormat="0" applyFont="0" applyAlignment="0" applyProtection="0"/>
    <xf numFmtId="0" fontId="3" fillId="54" borderId="21" applyNumberFormat="0" applyFont="0" applyAlignment="0" applyProtection="0"/>
    <xf numFmtId="0" fontId="14" fillId="4" borderId="0" applyNumberFormat="0" applyBorder="0" applyAlignment="0" applyProtection="0"/>
    <xf numFmtId="0" fontId="37" fillId="35" borderId="0" applyNumberFormat="0" applyBorder="0" applyAlignment="0" applyProtection="0"/>
    <xf numFmtId="0" fontId="14" fillId="4" borderId="0" applyNumberFormat="0" applyBorder="0" applyAlignment="0" applyProtection="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8" fillId="0" borderId="0"/>
    <xf numFmtId="0" fontId="3" fillId="0" borderId="0"/>
    <xf numFmtId="0" fontId="3" fillId="0" borderId="0"/>
    <xf numFmtId="0" fontId="46" fillId="0" borderId="0"/>
    <xf numFmtId="0" fontId="46"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6" fillId="0" borderId="0"/>
    <xf numFmtId="0" fontId="25" fillId="0" borderId="0"/>
    <xf numFmtId="0" fontId="25"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9" applyNumberFormat="0" applyFill="0" applyAlignment="0" applyProtection="0"/>
    <xf numFmtId="0" fontId="39" fillId="0" borderId="22" applyNumberFormat="0" applyFill="0" applyAlignment="0" applyProtection="0"/>
    <xf numFmtId="0" fontId="10" fillId="0" borderId="9" applyNumberFormat="0" applyFill="0" applyAlignment="0" applyProtection="0"/>
    <xf numFmtId="0" fontId="11" fillId="0" borderId="10" applyNumberFormat="0" applyFill="0" applyAlignment="0" applyProtection="0"/>
    <xf numFmtId="0" fontId="40" fillId="0" borderId="23" applyNumberFormat="0" applyFill="0" applyAlignment="0" applyProtection="0"/>
    <xf numFmtId="0" fontId="11" fillId="0" borderId="10" applyNumberFormat="0" applyFill="0" applyAlignment="0" applyProtection="0"/>
    <xf numFmtId="0" fontId="12" fillId="0" borderId="11" applyNumberFormat="0" applyFill="0" applyAlignment="0" applyProtection="0"/>
    <xf numFmtId="0" fontId="41" fillId="0" borderId="24" applyNumberFormat="0" applyFill="0" applyAlignment="0" applyProtection="0"/>
    <xf numFmtId="0" fontId="12" fillId="0" borderId="11" applyNumberFormat="0" applyFill="0" applyAlignment="0" applyProtection="0"/>
    <xf numFmtId="0" fontId="12" fillId="0" borderId="0" applyNumberFormat="0" applyFill="0" applyBorder="0" applyAlignment="0" applyProtection="0"/>
    <xf numFmtId="0" fontId="41" fillId="0" borderId="0" applyNumberFormat="0" applyFill="0" applyBorder="0" applyAlignment="0" applyProtection="0"/>
    <xf numFmtId="0" fontId="12" fillId="0" borderId="0" applyNumberFormat="0" applyFill="0" applyBorder="0" applyAlignment="0" applyProtection="0"/>
    <xf numFmtId="0" fontId="38" fillId="0" borderId="0" applyNumberFormat="0" applyFill="0" applyBorder="0" applyAlignment="0" applyProtection="0"/>
    <xf numFmtId="0" fontId="19" fillId="0" borderId="14" applyNumberFormat="0" applyFill="0" applyAlignment="0" applyProtection="0"/>
    <xf numFmtId="0" fontId="42" fillId="0" borderId="25" applyNumberFormat="0" applyFill="0" applyAlignment="0" applyProtection="0"/>
    <xf numFmtId="0" fontId="19" fillId="0" borderId="14" applyNumberFormat="0" applyFill="0" applyAlignment="0" applyProtection="0"/>
    <xf numFmtId="0" fontId="21"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21" fillId="0" borderId="0" applyNumberFormat="0" applyFill="0" applyBorder="0" applyAlignment="0" applyProtection="0"/>
    <xf numFmtId="0" fontId="20" fillId="8" borderId="15" applyNumberFormat="0" applyAlignment="0" applyProtection="0"/>
    <xf numFmtId="0" fontId="44" fillId="55" borderId="26" applyNumberFormat="0" applyAlignment="0" applyProtection="0"/>
    <xf numFmtId="0" fontId="20" fillId="8" borderId="15" applyNumberFormat="0" applyAlignment="0" applyProtection="0"/>
    <xf numFmtId="0" fontId="46" fillId="0" borderId="0"/>
    <xf numFmtId="0" fontId="3" fillId="0" borderId="0"/>
    <xf numFmtId="0" fontId="46" fillId="0" borderId="0"/>
    <xf numFmtId="0" fontId="46" fillId="0" borderId="0"/>
    <xf numFmtId="0" fontId="3" fillId="0" borderId="0"/>
    <xf numFmtId="0" fontId="3" fillId="0" borderId="0"/>
    <xf numFmtId="0" fontId="8" fillId="0" borderId="0"/>
    <xf numFmtId="0" fontId="3" fillId="0" borderId="0"/>
    <xf numFmtId="0" fontId="8" fillId="0" borderId="0"/>
    <xf numFmtId="0" fontId="3" fillId="0" borderId="0"/>
    <xf numFmtId="0" fontId="3" fillId="0" borderId="0"/>
    <xf numFmtId="0" fontId="8" fillId="0" borderId="0"/>
    <xf numFmtId="0" fontId="3" fillId="0" borderId="0"/>
    <xf numFmtId="0" fontId="8" fillId="0" borderId="0"/>
    <xf numFmtId="0" fontId="3" fillId="0" borderId="0"/>
    <xf numFmtId="0" fontId="8" fillId="0" borderId="0"/>
    <xf numFmtId="0" fontId="3" fillId="0" borderId="0"/>
    <xf numFmtId="0" fontId="3" fillId="0" borderId="0"/>
    <xf numFmtId="0" fontId="3" fillId="0" borderId="0"/>
    <xf numFmtId="0" fontId="3" fillId="0" borderId="0"/>
    <xf numFmtId="0" fontId="8" fillId="0" borderId="0"/>
    <xf numFmtId="0" fontId="3" fillId="0" borderId="0"/>
    <xf numFmtId="0" fontId="8" fillId="0" borderId="0"/>
    <xf numFmtId="0" fontId="3" fillId="0" borderId="0"/>
    <xf numFmtId="0" fontId="3" fillId="0" borderId="0"/>
    <xf numFmtId="0" fontId="8"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8" fillId="0" borderId="0"/>
    <xf numFmtId="0" fontId="8" fillId="0" borderId="0"/>
    <xf numFmtId="0" fontId="3" fillId="0" borderId="0"/>
    <xf numFmtId="0" fontId="3" fillId="0" borderId="0"/>
    <xf numFmtId="0" fontId="3" fillId="0" borderId="0"/>
    <xf numFmtId="0" fontId="3" fillId="0" borderId="0"/>
    <xf numFmtId="0" fontId="8" fillId="0" borderId="0"/>
    <xf numFmtId="0" fontId="3" fillId="0" borderId="0"/>
    <xf numFmtId="0" fontId="8" fillId="0" borderId="0"/>
    <xf numFmtId="0" fontId="3" fillId="0" borderId="0"/>
    <xf numFmtId="0" fontId="8" fillId="0" borderId="0"/>
    <xf numFmtId="0" fontId="3"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cellStyleXfs>
  <cellXfs count="55">
    <xf numFmtId="0" fontId="0" fillId="0" borderId="0" xfId="0"/>
    <xf numFmtId="0" fontId="0" fillId="0" borderId="0" xfId="0" applyAlignment="1">
      <alignment horizontal="center"/>
    </xf>
    <xf numFmtId="0" fontId="1" fillId="0" borderId="1" xfId="0" applyFont="1" applyBorder="1" applyAlignment="1">
      <alignment horizontal="center"/>
    </xf>
    <xf numFmtId="0" fontId="2" fillId="0" borderId="0" xfId="0" applyFont="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0" fillId="0" borderId="0" xfId="0" applyAlignment="1">
      <alignment horizontal="center" wrapText="1"/>
    </xf>
    <xf numFmtId="0" fontId="0" fillId="0" borderId="1" xfId="0" applyBorder="1" applyAlignment="1">
      <alignment horizontal="left" wrapText="1"/>
    </xf>
    <xf numFmtId="0" fontId="0" fillId="0" borderId="1" xfId="0" applyBorder="1" applyAlignment="1">
      <alignment horizontal="center"/>
    </xf>
    <xf numFmtId="49" fontId="4" fillId="0" borderId="0" xfId="1" applyNumberFormat="1" applyFont="1" applyAlignment="1">
      <alignment horizontal="left"/>
    </xf>
    <xf numFmtId="0" fontId="5" fillId="0" borderId="0" xfId="1" applyFont="1" applyAlignment="1">
      <alignment horizontal="center"/>
    </xf>
    <xf numFmtId="49" fontId="6" fillId="0" borderId="0" xfId="1" applyNumberFormat="1" applyFont="1" applyAlignment="1">
      <alignment horizontal="left"/>
    </xf>
    <xf numFmtId="0" fontId="7" fillId="0" borderId="0" xfId="1" applyFont="1" applyAlignment="1">
      <alignment horizontal="left"/>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1" fillId="0" borderId="27" xfId="0" applyFont="1" applyBorder="1" applyAlignment="1">
      <alignment horizontal="center" vertical="center"/>
    </xf>
    <xf numFmtId="0" fontId="1" fillId="0" borderId="2" xfId="0" applyFont="1" applyBorder="1" applyAlignment="1">
      <alignment horizontal="center" vertical="center"/>
    </xf>
    <xf numFmtId="0" fontId="47" fillId="0" borderId="0" xfId="0" applyFont="1" applyAlignment="1">
      <alignment horizontal="center"/>
    </xf>
    <xf numFmtId="0" fontId="0" fillId="0" borderId="0" xfId="0" applyAlignment="1">
      <alignment wrapText="1"/>
    </xf>
    <xf numFmtId="0" fontId="0" fillId="0" borderId="0" xfId="0" applyAlignment="1">
      <alignment vertical="center"/>
    </xf>
    <xf numFmtId="0" fontId="48" fillId="0" borderId="0" xfId="0" quotePrefix="1" applyFont="1" applyAlignment="1">
      <alignment horizontal="left" vertical="center"/>
    </xf>
    <xf numFmtId="0" fontId="48" fillId="0" borderId="0" xfId="0" applyFont="1" applyAlignment="1">
      <alignment horizontal="left" vertical="center"/>
    </xf>
    <xf numFmtId="49" fontId="49" fillId="0" borderId="0" xfId="0" applyNumberFormat="1" applyFont="1"/>
    <xf numFmtId="16" fontId="0" fillId="0" borderId="1" xfId="0" quotePrefix="1" applyNumberFormat="1" applyBorder="1" applyAlignment="1">
      <alignment horizontal="center" vertical="center"/>
    </xf>
    <xf numFmtId="0" fontId="1" fillId="0" borderId="0" xfId="0" applyFont="1" applyAlignment="1">
      <alignment horizontal="center" vertical="center"/>
    </xf>
    <xf numFmtId="0" fontId="47" fillId="0" borderId="0" xfId="0" applyFont="1" applyAlignment="1">
      <alignment horizontal="left" wrapText="1"/>
    </xf>
    <xf numFmtId="0" fontId="0" fillId="0" borderId="0" xfId="0" applyAlignment="1">
      <alignment horizontal="center" vertical="center"/>
    </xf>
    <xf numFmtId="0" fontId="51" fillId="0" borderId="0" xfId="0" applyFont="1" applyAlignment="1">
      <alignment wrapText="1"/>
    </xf>
    <xf numFmtId="49" fontId="50" fillId="0" borderId="0" xfId="0" applyNumberFormat="1" applyFont="1" applyAlignment="1">
      <alignment horizontal="left" vertical="center"/>
    </xf>
    <xf numFmtId="0" fontId="0" fillId="0" borderId="1" xfId="0" applyBorder="1" applyAlignment="1">
      <alignment horizontal="left" vertical="top" wrapText="1"/>
    </xf>
    <xf numFmtId="0" fontId="0" fillId="0" borderId="4" xfId="0" applyBorder="1" applyAlignment="1">
      <alignment horizontal="left" vertical="center" wrapText="1"/>
    </xf>
    <xf numFmtId="0" fontId="1" fillId="0" borderId="27" xfId="0" applyFont="1" applyBorder="1" applyAlignment="1">
      <alignment horizontal="center" vertical="center" wrapText="1"/>
    </xf>
    <xf numFmtId="0" fontId="48" fillId="0" borderId="1" xfId="0" quotePrefix="1" applyFont="1" applyBorder="1" applyAlignment="1">
      <alignment horizontal="center" vertical="center"/>
    </xf>
    <xf numFmtId="0" fontId="0" fillId="0" borderId="1" xfId="0" quotePrefix="1" applyBorder="1" applyAlignment="1">
      <alignment horizontal="center" vertical="center"/>
    </xf>
    <xf numFmtId="0" fontId="51" fillId="0" borderId="1" xfId="0" applyFont="1"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left"/>
    </xf>
    <xf numFmtId="0" fontId="1" fillId="0" borderId="27" xfId="0" applyFont="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center" vertical="center" wrapText="1"/>
    </xf>
    <xf numFmtId="0" fontId="47" fillId="0" borderId="1" xfId="0" applyFont="1" applyBorder="1" applyAlignment="1">
      <alignment horizontal="center" vertical="center" wrapText="1"/>
    </xf>
    <xf numFmtId="0" fontId="0" fillId="0" borderId="7" xfId="0" applyBorder="1" applyAlignment="1">
      <alignment horizontal="center" vertical="center"/>
    </xf>
    <xf numFmtId="14" fontId="0" fillId="0" borderId="8" xfId="0" applyNumberFormat="1" applyBorder="1" applyAlignment="1">
      <alignment horizontal="center" vertical="center"/>
    </xf>
    <xf numFmtId="0" fontId="0" fillId="0" borderId="0" xfId="0" applyAlignment="1">
      <alignment horizontal="left" wrapText="1"/>
    </xf>
    <xf numFmtId="0" fontId="0" fillId="56" borderId="1" xfId="0" applyFill="1" applyBorder="1" applyAlignment="1">
      <alignment horizontal="center" vertical="center"/>
    </xf>
    <xf numFmtId="0" fontId="0" fillId="56" borderId="1" xfId="0" applyFill="1" applyBorder="1" applyAlignment="1">
      <alignment horizontal="left" vertical="center"/>
    </xf>
    <xf numFmtId="0" fontId="0" fillId="56" borderId="1" xfId="0" applyFill="1" applyBorder="1" applyAlignment="1">
      <alignment horizontal="left" wrapText="1"/>
    </xf>
    <xf numFmtId="0" fontId="0" fillId="56" borderId="1" xfId="0" quotePrefix="1" applyFill="1" applyBorder="1" applyAlignment="1">
      <alignment horizontal="center" vertical="center"/>
    </xf>
    <xf numFmtId="0" fontId="48" fillId="56" borderId="1" xfId="0" quotePrefix="1" applyFont="1" applyFill="1" applyBorder="1" applyAlignment="1">
      <alignment horizontal="center" vertical="center"/>
    </xf>
  </cellXfs>
  <cellStyles count="723">
    <cellStyle name="20 % - Akzent1 2" xfId="4" xr:uid="{00000000-0005-0000-0000-000000000000}"/>
    <cellStyle name="20 % - Akzent1 2 2" xfId="5" xr:uid="{00000000-0005-0000-0000-000001000000}"/>
    <cellStyle name="20 % - Akzent1 2 3" xfId="6" xr:uid="{00000000-0005-0000-0000-000002000000}"/>
    <cellStyle name="20 % - Akzent1 2 4" xfId="7" xr:uid="{00000000-0005-0000-0000-000003000000}"/>
    <cellStyle name="20 % - Akzent2 2" xfId="8" xr:uid="{00000000-0005-0000-0000-000004000000}"/>
    <cellStyle name="20 % - Akzent2 2 2" xfId="9" xr:uid="{00000000-0005-0000-0000-000005000000}"/>
    <cellStyle name="20 % - Akzent2 2 3" xfId="10" xr:uid="{00000000-0005-0000-0000-000006000000}"/>
    <cellStyle name="20 % - Akzent2 2 4" xfId="11" xr:uid="{00000000-0005-0000-0000-000007000000}"/>
    <cellStyle name="20 % - Akzent3 2" xfId="12" xr:uid="{00000000-0005-0000-0000-000008000000}"/>
    <cellStyle name="20 % - Akzent3 2 2" xfId="13" xr:uid="{00000000-0005-0000-0000-000009000000}"/>
    <cellStyle name="20 % - Akzent3 2 3" xfId="14" xr:uid="{00000000-0005-0000-0000-00000A000000}"/>
    <cellStyle name="20 % - Akzent3 2 4" xfId="15" xr:uid="{00000000-0005-0000-0000-00000B000000}"/>
    <cellStyle name="20 % - Akzent4 2" xfId="16" xr:uid="{00000000-0005-0000-0000-00000C000000}"/>
    <cellStyle name="20 % - Akzent4 2 2" xfId="17" xr:uid="{00000000-0005-0000-0000-00000D000000}"/>
    <cellStyle name="20 % - Akzent4 2 3" xfId="18" xr:uid="{00000000-0005-0000-0000-00000E000000}"/>
    <cellStyle name="20 % - Akzent4 2 4" xfId="19" xr:uid="{00000000-0005-0000-0000-00000F000000}"/>
    <cellStyle name="20 % - Akzent5 2" xfId="20" xr:uid="{00000000-0005-0000-0000-000010000000}"/>
    <cellStyle name="20 % - Akzent5 2 2" xfId="21" xr:uid="{00000000-0005-0000-0000-000011000000}"/>
    <cellStyle name="20 % - Akzent5 2 3" xfId="22" xr:uid="{00000000-0005-0000-0000-000012000000}"/>
    <cellStyle name="20 % - Akzent5 2 4" xfId="23" xr:uid="{00000000-0005-0000-0000-000013000000}"/>
    <cellStyle name="20 % - Akzent6 2" xfId="24" xr:uid="{00000000-0005-0000-0000-000014000000}"/>
    <cellStyle name="20 % - Akzent6 2 2" xfId="25" xr:uid="{00000000-0005-0000-0000-000015000000}"/>
    <cellStyle name="20 % - Akzent6 2 3" xfId="26" xr:uid="{00000000-0005-0000-0000-000016000000}"/>
    <cellStyle name="20 % - Akzent6 2 4" xfId="27" xr:uid="{00000000-0005-0000-0000-000017000000}"/>
    <cellStyle name="40 % - Akzent1 2" xfId="28" xr:uid="{00000000-0005-0000-0000-000018000000}"/>
    <cellStyle name="40 % - Akzent1 2 2" xfId="29" xr:uid="{00000000-0005-0000-0000-000019000000}"/>
    <cellStyle name="40 % - Akzent1 2 3" xfId="30" xr:uid="{00000000-0005-0000-0000-00001A000000}"/>
    <cellStyle name="40 % - Akzent1 2 4" xfId="31" xr:uid="{00000000-0005-0000-0000-00001B000000}"/>
    <cellStyle name="40 % - Akzent2 2" xfId="32" xr:uid="{00000000-0005-0000-0000-00001C000000}"/>
    <cellStyle name="40 % - Akzent2 2 2" xfId="33" xr:uid="{00000000-0005-0000-0000-00001D000000}"/>
    <cellStyle name="40 % - Akzent2 2 3" xfId="34" xr:uid="{00000000-0005-0000-0000-00001E000000}"/>
    <cellStyle name="40 % - Akzent2 2 4" xfId="35" xr:uid="{00000000-0005-0000-0000-00001F000000}"/>
    <cellStyle name="40 % - Akzent3 2" xfId="36" xr:uid="{00000000-0005-0000-0000-000020000000}"/>
    <cellStyle name="40 % - Akzent3 2 2" xfId="37" xr:uid="{00000000-0005-0000-0000-000021000000}"/>
    <cellStyle name="40 % - Akzent3 2 3" xfId="38" xr:uid="{00000000-0005-0000-0000-000022000000}"/>
    <cellStyle name="40 % - Akzent3 2 4" xfId="39" xr:uid="{00000000-0005-0000-0000-000023000000}"/>
    <cellStyle name="40 % - Akzent4 2" xfId="40" xr:uid="{00000000-0005-0000-0000-000024000000}"/>
    <cellStyle name="40 % - Akzent4 2 2" xfId="41" xr:uid="{00000000-0005-0000-0000-000025000000}"/>
    <cellStyle name="40 % - Akzent4 2 3" xfId="42" xr:uid="{00000000-0005-0000-0000-000026000000}"/>
    <cellStyle name="40 % - Akzent4 2 4" xfId="43" xr:uid="{00000000-0005-0000-0000-000027000000}"/>
    <cellStyle name="40 % - Akzent5 2" xfId="44" xr:uid="{00000000-0005-0000-0000-000028000000}"/>
    <cellStyle name="40 % - Akzent5 2 2" xfId="45" xr:uid="{00000000-0005-0000-0000-000029000000}"/>
    <cellStyle name="40 % - Akzent5 2 3" xfId="46" xr:uid="{00000000-0005-0000-0000-00002A000000}"/>
    <cellStyle name="40 % - Akzent5 2 4" xfId="47" xr:uid="{00000000-0005-0000-0000-00002B000000}"/>
    <cellStyle name="40 % - Akzent6 2" xfId="48" xr:uid="{00000000-0005-0000-0000-00002C000000}"/>
    <cellStyle name="40 % - Akzent6 2 2" xfId="49" xr:uid="{00000000-0005-0000-0000-00002D000000}"/>
    <cellStyle name="40 % - Akzent6 2 3" xfId="50" xr:uid="{00000000-0005-0000-0000-00002E000000}"/>
    <cellStyle name="40 % - Akzent6 2 4" xfId="51" xr:uid="{00000000-0005-0000-0000-00002F000000}"/>
    <cellStyle name="60 % - Akzent1 2" xfId="52" xr:uid="{00000000-0005-0000-0000-000030000000}"/>
    <cellStyle name="60 % - Akzent1 2 2" xfId="53" xr:uid="{00000000-0005-0000-0000-000031000000}"/>
    <cellStyle name="60 % - Akzent1 2 3" xfId="54" xr:uid="{00000000-0005-0000-0000-000032000000}"/>
    <cellStyle name="60 % - Akzent2 2" xfId="55" xr:uid="{00000000-0005-0000-0000-000033000000}"/>
    <cellStyle name="60 % - Akzent2 2 2" xfId="56" xr:uid="{00000000-0005-0000-0000-000034000000}"/>
    <cellStyle name="60 % - Akzent2 2 3" xfId="57" xr:uid="{00000000-0005-0000-0000-000035000000}"/>
    <cellStyle name="60 % - Akzent3 2" xfId="58" xr:uid="{00000000-0005-0000-0000-000036000000}"/>
    <cellStyle name="60 % - Akzent3 2 2" xfId="59" xr:uid="{00000000-0005-0000-0000-000037000000}"/>
    <cellStyle name="60 % - Akzent3 2 3" xfId="60" xr:uid="{00000000-0005-0000-0000-000038000000}"/>
    <cellStyle name="60 % - Akzent4 2" xfId="61" xr:uid="{00000000-0005-0000-0000-000039000000}"/>
    <cellStyle name="60 % - Akzent4 2 2" xfId="62" xr:uid="{00000000-0005-0000-0000-00003A000000}"/>
    <cellStyle name="60 % - Akzent4 2 3" xfId="63" xr:uid="{00000000-0005-0000-0000-00003B000000}"/>
    <cellStyle name="60 % - Akzent5 2" xfId="64" xr:uid="{00000000-0005-0000-0000-00003C000000}"/>
    <cellStyle name="60 % - Akzent5 2 2" xfId="65" xr:uid="{00000000-0005-0000-0000-00003D000000}"/>
    <cellStyle name="60 % - Akzent5 2 3" xfId="66" xr:uid="{00000000-0005-0000-0000-00003E000000}"/>
    <cellStyle name="60 % - Akzent6 2" xfId="67" xr:uid="{00000000-0005-0000-0000-00003F000000}"/>
    <cellStyle name="60 % - Akzent6 2 2" xfId="68" xr:uid="{00000000-0005-0000-0000-000040000000}"/>
    <cellStyle name="60 % - Akzent6 2 3" xfId="69" xr:uid="{00000000-0005-0000-0000-000041000000}"/>
    <cellStyle name="Akzent1 2" xfId="70" xr:uid="{00000000-0005-0000-0000-000042000000}"/>
    <cellStyle name="Akzent1 2 2" xfId="71" xr:uid="{00000000-0005-0000-0000-000043000000}"/>
    <cellStyle name="Akzent1 2 3" xfId="72" xr:uid="{00000000-0005-0000-0000-000044000000}"/>
    <cellStyle name="Akzent2 2" xfId="73" xr:uid="{00000000-0005-0000-0000-000045000000}"/>
    <cellStyle name="Akzent2 2 2" xfId="74" xr:uid="{00000000-0005-0000-0000-000046000000}"/>
    <cellStyle name="Akzent2 2 3" xfId="75" xr:uid="{00000000-0005-0000-0000-000047000000}"/>
    <cellStyle name="Akzent3 2" xfId="76" xr:uid="{00000000-0005-0000-0000-000048000000}"/>
    <cellStyle name="Akzent3 2 2" xfId="77" xr:uid="{00000000-0005-0000-0000-000049000000}"/>
    <cellStyle name="Akzent3 2 3" xfId="78" xr:uid="{00000000-0005-0000-0000-00004A000000}"/>
    <cellStyle name="Akzent4 2" xfId="79" xr:uid="{00000000-0005-0000-0000-00004B000000}"/>
    <cellStyle name="Akzent4 2 2" xfId="80" xr:uid="{00000000-0005-0000-0000-00004C000000}"/>
    <cellStyle name="Akzent4 2 3" xfId="81" xr:uid="{00000000-0005-0000-0000-00004D000000}"/>
    <cellStyle name="Akzent5 2" xfId="82" xr:uid="{00000000-0005-0000-0000-00004E000000}"/>
    <cellStyle name="Akzent5 2 2" xfId="83" xr:uid="{00000000-0005-0000-0000-00004F000000}"/>
    <cellStyle name="Akzent5 2 3" xfId="84" xr:uid="{00000000-0005-0000-0000-000050000000}"/>
    <cellStyle name="Akzent6 2" xfId="85" xr:uid="{00000000-0005-0000-0000-000051000000}"/>
    <cellStyle name="Akzent6 2 2" xfId="86" xr:uid="{00000000-0005-0000-0000-000052000000}"/>
    <cellStyle name="Akzent6 2 3" xfId="87" xr:uid="{00000000-0005-0000-0000-000053000000}"/>
    <cellStyle name="Ausgabe 2" xfId="88" xr:uid="{00000000-0005-0000-0000-000054000000}"/>
    <cellStyle name="Ausgabe 2 2" xfId="89" xr:uid="{00000000-0005-0000-0000-000055000000}"/>
    <cellStyle name="Ausgabe 2 3" xfId="90" xr:uid="{00000000-0005-0000-0000-000056000000}"/>
    <cellStyle name="Berechnung 2" xfId="91" xr:uid="{00000000-0005-0000-0000-000057000000}"/>
    <cellStyle name="Berechnung 2 2" xfId="92" xr:uid="{00000000-0005-0000-0000-000058000000}"/>
    <cellStyle name="Berechnung 2 3" xfId="93" xr:uid="{00000000-0005-0000-0000-000059000000}"/>
    <cellStyle name="Eingabe 2" xfId="94" xr:uid="{00000000-0005-0000-0000-00005A000000}"/>
    <cellStyle name="Eingabe 2 2" xfId="95" xr:uid="{00000000-0005-0000-0000-00005B000000}"/>
    <cellStyle name="Eingabe 2 3" xfId="96" xr:uid="{00000000-0005-0000-0000-00005C000000}"/>
    <cellStyle name="Ergebnis 2" xfId="97" xr:uid="{00000000-0005-0000-0000-00005D000000}"/>
    <cellStyle name="Ergebnis 2 2" xfId="98" xr:uid="{00000000-0005-0000-0000-00005E000000}"/>
    <cellStyle name="Ergebnis 2 3" xfId="99" xr:uid="{00000000-0005-0000-0000-00005F000000}"/>
    <cellStyle name="Ergebnis 2 4" xfId="100" xr:uid="{00000000-0005-0000-0000-000060000000}"/>
    <cellStyle name="Erklärender Text 2" xfId="101" xr:uid="{00000000-0005-0000-0000-000061000000}"/>
    <cellStyle name="Erklärender Text 2 2" xfId="102" xr:uid="{00000000-0005-0000-0000-000062000000}"/>
    <cellStyle name="Erklärender Text 2 3" xfId="103" xr:uid="{00000000-0005-0000-0000-000063000000}"/>
    <cellStyle name="Gut 2" xfId="104" xr:uid="{00000000-0005-0000-0000-000064000000}"/>
    <cellStyle name="Gut 2 2" xfId="105" xr:uid="{00000000-0005-0000-0000-000065000000}"/>
    <cellStyle name="Gut 2 3" xfId="106" xr:uid="{00000000-0005-0000-0000-000066000000}"/>
    <cellStyle name="Hyperlink 2" xfId="107" xr:uid="{00000000-0005-0000-0000-000067000000}"/>
    <cellStyle name="Hyperlink 2 2" xfId="108" xr:uid="{00000000-0005-0000-0000-000068000000}"/>
    <cellStyle name="Hyperlink 2 2 2" xfId="109" xr:uid="{00000000-0005-0000-0000-000069000000}"/>
    <cellStyle name="Hyperlink 2 2 3" xfId="110" xr:uid="{00000000-0005-0000-0000-00006A000000}"/>
    <cellStyle name="Hyperlink 2 3" xfId="111" xr:uid="{00000000-0005-0000-0000-00006B000000}"/>
    <cellStyle name="Hyperlink 2 4" xfId="112" xr:uid="{00000000-0005-0000-0000-00006C000000}"/>
    <cellStyle name="Hyperlink 3" xfId="113" xr:uid="{00000000-0005-0000-0000-00006D000000}"/>
    <cellStyle name="Hyperlink 4" xfId="114" xr:uid="{00000000-0005-0000-0000-00006E000000}"/>
    <cellStyle name="Hyperlink 4 2" xfId="115" xr:uid="{00000000-0005-0000-0000-00006F000000}"/>
    <cellStyle name="Hyperlink 4 2 2" xfId="116" xr:uid="{00000000-0005-0000-0000-000070000000}"/>
    <cellStyle name="Hyperlink 4 2 2 2" xfId="117" xr:uid="{00000000-0005-0000-0000-000071000000}"/>
    <cellStyle name="Hyperlink 4 2 2 3" xfId="118" xr:uid="{00000000-0005-0000-0000-000072000000}"/>
    <cellStyle name="Hyperlink 4 2 3" xfId="119" xr:uid="{00000000-0005-0000-0000-000073000000}"/>
    <cellStyle name="Hyperlink 4 2 4" xfId="120" xr:uid="{00000000-0005-0000-0000-000074000000}"/>
    <cellStyle name="Hyperlink 4 3" xfId="121" xr:uid="{00000000-0005-0000-0000-000075000000}"/>
    <cellStyle name="Hyperlink 4 4" xfId="122" xr:uid="{00000000-0005-0000-0000-000076000000}"/>
    <cellStyle name="Hyperlink 5" xfId="123" xr:uid="{00000000-0005-0000-0000-000077000000}"/>
    <cellStyle name="Hyperlink 5 2" xfId="124" xr:uid="{00000000-0005-0000-0000-000078000000}"/>
    <cellStyle name="Hyperlink 5 2 2" xfId="125" xr:uid="{00000000-0005-0000-0000-000079000000}"/>
    <cellStyle name="Hyperlink 5 2 3" xfId="126" xr:uid="{00000000-0005-0000-0000-00007A000000}"/>
    <cellStyle name="Hyperlink 5 3" xfId="127" xr:uid="{00000000-0005-0000-0000-00007B000000}"/>
    <cellStyle name="Hyperlink 5 4" xfId="128" xr:uid="{00000000-0005-0000-0000-00007C000000}"/>
    <cellStyle name="Hyperlink 6" xfId="129" xr:uid="{00000000-0005-0000-0000-00007D000000}"/>
    <cellStyle name="Hyperlink 6 2" xfId="130" xr:uid="{00000000-0005-0000-0000-00007E000000}"/>
    <cellStyle name="Hyperlink 6 3" xfId="131" xr:uid="{00000000-0005-0000-0000-00007F000000}"/>
    <cellStyle name="Hyperlink 6 3 2" xfId="132" xr:uid="{00000000-0005-0000-0000-000080000000}"/>
    <cellStyle name="Hyperlink 6 4" xfId="133" xr:uid="{00000000-0005-0000-0000-000081000000}"/>
    <cellStyle name="Hyperlink 7" xfId="134" xr:uid="{00000000-0005-0000-0000-000082000000}"/>
    <cellStyle name="Hyperlink 7 2" xfId="135" xr:uid="{00000000-0005-0000-0000-000083000000}"/>
    <cellStyle name="Hyperlink 7 3" xfId="136" xr:uid="{00000000-0005-0000-0000-000084000000}"/>
    <cellStyle name="Neutral 2" xfId="137" xr:uid="{00000000-0005-0000-0000-000085000000}"/>
    <cellStyle name="Neutral 2 2" xfId="138" xr:uid="{00000000-0005-0000-0000-000086000000}"/>
    <cellStyle name="Neutral 2 3" xfId="139" xr:uid="{00000000-0005-0000-0000-000087000000}"/>
    <cellStyle name="Neutral 3" xfId="140" xr:uid="{00000000-0005-0000-0000-000088000000}"/>
    <cellStyle name="Normal 2" xfId="141" xr:uid="{00000000-0005-0000-0000-000089000000}"/>
    <cellStyle name="Normal 3" xfId="142" xr:uid="{00000000-0005-0000-0000-00008A000000}"/>
    <cellStyle name="Normal 3 2" xfId="143" xr:uid="{00000000-0005-0000-0000-00008B000000}"/>
    <cellStyle name="Normal 3 2 2" xfId="144" xr:uid="{00000000-0005-0000-0000-00008C000000}"/>
    <cellStyle name="Normal 3 2 2 2" xfId="145" xr:uid="{00000000-0005-0000-0000-00008D000000}"/>
    <cellStyle name="Normal 3 2 2 2 2" xfId="146" xr:uid="{00000000-0005-0000-0000-00008E000000}"/>
    <cellStyle name="Normal 3 2 2 3" xfId="147" xr:uid="{00000000-0005-0000-0000-00008F000000}"/>
    <cellStyle name="Normal 3 2 2 4" xfId="148" xr:uid="{00000000-0005-0000-0000-000090000000}"/>
    <cellStyle name="Normal 3 2 3" xfId="149" xr:uid="{00000000-0005-0000-0000-000091000000}"/>
    <cellStyle name="Normal 3 2 3 2" xfId="150" xr:uid="{00000000-0005-0000-0000-000092000000}"/>
    <cellStyle name="Normal 3 2 4" xfId="151" xr:uid="{00000000-0005-0000-0000-000093000000}"/>
    <cellStyle name="Normal 3 2 5" xfId="152" xr:uid="{00000000-0005-0000-0000-000094000000}"/>
    <cellStyle name="Normal 3 3" xfId="153" xr:uid="{00000000-0005-0000-0000-000095000000}"/>
    <cellStyle name="Normal 3 3 2" xfId="154" xr:uid="{00000000-0005-0000-0000-000096000000}"/>
    <cellStyle name="Normal 3 3 2 2" xfId="155" xr:uid="{00000000-0005-0000-0000-000097000000}"/>
    <cellStyle name="Normal 3 3 3" xfId="156" xr:uid="{00000000-0005-0000-0000-000098000000}"/>
    <cellStyle name="Normal 3 3 4" xfId="157" xr:uid="{00000000-0005-0000-0000-000099000000}"/>
    <cellStyle name="Normal 3 4" xfId="158" xr:uid="{00000000-0005-0000-0000-00009A000000}"/>
    <cellStyle name="Normal 3 4 2" xfId="159" xr:uid="{00000000-0005-0000-0000-00009B000000}"/>
    <cellStyle name="Normal 3 5" xfId="160" xr:uid="{00000000-0005-0000-0000-00009C000000}"/>
    <cellStyle name="Normal 3 6" xfId="161" xr:uid="{00000000-0005-0000-0000-00009D000000}"/>
    <cellStyle name="Normal 3 7" xfId="162" xr:uid="{00000000-0005-0000-0000-00009E000000}"/>
    <cellStyle name="Normal_Companion spreadsheet thru 1Q2006 2" xfId="163" xr:uid="{00000000-0005-0000-0000-00009F000000}"/>
    <cellStyle name="Note 2" xfId="164" xr:uid="{00000000-0005-0000-0000-0000A0000000}"/>
    <cellStyle name="Note 2 2" xfId="165" xr:uid="{00000000-0005-0000-0000-0000A1000000}"/>
    <cellStyle name="Note 2 3" xfId="166" xr:uid="{00000000-0005-0000-0000-0000A2000000}"/>
    <cellStyle name="Note 2 3 2" xfId="167" xr:uid="{00000000-0005-0000-0000-0000A3000000}"/>
    <cellStyle name="Note 2 3 3" xfId="168" xr:uid="{00000000-0005-0000-0000-0000A4000000}"/>
    <cellStyle name="Note 2 3 3 2" xfId="169" xr:uid="{00000000-0005-0000-0000-0000A5000000}"/>
    <cellStyle name="Note 2 3 3 3" xfId="170" xr:uid="{00000000-0005-0000-0000-0000A6000000}"/>
    <cellStyle name="Note 2 3 3 3 2" xfId="171" xr:uid="{00000000-0005-0000-0000-0000A7000000}"/>
    <cellStyle name="Note 2 3 3 4" xfId="172" xr:uid="{00000000-0005-0000-0000-0000A8000000}"/>
    <cellStyle name="Note 2 3 3 4 2" xfId="173" xr:uid="{00000000-0005-0000-0000-0000A9000000}"/>
    <cellStyle name="Note 2 3 3 4 3" xfId="174" xr:uid="{00000000-0005-0000-0000-0000AA000000}"/>
    <cellStyle name="Note 2 3 3 4 3 2" xfId="175" xr:uid="{00000000-0005-0000-0000-0000AB000000}"/>
    <cellStyle name="Note 2 3 3 5" xfId="176" xr:uid="{00000000-0005-0000-0000-0000AC000000}"/>
    <cellStyle name="Note 2 3 3 5 2" xfId="177" xr:uid="{00000000-0005-0000-0000-0000AD000000}"/>
    <cellStyle name="Note 2 3 4" xfId="178" xr:uid="{00000000-0005-0000-0000-0000AE000000}"/>
    <cellStyle name="Notiz 2" xfId="179" xr:uid="{00000000-0005-0000-0000-0000AF000000}"/>
    <cellStyle name="Notiz 2 2" xfId="180" xr:uid="{00000000-0005-0000-0000-0000B0000000}"/>
    <cellStyle name="Notiz 2 3" xfId="181" xr:uid="{00000000-0005-0000-0000-0000B1000000}"/>
    <cellStyle name="Notiz 2 4" xfId="182" xr:uid="{00000000-0005-0000-0000-0000B2000000}"/>
    <cellStyle name="Notiz 3" xfId="183" xr:uid="{00000000-0005-0000-0000-0000B3000000}"/>
    <cellStyle name="Notiz 3 2" xfId="184" xr:uid="{00000000-0005-0000-0000-0000B4000000}"/>
    <cellStyle name="Notiz 3 2 2" xfId="185" xr:uid="{00000000-0005-0000-0000-0000B5000000}"/>
    <cellStyle name="Notiz 3 2 3" xfId="186" xr:uid="{00000000-0005-0000-0000-0000B6000000}"/>
    <cellStyle name="Notiz 3 2 4" xfId="187" xr:uid="{00000000-0005-0000-0000-0000B7000000}"/>
    <cellStyle name="Notiz 3 2 4 2" xfId="188" xr:uid="{00000000-0005-0000-0000-0000B8000000}"/>
    <cellStyle name="Notiz 3 2 4 3" xfId="189" xr:uid="{00000000-0005-0000-0000-0000B9000000}"/>
    <cellStyle name="Notiz 3 2 4 3 2" xfId="190" xr:uid="{00000000-0005-0000-0000-0000BA000000}"/>
    <cellStyle name="Notiz 3 2 5" xfId="191" xr:uid="{00000000-0005-0000-0000-0000BB000000}"/>
    <cellStyle name="Notiz 3 2 5 2" xfId="192" xr:uid="{00000000-0005-0000-0000-0000BC000000}"/>
    <cellStyle name="Schlecht 2" xfId="193" xr:uid="{00000000-0005-0000-0000-0000BD000000}"/>
    <cellStyle name="Schlecht 2 2" xfId="194" xr:uid="{00000000-0005-0000-0000-0000BE000000}"/>
    <cellStyle name="Schlecht 2 3" xfId="195" xr:uid="{00000000-0005-0000-0000-0000BF000000}"/>
    <cellStyle name="Standard" xfId="0" builtinId="0"/>
    <cellStyle name="Standard 10" xfId="196" xr:uid="{00000000-0005-0000-0000-0000C1000000}"/>
    <cellStyle name="Standard 10 2" xfId="197" xr:uid="{00000000-0005-0000-0000-0000C2000000}"/>
    <cellStyle name="Standard 10 2 2" xfId="722" xr:uid="{00000000-0005-0000-0000-0000C3000000}"/>
    <cellStyle name="Standard 10_SysID" xfId="673" xr:uid="{00000000-0005-0000-0000-0000C4000000}"/>
    <cellStyle name="Standard 11" xfId="198" xr:uid="{00000000-0005-0000-0000-0000C5000000}"/>
    <cellStyle name="Standard 11 2" xfId="199" xr:uid="{00000000-0005-0000-0000-0000C6000000}"/>
    <cellStyle name="Standard 11 2 2" xfId="200" xr:uid="{00000000-0005-0000-0000-0000C7000000}"/>
    <cellStyle name="Standard 11 2 3" xfId="674" xr:uid="{00000000-0005-0000-0000-0000C8000000}"/>
    <cellStyle name="Standard 11 2_SysID" xfId="675" xr:uid="{00000000-0005-0000-0000-0000C9000000}"/>
    <cellStyle name="Standard 11 3" xfId="201" xr:uid="{00000000-0005-0000-0000-0000CA000000}"/>
    <cellStyle name="Standard 11 4" xfId="202" xr:uid="{00000000-0005-0000-0000-0000CB000000}"/>
    <cellStyle name="Standard 11 4 2" xfId="676" xr:uid="{00000000-0005-0000-0000-0000CC000000}"/>
    <cellStyle name="Standard 11_SysID" xfId="677" xr:uid="{00000000-0005-0000-0000-0000CD000000}"/>
    <cellStyle name="Standard 12" xfId="203" xr:uid="{00000000-0005-0000-0000-0000CE000000}"/>
    <cellStyle name="Standard 12 2" xfId="204" xr:uid="{00000000-0005-0000-0000-0000CF000000}"/>
    <cellStyle name="Standard 12 3" xfId="205" xr:uid="{00000000-0005-0000-0000-0000D0000000}"/>
    <cellStyle name="Standard 12 3 2" xfId="206" xr:uid="{00000000-0005-0000-0000-0000D1000000}"/>
    <cellStyle name="Standard 12_SysID" xfId="678" xr:uid="{00000000-0005-0000-0000-0000D2000000}"/>
    <cellStyle name="Standard 13" xfId="207" xr:uid="{00000000-0005-0000-0000-0000D3000000}"/>
    <cellStyle name="Standard 13 2" xfId="208" xr:uid="{00000000-0005-0000-0000-0000D4000000}"/>
    <cellStyle name="Standard 13 2 2" xfId="679" xr:uid="{00000000-0005-0000-0000-0000D5000000}"/>
    <cellStyle name="Standard 13 3" xfId="680" xr:uid="{00000000-0005-0000-0000-0000D6000000}"/>
    <cellStyle name="Standard 13 4" xfId="681" xr:uid="{00000000-0005-0000-0000-0000D7000000}"/>
    <cellStyle name="Standard 13_SysID" xfId="682" xr:uid="{00000000-0005-0000-0000-0000D8000000}"/>
    <cellStyle name="Standard 14" xfId="209" xr:uid="{00000000-0005-0000-0000-0000D9000000}"/>
    <cellStyle name="Standard 14 2" xfId="210" xr:uid="{00000000-0005-0000-0000-0000DA000000}"/>
    <cellStyle name="Standard 14 2 2" xfId="683" xr:uid="{00000000-0005-0000-0000-0000DB000000}"/>
    <cellStyle name="Standard 14 3" xfId="211" xr:uid="{00000000-0005-0000-0000-0000DC000000}"/>
    <cellStyle name="Standard 14 3 2" xfId="212" xr:uid="{00000000-0005-0000-0000-0000DD000000}"/>
    <cellStyle name="Standard 14 3 3" xfId="684" xr:uid="{00000000-0005-0000-0000-0000DE000000}"/>
    <cellStyle name="Standard 14 4" xfId="685" xr:uid="{00000000-0005-0000-0000-0000DF000000}"/>
    <cellStyle name="Standard 14_SysID" xfId="686" xr:uid="{00000000-0005-0000-0000-0000E0000000}"/>
    <cellStyle name="Standard 15" xfId="213" xr:uid="{00000000-0005-0000-0000-0000E1000000}"/>
    <cellStyle name="Standard 15 2" xfId="214" xr:uid="{00000000-0005-0000-0000-0000E2000000}"/>
    <cellStyle name="Standard 15 2 2" xfId="687" xr:uid="{00000000-0005-0000-0000-0000E3000000}"/>
    <cellStyle name="Standard 15 3" xfId="215" xr:uid="{00000000-0005-0000-0000-0000E4000000}"/>
    <cellStyle name="Standard 15 4" xfId="688" xr:uid="{00000000-0005-0000-0000-0000E5000000}"/>
    <cellStyle name="Standard 15_SysID" xfId="689" xr:uid="{00000000-0005-0000-0000-0000E6000000}"/>
    <cellStyle name="Standard 16" xfId="216" xr:uid="{00000000-0005-0000-0000-0000E7000000}"/>
    <cellStyle name="Standard 16 2" xfId="217" xr:uid="{00000000-0005-0000-0000-0000E8000000}"/>
    <cellStyle name="Standard 16 2 2" xfId="690" xr:uid="{00000000-0005-0000-0000-0000E9000000}"/>
    <cellStyle name="Standard 16 3" xfId="691" xr:uid="{00000000-0005-0000-0000-0000EA000000}"/>
    <cellStyle name="Standard 16 4" xfId="692" xr:uid="{00000000-0005-0000-0000-0000EB000000}"/>
    <cellStyle name="Standard 17" xfId="218" xr:uid="{00000000-0005-0000-0000-0000EC000000}"/>
    <cellStyle name="Standard 17 2" xfId="693" xr:uid="{00000000-0005-0000-0000-0000ED000000}"/>
    <cellStyle name="Standard 18" xfId="219" xr:uid="{00000000-0005-0000-0000-0000EE000000}"/>
    <cellStyle name="Standard 18 2" xfId="220" xr:uid="{00000000-0005-0000-0000-0000EF000000}"/>
    <cellStyle name="Standard 18 3" xfId="221" xr:uid="{00000000-0005-0000-0000-0000F0000000}"/>
    <cellStyle name="Standard 19" xfId="3" xr:uid="{00000000-0005-0000-0000-0000F1000000}"/>
    <cellStyle name="Standard 19 2" xfId="694" xr:uid="{00000000-0005-0000-0000-0000F2000000}"/>
    <cellStyle name="Standard 19 3" xfId="720" xr:uid="{00000000-0005-0000-0000-0000F3000000}"/>
    <cellStyle name="Standard 19 4" xfId="721" xr:uid="{00000000-0005-0000-0000-0000F4000000}"/>
    <cellStyle name="Standard 19 5" xfId="719" xr:uid="{00000000-0005-0000-0000-0000F5000000}"/>
    <cellStyle name="Standard 19 6" xfId="718" xr:uid="{00000000-0005-0000-0000-0000F6000000}"/>
    <cellStyle name="Standard 2" xfId="222" xr:uid="{00000000-0005-0000-0000-0000F7000000}"/>
    <cellStyle name="Standard 2 2" xfId="223" xr:uid="{00000000-0005-0000-0000-0000F8000000}"/>
    <cellStyle name="Standard 2 2 2" xfId="224" xr:uid="{00000000-0005-0000-0000-0000F9000000}"/>
    <cellStyle name="Standard 2 2 2 2" xfId="225" xr:uid="{00000000-0005-0000-0000-0000FA000000}"/>
    <cellStyle name="Standard 2 2 3" xfId="226" xr:uid="{00000000-0005-0000-0000-0000FB000000}"/>
    <cellStyle name="Standard 2 3" xfId="227" xr:uid="{00000000-0005-0000-0000-0000FC000000}"/>
    <cellStyle name="Standard 2 3 2" xfId="228" xr:uid="{00000000-0005-0000-0000-0000FD000000}"/>
    <cellStyle name="Standard 2 3 2 2" xfId="229" xr:uid="{00000000-0005-0000-0000-0000FE000000}"/>
    <cellStyle name="Standard 2 3 2 3" xfId="230" xr:uid="{00000000-0005-0000-0000-0000FF000000}"/>
    <cellStyle name="Standard 2 3 3" xfId="231" xr:uid="{00000000-0005-0000-0000-000000010000}"/>
    <cellStyle name="Standard 2 3 3 2" xfId="232" xr:uid="{00000000-0005-0000-0000-000001010000}"/>
    <cellStyle name="Standard 2 3 3 2 2" xfId="233" xr:uid="{00000000-0005-0000-0000-000002010000}"/>
    <cellStyle name="Standard 2 3 3 2 3" xfId="234" xr:uid="{00000000-0005-0000-0000-000003010000}"/>
    <cellStyle name="Standard 2 3 3 3" xfId="235" xr:uid="{00000000-0005-0000-0000-000004010000}"/>
    <cellStyle name="Standard 2 3 3 3 2" xfId="236" xr:uid="{00000000-0005-0000-0000-000005010000}"/>
    <cellStyle name="Standard 2 3 3 3 2 2" xfId="237" xr:uid="{00000000-0005-0000-0000-000006010000}"/>
    <cellStyle name="Standard 2 3 3 3 2 3" xfId="238" xr:uid="{00000000-0005-0000-0000-000007010000}"/>
    <cellStyle name="Standard 2 3 3 3 3" xfId="239" xr:uid="{00000000-0005-0000-0000-000008010000}"/>
    <cellStyle name="Standard 2 3 3 3 4" xfId="240" xr:uid="{00000000-0005-0000-0000-000009010000}"/>
    <cellStyle name="Standard 2 3 3 3 4 2" xfId="241" xr:uid="{00000000-0005-0000-0000-00000A010000}"/>
    <cellStyle name="Standard 2 3 3 3 4 2 2" xfId="242" xr:uid="{00000000-0005-0000-0000-00000B010000}"/>
    <cellStyle name="Standard 2 3 3 3 4 2 2 2" xfId="243" xr:uid="{00000000-0005-0000-0000-00000C010000}"/>
    <cellStyle name="Standard 2 3 3 3 4 2 3" xfId="244" xr:uid="{00000000-0005-0000-0000-00000D010000}"/>
    <cellStyle name="Standard 2 3 3 3 4 2 4" xfId="245" xr:uid="{00000000-0005-0000-0000-00000E010000}"/>
    <cellStyle name="Standard 2 3 3 3 4 2 5" xfId="246" xr:uid="{00000000-0005-0000-0000-00000F010000}"/>
    <cellStyle name="Standard 2 3 3 3 4 2 5 2" xfId="247" xr:uid="{00000000-0005-0000-0000-000010010000}"/>
    <cellStyle name="Standard 2 3 3 3 4 2 5 3" xfId="248" xr:uid="{00000000-0005-0000-0000-000011010000}"/>
    <cellStyle name="Standard 2 3 3 3 4 2 5 3 2" xfId="249" xr:uid="{00000000-0005-0000-0000-000012010000}"/>
    <cellStyle name="Standard 2 3 3 3 4 2 6" xfId="250" xr:uid="{00000000-0005-0000-0000-000013010000}"/>
    <cellStyle name="Standard 2 3 3 3 4 2 6 2" xfId="251" xr:uid="{00000000-0005-0000-0000-000014010000}"/>
    <cellStyle name="Standard 2 3 3 3 5" xfId="252" xr:uid="{00000000-0005-0000-0000-000015010000}"/>
    <cellStyle name="Standard 2 3 3 3 5 2" xfId="253" xr:uid="{00000000-0005-0000-0000-000016010000}"/>
    <cellStyle name="Standard 2 3 3 3 6" xfId="254" xr:uid="{00000000-0005-0000-0000-000017010000}"/>
    <cellStyle name="Standard 2 3 3 3 6 2" xfId="255" xr:uid="{00000000-0005-0000-0000-000018010000}"/>
    <cellStyle name="Standard 2 3 3 3 6 3" xfId="256" xr:uid="{00000000-0005-0000-0000-000019010000}"/>
    <cellStyle name="Standard 2 3 3 3 6 3 2" xfId="257" xr:uid="{00000000-0005-0000-0000-00001A010000}"/>
    <cellStyle name="Standard 2 3 3 3 7" xfId="258" xr:uid="{00000000-0005-0000-0000-00001B010000}"/>
    <cellStyle name="Standard 2 3 3 3 7 2" xfId="259" xr:uid="{00000000-0005-0000-0000-00001C010000}"/>
    <cellStyle name="Standard 2 3 3 4" xfId="260" xr:uid="{00000000-0005-0000-0000-00001D010000}"/>
    <cellStyle name="Standard 2 3 3 4 2" xfId="261" xr:uid="{00000000-0005-0000-0000-00001E010000}"/>
    <cellStyle name="Standard 2 3 3 4 2 2" xfId="262" xr:uid="{00000000-0005-0000-0000-00001F010000}"/>
    <cellStyle name="Standard 2 3 3 4 2 2 2" xfId="263" xr:uid="{00000000-0005-0000-0000-000020010000}"/>
    <cellStyle name="Standard 2 3 3 4 2 3" xfId="264" xr:uid="{00000000-0005-0000-0000-000021010000}"/>
    <cellStyle name="Standard 2 3 3 4 2 4" xfId="265" xr:uid="{00000000-0005-0000-0000-000022010000}"/>
    <cellStyle name="Standard 2 3 3 4 2 5" xfId="266" xr:uid="{00000000-0005-0000-0000-000023010000}"/>
    <cellStyle name="Standard 2 3 3 4 2 5 2" xfId="267" xr:uid="{00000000-0005-0000-0000-000024010000}"/>
    <cellStyle name="Standard 2 3 3 4 2 5 3" xfId="268" xr:uid="{00000000-0005-0000-0000-000025010000}"/>
    <cellStyle name="Standard 2 3 3 4 2 5 3 2" xfId="269" xr:uid="{00000000-0005-0000-0000-000026010000}"/>
    <cellStyle name="Standard 2 3 3 4 2 6" xfId="270" xr:uid="{00000000-0005-0000-0000-000027010000}"/>
    <cellStyle name="Standard 2 3 3 4 2 6 2" xfId="271" xr:uid="{00000000-0005-0000-0000-000028010000}"/>
    <cellStyle name="Standard 2 3 3 5" xfId="272" xr:uid="{00000000-0005-0000-0000-000029010000}"/>
    <cellStyle name="Standard 2 3 3 5 2" xfId="273" xr:uid="{00000000-0005-0000-0000-00002A010000}"/>
    <cellStyle name="Standard 2 3 3 6" xfId="274" xr:uid="{00000000-0005-0000-0000-00002B010000}"/>
    <cellStyle name="Standard 2 3 3 6 2" xfId="275" xr:uid="{00000000-0005-0000-0000-00002C010000}"/>
    <cellStyle name="Standard 2 3 3 6 3" xfId="276" xr:uid="{00000000-0005-0000-0000-00002D010000}"/>
    <cellStyle name="Standard 2 3 3 6 3 2" xfId="277" xr:uid="{00000000-0005-0000-0000-00002E010000}"/>
    <cellStyle name="Standard 2 3 3 7" xfId="278" xr:uid="{00000000-0005-0000-0000-00002F010000}"/>
    <cellStyle name="Standard 2 3 3 7 2" xfId="279" xr:uid="{00000000-0005-0000-0000-000030010000}"/>
    <cellStyle name="Standard 2 3 3 7 3" xfId="280" xr:uid="{00000000-0005-0000-0000-000031010000}"/>
    <cellStyle name="Standard 2 3 3 7 3 2" xfId="281" xr:uid="{00000000-0005-0000-0000-000032010000}"/>
    <cellStyle name="Standard 2 3 3 8" xfId="282" xr:uid="{00000000-0005-0000-0000-000033010000}"/>
    <cellStyle name="Standard 2 3 3 8 2" xfId="283" xr:uid="{00000000-0005-0000-0000-000034010000}"/>
    <cellStyle name="Standard 2 3 4" xfId="284" xr:uid="{00000000-0005-0000-0000-000035010000}"/>
    <cellStyle name="Standard 2 3 5" xfId="285" xr:uid="{00000000-0005-0000-0000-000036010000}"/>
    <cellStyle name="Standard 2 4" xfId="286" xr:uid="{00000000-0005-0000-0000-000037010000}"/>
    <cellStyle name="Standard 2 4 2" xfId="287" xr:uid="{00000000-0005-0000-0000-000038010000}"/>
    <cellStyle name="Standard 2 4 2 2" xfId="288" xr:uid="{00000000-0005-0000-0000-000039010000}"/>
    <cellStyle name="Standard 2 4 2 3" xfId="289" xr:uid="{00000000-0005-0000-0000-00003A010000}"/>
    <cellStyle name="Standard 2 4 3" xfId="290" xr:uid="{00000000-0005-0000-0000-00003B010000}"/>
    <cellStyle name="Standard 2 4 3 2" xfId="291" xr:uid="{00000000-0005-0000-0000-00003C010000}"/>
    <cellStyle name="Standard 2 4 3 2 2" xfId="292" xr:uid="{00000000-0005-0000-0000-00003D010000}"/>
    <cellStyle name="Standard 2 4 3 2 3" xfId="293" xr:uid="{00000000-0005-0000-0000-00003E010000}"/>
    <cellStyle name="Standard 2 4 3 3" xfId="294" xr:uid="{00000000-0005-0000-0000-00003F010000}"/>
    <cellStyle name="Standard 2 4 3 3 2" xfId="295" xr:uid="{00000000-0005-0000-0000-000040010000}"/>
    <cellStyle name="Standard 2 4 3 3 2 2" xfId="296" xr:uid="{00000000-0005-0000-0000-000041010000}"/>
    <cellStyle name="Standard 2 4 3 3 2 3" xfId="297" xr:uid="{00000000-0005-0000-0000-000042010000}"/>
    <cellStyle name="Standard 2 4 3 3 3" xfId="298" xr:uid="{00000000-0005-0000-0000-000043010000}"/>
    <cellStyle name="Standard 2 4 3 3 4" xfId="299" xr:uid="{00000000-0005-0000-0000-000044010000}"/>
    <cellStyle name="Standard 2 4 3 3 4 2" xfId="300" xr:uid="{00000000-0005-0000-0000-000045010000}"/>
    <cellStyle name="Standard 2 4 3 3 4 2 2" xfId="301" xr:uid="{00000000-0005-0000-0000-000046010000}"/>
    <cellStyle name="Standard 2 4 3 3 4 2 2 2" xfId="302" xr:uid="{00000000-0005-0000-0000-000047010000}"/>
    <cellStyle name="Standard 2 4 3 3 4 2 3" xfId="303" xr:uid="{00000000-0005-0000-0000-000048010000}"/>
    <cellStyle name="Standard 2 4 3 3 4 2 4" xfId="304" xr:uid="{00000000-0005-0000-0000-000049010000}"/>
    <cellStyle name="Standard 2 4 3 3 4 2 5" xfId="305" xr:uid="{00000000-0005-0000-0000-00004A010000}"/>
    <cellStyle name="Standard 2 4 3 3 4 2 5 2" xfId="306" xr:uid="{00000000-0005-0000-0000-00004B010000}"/>
    <cellStyle name="Standard 2 4 3 3 4 2 5 3" xfId="307" xr:uid="{00000000-0005-0000-0000-00004C010000}"/>
    <cellStyle name="Standard 2 4 3 3 4 2 5 3 2" xfId="308" xr:uid="{00000000-0005-0000-0000-00004D010000}"/>
    <cellStyle name="Standard 2 4 3 3 4 2 6" xfId="309" xr:uid="{00000000-0005-0000-0000-00004E010000}"/>
    <cellStyle name="Standard 2 4 3 3 4 2 6 2" xfId="310" xr:uid="{00000000-0005-0000-0000-00004F010000}"/>
    <cellStyle name="Standard 2 4 3 3 5" xfId="311" xr:uid="{00000000-0005-0000-0000-000050010000}"/>
    <cellStyle name="Standard 2 4 3 3 5 2" xfId="312" xr:uid="{00000000-0005-0000-0000-000051010000}"/>
    <cellStyle name="Standard 2 4 3 3 6" xfId="313" xr:uid="{00000000-0005-0000-0000-000052010000}"/>
    <cellStyle name="Standard 2 4 3 3 6 2" xfId="314" xr:uid="{00000000-0005-0000-0000-000053010000}"/>
    <cellStyle name="Standard 2 4 3 3 6 3" xfId="315" xr:uid="{00000000-0005-0000-0000-000054010000}"/>
    <cellStyle name="Standard 2 4 3 3 6 3 2" xfId="316" xr:uid="{00000000-0005-0000-0000-000055010000}"/>
    <cellStyle name="Standard 2 4 3 3 7" xfId="317" xr:uid="{00000000-0005-0000-0000-000056010000}"/>
    <cellStyle name="Standard 2 4 3 3 7 2" xfId="318" xr:uid="{00000000-0005-0000-0000-000057010000}"/>
    <cellStyle name="Standard 2 4 3 4" xfId="319" xr:uid="{00000000-0005-0000-0000-000058010000}"/>
    <cellStyle name="Standard 2 4 3 4 2" xfId="320" xr:uid="{00000000-0005-0000-0000-000059010000}"/>
    <cellStyle name="Standard 2 4 3 4 2 2" xfId="321" xr:uid="{00000000-0005-0000-0000-00005A010000}"/>
    <cellStyle name="Standard 2 4 3 4 2 2 2" xfId="322" xr:uid="{00000000-0005-0000-0000-00005B010000}"/>
    <cellStyle name="Standard 2 4 3 4 2 3" xfId="323" xr:uid="{00000000-0005-0000-0000-00005C010000}"/>
    <cellStyle name="Standard 2 4 3 4 2 4" xfId="324" xr:uid="{00000000-0005-0000-0000-00005D010000}"/>
    <cellStyle name="Standard 2 4 3 4 2 5" xfId="325" xr:uid="{00000000-0005-0000-0000-00005E010000}"/>
    <cellStyle name="Standard 2 4 3 4 2 5 2" xfId="326" xr:uid="{00000000-0005-0000-0000-00005F010000}"/>
    <cellStyle name="Standard 2 4 3 4 2 5 3" xfId="327" xr:uid="{00000000-0005-0000-0000-000060010000}"/>
    <cellStyle name="Standard 2 4 3 4 2 5 3 2" xfId="328" xr:uid="{00000000-0005-0000-0000-000061010000}"/>
    <cellStyle name="Standard 2 4 3 4 2 6" xfId="329" xr:uid="{00000000-0005-0000-0000-000062010000}"/>
    <cellStyle name="Standard 2 4 3 4 2 6 2" xfId="330" xr:uid="{00000000-0005-0000-0000-000063010000}"/>
    <cellStyle name="Standard 2 4 3 5" xfId="331" xr:uid="{00000000-0005-0000-0000-000064010000}"/>
    <cellStyle name="Standard 2 4 3 5 2" xfId="332" xr:uid="{00000000-0005-0000-0000-000065010000}"/>
    <cellStyle name="Standard 2 4 3 6" xfId="333" xr:uid="{00000000-0005-0000-0000-000066010000}"/>
    <cellStyle name="Standard 2 4 3 6 2" xfId="334" xr:uid="{00000000-0005-0000-0000-000067010000}"/>
    <cellStyle name="Standard 2 4 3 6 3" xfId="335" xr:uid="{00000000-0005-0000-0000-000068010000}"/>
    <cellStyle name="Standard 2 4 3 6 3 2" xfId="336" xr:uid="{00000000-0005-0000-0000-000069010000}"/>
    <cellStyle name="Standard 2 4 3 7" xfId="337" xr:uid="{00000000-0005-0000-0000-00006A010000}"/>
    <cellStyle name="Standard 2 4 3 7 2" xfId="338" xr:uid="{00000000-0005-0000-0000-00006B010000}"/>
    <cellStyle name="Standard 2 4 3 7 3" xfId="339" xr:uid="{00000000-0005-0000-0000-00006C010000}"/>
    <cellStyle name="Standard 2 4 3 7 3 2" xfId="340" xr:uid="{00000000-0005-0000-0000-00006D010000}"/>
    <cellStyle name="Standard 2 4 3 8" xfId="341" xr:uid="{00000000-0005-0000-0000-00006E010000}"/>
    <cellStyle name="Standard 2 4 3 8 2" xfId="342" xr:uid="{00000000-0005-0000-0000-00006F010000}"/>
    <cellStyle name="Standard 2 5" xfId="343" xr:uid="{00000000-0005-0000-0000-000070010000}"/>
    <cellStyle name="Standard 2 6" xfId="344" xr:uid="{00000000-0005-0000-0000-000071010000}"/>
    <cellStyle name="Standard 2 6 2" xfId="345" xr:uid="{00000000-0005-0000-0000-000072010000}"/>
    <cellStyle name="Standard 2 6 3" xfId="346" xr:uid="{00000000-0005-0000-0000-000073010000}"/>
    <cellStyle name="Standard 2 7" xfId="347" xr:uid="{00000000-0005-0000-0000-000074010000}"/>
    <cellStyle name="Standard 20" xfId="695" xr:uid="{00000000-0005-0000-0000-000075010000}"/>
    <cellStyle name="Standard 21" xfId="696" xr:uid="{00000000-0005-0000-0000-000076010000}"/>
    <cellStyle name="Standard 22" xfId="697" xr:uid="{00000000-0005-0000-0000-000077010000}"/>
    <cellStyle name="Standard 23" xfId="698" xr:uid="{00000000-0005-0000-0000-000078010000}"/>
    <cellStyle name="Standard 24" xfId="699" xr:uid="{00000000-0005-0000-0000-000079010000}"/>
    <cellStyle name="Standard 25" xfId="700" xr:uid="{00000000-0005-0000-0000-00007A010000}"/>
    <cellStyle name="Standard 3" xfId="348" xr:uid="{00000000-0005-0000-0000-00007B010000}"/>
    <cellStyle name="Standard 3 2" xfId="349" xr:uid="{00000000-0005-0000-0000-00007C010000}"/>
    <cellStyle name="Standard 3 2 2" xfId="672" xr:uid="{00000000-0005-0000-0000-00007D010000}"/>
    <cellStyle name="Standard 3 3" xfId="350" xr:uid="{00000000-0005-0000-0000-00007E010000}"/>
    <cellStyle name="Standard 3 4" xfId="351" xr:uid="{00000000-0005-0000-0000-00007F010000}"/>
    <cellStyle name="Standard 3 5" xfId="352" xr:uid="{00000000-0005-0000-0000-000080010000}"/>
    <cellStyle name="Standard 3 6" xfId="669" xr:uid="{00000000-0005-0000-0000-000081010000}"/>
    <cellStyle name="Standard 3_SysID" xfId="701" xr:uid="{00000000-0005-0000-0000-000082010000}"/>
    <cellStyle name="Standard 4" xfId="353" xr:uid="{00000000-0005-0000-0000-000083010000}"/>
    <cellStyle name="Standard 4 10" xfId="354" xr:uid="{00000000-0005-0000-0000-000084010000}"/>
    <cellStyle name="Standard 4 10 2" xfId="702" xr:uid="{00000000-0005-0000-0000-000085010000}"/>
    <cellStyle name="Standard 4 11" xfId="355" xr:uid="{00000000-0005-0000-0000-000086010000}"/>
    <cellStyle name="Standard 4 12" xfId="670" xr:uid="{00000000-0005-0000-0000-000087010000}"/>
    <cellStyle name="Standard 4 13" xfId="717" xr:uid="{00000000-0005-0000-0000-000088010000}"/>
    <cellStyle name="Standard 4 2" xfId="356" xr:uid="{00000000-0005-0000-0000-000089010000}"/>
    <cellStyle name="Standard 4 2 2" xfId="357" xr:uid="{00000000-0005-0000-0000-00008A010000}"/>
    <cellStyle name="Standard 4 2 2 2" xfId="358" xr:uid="{00000000-0005-0000-0000-00008B010000}"/>
    <cellStyle name="Standard 4 2 2 2 2" xfId="359" xr:uid="{00000000-0005-0000-0000-00008C010000}"/>
    <cellStyle name="Standard 4 2 2 2 2 2" xfId="360" xr:uid="{00000000-0005-0000-0000-00008D010000}"/>
    <cellStyle name="Standard 4 2 2 2 2 2 2" xfId="361" xr:uid="{00000000-0005-0000-0000-00008E010000}"/>
    <cellStyle name="Standard 4 2 2 2 2 3" xfId="362" xr:uid="{00000000-0005-0000-0000-00008F010000}"/>
    <cellStyle name="Standard 4 2 2 2 2 4" xfId="363" xr:uid="{00000000-0005-0000-0000-000090010000}"/>
    <cellStyle name="Standard 4 2 2 2 3" xfId="364" xr:uid="{00000000-0005-0000-0000-000091010000}"/>
    <cellStyle name="Standard 4 2 2 2 3 2" xfId="365" xr:uid="{00000000-0005-0000-0000-000092010000}"/>
    <cellStyle name="Standard 4 2 2 2 4" xfId="366" xr:uid="{00000000-0005-0000-0000-000093010000}"/>
    <cellStyle name="Standard 4 2 2 2 5" xfId="367" xr:uid="{00000000-0005-0000-0000-000094010000}"/>
    <cellStyle name="Standard 4 2 2 3" xfId="368" xr:uid="{00000000-0005-0000-0000-000095010000}"/>
    <cellStyle name="Standard 4 2 2 3 2" xfId="369" xr:uid="{00000000-0005-0000-0000-000096010000}"/>
    <cellStyle name="Standard 4 2 2 3 2 2" xfId="370" xr:uid="{00000000-0005-0000-0000-000097010000}"/>
    <cellStyle name="Standard 4 2 2 3 3" xfId="371" xr:uid="{00000000-0005-0000-0000-000098010000}"/>
    <cellStyle name="Standard 4 2 2 3 4" xfId="372" xr:uid="{00000000-0005-0000-0000-000099010000}"/>
    <cellStyle name="Standard 4 2 2 4" xfId="373" xr:uid="{00000000-0005-0000-0000-00009A010000}"/>
    <cellStyle name="Standard 4 2 2 4 2" xfId="374" xr:uid="{00000000-0005-0000-0000-00009B010000}"/>
    <cellStyle name="Standard 4 2 2 5" xfId="375" xr:uid="{00000000-0005-0000-0000-00009C010000}"/>
    <cellStyle name="Standard 4 2 2 6" xfId="376" xr:uid="{00000000-0005-0000-0000-00009D010000}"/>
    <cellStyle name="Standard 4 2 3" xfId="377" xr:uid="{00000000-0005-0000-0000-00009E010000}"/>
    <cellStyle name="Standard 4 2 3 2" xfId="378" xr:uid="{00000000-0005-0000-0000-00009F010000}"/>
    <cellStyle name="Standard 4 2 3 2 2" xfId="379" xr:uid="{00000000-0005-0000-0000-0000A0010000}"/>
    <cellStyle name="Standard 4 2 3 2 2 2" xfId="380" xr:uid="{00000000-0005-0000-0000-0000A1010000}"/>
    <cellStyle name="Standard 4 2 3 2 2 2 2" xfId="381" xr:uid="{00000000-0005-0000-0000-0000A2010000}"/>
    <cellStyle name="Standard 4 2 3 2 2 3" xfId="382" xr:uid="{00000000-0005-0000-0000-0000A3010000}"/>
    <cellStyle name="Standard 4 2 3 2 2 4" xfId="383" xr:uid="{00000000-0005-0000-0000-0000A4010000}"/>
    <cellStyle name="Standard 4 2 3 2 3" xfId="384" xr:uid="{00000000-0005-0000-0000-0000A5010000}"/>
    <cellStyle name="Standard 4 2 3 2 3 2" xfId="385" xr:uid="{00000000-0005-0000-0000-0000A6010000}"/>
    <cellStyle name="Standard 4 2 3 2 4" xfId="386" xr:uid="{00000000-0005-0000-0000-0000A7010000}"/>
    <cellStyle name="Standard 4 2 3 2 5" xfId="387" xr:uid="{00000000-0005-0000-0000-0000A8010000}"/>
    <cellStyle name="Standard 4 2 3 3" xfId="388" xr:uid="{00000000-0005-0000-0000-0000A9010000}"/>
    <cellStyle name="Standard 4 2 3 3 2" xfId="389" xr:uid="{00000000-0005-0000-0000-0000AA010000}"/>
    <cellStyle name="Standard 4 2 3 3 2 2" xfId="390" xr:uid="{00000000-0005-0000-0000-0000AB010000}"/>
    <cellStyle name="Standard 4 2 3 3 3" xfId="391" xr:uid="{00000000-0005-0000-0000-0000AC010000}"/>
    <cellStyle name="Standard 4 2 3 3 4" xfId="392" xr:uid="{00000000-0005-0000-0000-0000AD010000}"/>
    <cellStyle name="Standard 4 2 3 4" xfId="393" xr:uid="{00000000-0005-0000-0000-0000AE010000}"/>
    <cellStyle name="Standard 4 2 3 4 2" xfId="394" xr:uid="{00000000-0005-0000-0000-0000AF010000}"/>
    <cellStyle name="Standard 4 2 3 5" xfId="395" xr:uid="{00000000-0005-0000-0000-0000B0010000}"/>
    <cellStyle name="Standard 4 2 3 6" xfId="396" xr:uid="{00000000-0005-0000-0000-0000B1010000}"/>
    <cellStyle name="Standard 4 2 4" xfId="397" xr:uid="{00000000-0005-0000-0000-0000B2010000}"/>
    <cellStyle name="Standard 4 2 4 2" xfId="398" xr:uid="{00000000-0005-0000-0000-0000B3010000}"/>
    <cellStyle name="Standard 4 2 4 2 2" xfId="399" xr:uid="{00000000-0005-0000-0000-0000B4010000}"/>
    <cellStyle name="Standard 4 2 4 2 2 2" xfId="400" xr:uid="{00000000-0005-0000-0000-0000B5010000}"/>
    <cellStyle name="Standard 4 2 4 2 3" xfId="401" xr:uid="{00000000-0005-0000-0000-0000B6010000}"/>
    <cellStyle name="Standard 4 2 4 2 4" xfId="402" xr:uid="{00000000-0005-0000-0000-0000B7010000}"/>
    <cellStyle name="Standard 4 2 4 3" xfId="403" xr:uid="{00000000-0005-0000-0000-0000B8010000}"/>
    <cellStyle name="Standard 4 2 4 3 2" xfId="404" xr:uid="{00000000-0005-0000-0000-0000B9010000}"/>
    <cellStyle name="Standard 4 2 4 4" xfId="405" xr:uid="{00000000-0005-0000-0000-0000BA010000}"/>
    <cellStyle name="Standard 4 2 4 5" xfId="406" xr:uid="{00000000-0005-0000-0000-0000BB010000}"/>
    <cellStyle name="Standard 4 2 5" xfId="407" xr:uid="{00000000-0005-0000-0000-0000BC010000}"/>
    <cellStyle name="Standard 4 2 5 2" xfId="408" xr:uid="{00000000-0005-0000-0000-0000BD010000}"/>
    <cellStyle name="Standard 4 2 5 2 2" xfId="409" xr:uid="{00000000-0005-0000-0000-0000BE010000}"/>
    <cellStyle name="Standard 4 2 5 3" xfId="410" xr:uid="{00000000-0005-0000-0000-0000BF010000}"/>
    <cellStyle name="Standard 4 2 5 4" xfId="411" xr:uid="{00000000-0005-0000-0000-0000C0010000}"/>
    <cellStyle name="Standard 4 2 6" xfId="412" xr:uid="{00000000-0005-0000-0000-0000C1010000}"/>
    <cellStyle name="Standard 4 2 6 2" xfId="413" xr:uid="{00000000-0005-0000-0000-0000C2010000}"/>
    <cellStyle name="Standard 4 2 7" xfId="414" xr:uid="{00000000-0005-0000-0000-0000C3010000}"/>
    <cellStyle name="Standard 4 2 7 2" xfId="703" xr:uid="{00000000-0005-0000-0000-0000C4010000}"/>
    <cellStyle name="Standard 4 2 8" xfId="415" xr:uid="{00000000-0005-0000-0000-0000C5010000}"/>
    <cellStyle name="Standard 4 2_SysID" xfId="704" xr:uid="{00000000-0005-0000-0000-0000C6010000}"/>
    <cellStyle name="Standard 4 3" xfId="416" xr:uid="{00000000-0005-0000-0000-0000C7010000}"/>
    <cellStyle name="Standard 4 3 2" xfId="417" xr:uid="{00000000-0005-0000-0000-0000C8010000}"/>
    <cellStyle name="Standard 4 3 2 2" xfId="418" xr:uid="{00000000-0005-0000-0000-0000C9010000}"/>
    <cellStyle name="Standard 4 3 2 2 2" xfId="419" xr:uid="{00000000-0005-0000-0000-0000CA010000}"/>
    <cellStyle name="Standard 4 3 2 2 2 2" xfId="420" xr:uid="{00000000-0005-0000-0000-0000CB010000}"/>
    <cellStyle name="Standard 4 3 2 2 3" xfId="421" xr:uid="{00000000-0005-0000-0000-0000CC010000}"/>
    <cellStyle name="Standard 4 3 2 2 4" xfId="422" xr:uid="{00000000-0005-0000-0000-0000CD010000}"/>
    <cellStyle name="Standard 4 3 2 3" xfId="423" xr:uid="{00000000-0005-0000-0000-0000CE010000}"/>
    <cellStyle name="Standard 4 3 2 3 2" xfId="424" xr:uid="{00000000-0005-0000-0000-0000CF010000}"/>
    <cellStyle name="Standard 4 3 2 4" xfId="425" xr:uid="{00000000-0005-0000-0000-0000D0010000}"/>
    <cellStyle name="Standard 4 3 2 5" xfId="426" xr:uid="{00000000-0005-0000-0000-0000D1010000}"/>
    <cellStyle name="Standard 4 3 3" xfId="427" xr:uid="{00000000-0005-0000-0000-0000D2010000}"/>
    <cellStyle name="Standard 4 3 3 2" xfId="428" xr:uid="{00000000-0005-0000-0000-0000D3010000}"/>
    <cellStyle name="Standard 4 3 3 2 2" xfId="429" xr:uid="{00000000-0005-0000-0000-0000D4010000}"/>
    <cellStyle name="Standard 4 3 3 3" xfId="430" xr:uid="{00000000-0005-0000-0000-0000D5010000}"/>
    <cellStyle name="Standard 4 3 3 4" xfId="431" xr:uid="{00000000-0005-0000-0000-0000D6010000}"/>
    <cellStyle name="Standard 4 3 4" xfId="432" xr:uid="{00000000-0005-0000-0000-0000D7010000}"/>
    <cellStyle name="Standard 4 3 4 2" xfId="433" xr:uid="{00000000-0005-0000-0000-0000D8010000}"/>
    <cellStyle name="Standard 4 3 5" xfId="434" xr:uid="{00000000-0005-0000-0000-0000D9010000}"/>
    <cellStyle name="Standard 4 3 6" xfId="435" xr:uid="{00000000-0005-0000-0000-0000DA010000}"/>
    <cellStyle name="Standard 4 4" xfId="436" xr:uid="{00000000-0005-0000-0000-0000DB010000}"/>
    <cellStyle name="Standard 4 4 2" xfId="437" xr:uid="{00000000-0005-0000-0000-0000DC010000}"/>
    <cellStyle name="Standard 4 4 2 2" xfId="438" xr:uid="{00000000-0005-0000-0000-0000DD010000}"/>
    <cellStyle name="Standard 4 4 2 2 2" xfId="439" xr:uid="{00000000-0005-0000-0000-0000DE010000}"/>
    <cellStyle name="Standard 4 4 2 2 2 2" xfId="440" xr:uid="{00000000-0005-0000-0000-0000DF010000}"/>
    <cellStyle name="Standard 4 4 2 2 3" xfId="441" xr:uid="{00000000-0005-0000-0000-0000E0010000}"/>
    <cellStyle name="Standard 4 4 2 2 4" xfId="442" xr:uid="{00000000-0005-0000-0000-0000E1010000}"/>
    <cellStyle name="Standard 4 4 2 3" xfId="443" xr:uid="{00000000-0005-0000-0000-0000E2010000}"/>
    <cellStyle name="Standard 4 4 2 3 2" xfId="444" xr:uid="{00000000-0005-0000-0000-0000E3010000}"/>
    <cellStyle name="Standard 4 4 2 4" xfId="445" xr:uid="{00000000-0005-0000-0000-0000E4010000}"/>
    <cellStyle name="Standard 4 4 2 5" xfId="446" xr:uid="{00000000-0005-0000-0000-0000E5010000}"/>
    <cellStyle name="Standard 4 4 3" xfId="447" xr:uid="{00000000-0005-0000-0000-0000E6010000}"/>
    <cellStyle name="Standard 4 4 3 2" xfId="448" xr:uid="{00000000-0005-0000-0000-0000E7010000}"/>
    <cellStyle name="Standard 4 4 3 2 2" xfId="449" xr:uid="{00000000-0005-0000-0000-0000E8010000}"/>
    <cellStyle name="Standard 4 4 3 3" xfId="450" xr:uid="{00000000-0005-0000-0000-0000E9010000}"/>
    <cellStyle name="Standard 4 4 3 4" xfId="451" xr:uid="{00000000-0005-0000-0000-0000EA010000}"/>
    <cellStyle name="Standard 4 4 4" xfId="452" xr:uid="{00000000-0005-0000-0000-0000EB010000}"/>
    <cellStyle name="Standard 4 4 4 2" xfId="453" xr:uid="{00000000-0005-0000-0000-0000EC010000}"/>
    <cellStyle name="Standard 4 4 5" xfId="454" xr:uid="{00000000-0005-0000-0000-0000ED010000}"/>
    <cellStyle name="Standard 4 4 6" xfId="455" xr:uid="{00000000-0005-0000-0000-0000EE010000}"/>
    <cellStyle name="Standard 4 5" xfId="456" xr:uid="{00000000-0005-0000-0000-0000EF010000}"/>
    <cellStyle name="Standard 4 5 2" xfId="457" xr:uid="{00000000-0005-0000-0000-0000F0010000}"/>
    <cellStyle name="Standard 4 5 2 2" xfId="458" xr:uid="{00000000-0005-0000-0000-0000F1010000}"/>
    <cellStyle name="Standard 4 5 2 2 2" xfId="459" xr:uid="{00000000-0005-0000-0000-0000F2010000}"/>
    <cellStyle name="Standard 4 5 2 3" xfId="460" xr:uid="{00000000-0005-0000-0000-0000F3010000}"/>
    <cellStyle name="Standard 4 5 2 4" xfId="461" xr:uid="{00000000-0005-0000-0000-0000F4010000}"/>
    <cellStyle name="Standard 4 5 3" xfId="462" xr:uid="{00000000-0005-0000-0000-0000F5010000}"/>
    <cellStyle name="Standard 4 5 3 2" xfId="463" xr:uid="{00000000-0005-0000-0000-0000F6010000}"/>
    <cellStyle name="Standard 4 5 4" xfId="464" xr:uid="{00000000-0005-0000-0000-0000F7010000}"/>
    <cellStyle name="Standard 4 5 5" xfId="465" xr:uid="{00000000-0005-0000-0000-0000F8010000}"/>
    <cellStyle name="Standard 4 6" xfId="466" xr:uid="{00000000-0005-0000-0000-0000F9010000}"/>
    <cellStyle name="Standard 4 6 2" xfId="467" xr:uid="{00000000-0005-0000-0000-0000FA010000}"/>
    <cellStyle name="Standard 4 6 2 2" xfId="468" xr:uid="{00000000-0005-0000-0000-0000FB010000}"/>
    <cellStyle name="Standard 4 6 3" xfId="469" xr:uid="{00000000-0005-0000-0000-0000FC010000}"/>
    <cellStyle name="Standard 4 6 4" xfId="470" xr:uid="{00000000-0005-0000-0000-0000FD010000}"/>
    <cellStyle name="Standard 4 7" xfId="471" xr:uid="{00000000-0005-0000-0000-0000FE010000}"/>
    <cellStyle name="Standard 4 7 2" xfId="472" xr:uid="{00000000-0005-0000-0000-0000FF010000}"/>
    <cellStyle name="Standard 4 8" xfId="473" xr:uid="{00000000-0005-0000-0000-000000020000}"/>
    <cellStyle name="Standard 4 8 2" xfId="474" xr:uid="{00000000-0005-0000-0000-000001020000}"/>
    <cellStyle name="Standard 4 9" xfId="475" xr:uid="{00000000-0005-0000-0000-000002020000}"/>
    <cellStyle name="Standard 4_SysID" xfId="705" xr:uid="{00000000-0005-0000-0000-000003020000}"/>
    <cellStyle name="Standard 5" xfId="476" xr:uid="{00000000-0005-0000-0000-000004020000}"/>
    <cellStyle name="Standard 5 10" xfId="477" xr:uid="{00000000-0005-0000-0000-000005020000}"/>
    <cellStyle name="Standard 5 11" xfId="478" xr:uid="{00000000-0005-0000-0000-000006020000}"/>
    <cellStyle name="Standard 5 12" xfId="671" xr:uid="{00000000-0005-0000-0000-000007020000}"/>
    <cellStyle name="Standard 5 2" xfId="479" xr:uid="{00000000-0005-0000-0000-000008020000}"/>
    <cellStyle name="Standard 5 2 2" xfId="480" xr:uid="{00000000-0005-0000-0000-000009020000}"/>
    <cellStyle name="Standard 5 2 2 2" xfId="481" xr:uid="{00000000-0005-0000-0000-00000A020000}"/>
    <cellStyle name="Standard 5 2 2 2 2" xfId="482" xr:uid="{00000000-0005-0000-0000-00000B020000}"/>
    <cellStyle name="Standard 5 2 2 2 2 2" xfId="483" xr:uid="{00000000-0005-0000-0000-00000C020000}"/>
    <cellStyle name="Standard 5 2 2 2 2 2 2" xfId="484" xr:uid="{00000000-0005-0000-0000-00000D020000}"/>
    <cellStyle name="Standard 5 2 2 2 2 3" xfId="485" xr:uid="{00000000-0005-0000-0000-00000E020000}"/>
    <cellStyle name="Standard 5 2 2 2 2 4" xfId="486" xr:uid="{00000000-0005-0000-0000-00000F020000}"/>
    <cellStyle name="Standard 5 2 2 2 3" xfId="487" xr:uid="{00000000-0005-0000-0000-000010020000}"/>
    <cellStyle name="Standard 5 2 2 2 3 2" xfId="488" xr:uid="{00000000-0005-0000-0000-000011020000}"/>
    <cellStyle name="Standard 5 2 2 2 4" xfId="489" xr:uid="{00000000-0005-0000-0000-000012020000}"/>
    <cellStyle name="Standard 5 2 2 2 5" xfId="490" xr:uid="{00000000-0005-0000-0000-000013020000}"/>
    <cellStyle name="Standard 5 2 2 3" xfId="491" xr:uid="{00000000-0005-0000-0000-000014020000}"/>
    <cellStyle name="Standard 5 2 2 3 2" xfId="492" xr:uid="{00000000-0005-0000-0000-000015020000}"/>
    <cellStyle name="Standard 5 2 2 3 2 2" xfId="493" xr:uid="{00000000-0005-0000-0000-000016020000}"/>
    <cellStyle name="Standard 5 2 2 3 3" xfId="494" xr:uid="{00000000-0005-0000-0000-000017020000}"/>
    <cellStyle name="Standard 5 2 2 3 4" xfId="495" xr:uid="{00000000-0005-0000-0000-000018020000}"/>
    <cellStyle name="Standard 5 2 2 4" xfId="496" xr:uid="{00000000-0005-0000-0000-000019020000}"/>
    <cellStyle name="Standard 5 2 2 4 2" xfId="497" xr:uid="{00000000-0005-0000-0000-00001A020000}"/>
    <cellStyle name="Standard 5 2 2 5" xfId="498" xr:uid="{00000000-0005-0000-0000-00001B020000}"/>
    <cellStyle name="Standard 5 2 2 6" xfId="499" xr:uid="{00000000-0005-0000-0000-00001C020000}"/>
    <cellStyle name="Standard 5 2 3" xfId="500" xr:uid="{00000000-0005-0000-0000-00001D020000}"/>
    <cellStyle name="Standard 5 2 3 2" xfId="501" xr:uid="{00000000-0005-0000-0000-00001E020000}"/>
    <cellStyle name="Standard 5 2 3 2 2" xfId="502" xr:uid="{00000000-0005-0000-0000-00001F020000}"/>
    <cellStyle name="Standard 5 2 3 2 2 2" xfId="503" xr:uid="{00000000-0005-0000-0000-000020020000}"/>
    <cellStyle name="Standard 5 2 3 2 2 2 2" xfId="504" xr:uid="{00000000-0005-0000-0000-000021020000}"/>
    <cellStyle name="Standard 5 2 3 2 2 3" xfId="505" xr:uid="{00000000-0005-0000-0000-000022020000}"/>
    <cellStyle name="Standard 5 2 3 2 2 4" xfId="506" xr:uid="{00000000-0005-0000-0000-000023020000}"/>
    <cellStyle name="Standard 5 2 3 2 3" xfId="507" xr:uid="{00000000-0005-0000-0000-000024020000}"/>
    <cellStyle name="Standard 5 2 3 2 3 2" xfId="508" xr:uid="{00000000-0005-0000-0000-000025020000}"/>
    <cellStyle name="Standard 5 2 3 2 4" xfId="509" xr:uid="{00000000-0005-0000-0000-000026020000}"/>
    <cellStyle name="Standard 5 2 3 2 5" xfId="510" xr:uid="{00000000-0005-0000-0000-000027020000}"/>
    <cellStyle name="Standard 5 2 3 3" xfId="511" xr:uid="{00000000-0005-0000-0000-000028020000}"/>
    <cellStyle name="Standard 5 2 3 3 2" xfId="512" xr:uid="{00000000-0005-0000-0000-000029020000}"/>
    <cellStyle name="Standard 5 2 3 3 2 2" xfId="513" xr:uid="{00000000-0005-0000-0000-00002A020000}"/>
    <cellStyle name="Standard 5 2 3 3 3" xfId="514" xr:uid="{00000000-0005-0000-0000-00002B020000}"/>
    <cellStyle name="Standard 5 2 3 3 4" xfId="515" xr:uid="{00000000-0005-0000-0000-00002C020000}"/>
    <cellStyle name="Standard 5 2 3 4" xfId="516" xr:uid="{00000000-0005-0000-0000-00002D020000}"/>
    <cellStyle name="Standard 5 2 3 4 2" xfId="517" xr:uid="{00000000-0005-0000-0000-00002E020000}"/>
    <cellStyle name="Standard 5 2 3 5" xfId="518" xr:uid="{00000000-0005-0000-0000-00002F020000}"/>
    <cellStyle name="Standard 5 2 3 6" xfId="519" xr:uid="{00000000-0005-0000-0000-000030020000}"/>
    <cellStyle name="Standard 5 2 4" xfId="520" xr:uid="{00000000-0005-0000-0000-000031020000}"/>
    <cellStyle name="Standard 5 2 4 2" xfId="521" xr:uid="{00000000-0005-0000-0000-000032020000}"/>
    <cellStyle name="Standard 5 2 4 2 2" xfId="522" xr:uid="{00000000-0005-0000-0000-000033020000}"/>
    <cellStyle name="Standard 5 2 4 2 2 2" xfId="523" xr:uid="{00000000-0005-0000-0000-000034020000}"/>
    <cellStyle name="Standard 5 2 4 2 3" xfId="524" xr:uid="{00000000-0005-0000-0000-000035020000}"/>
    <cellStyle name="Standard 5 2 4 2 4" xfId="525" xr:uid="{00000000-0005-0000-0000-000036020000}"/>
    <cellStyle name="Standard 5 2 4 3" xfId="526" xr:uid="{00000000-0005-0000-0000-000037020000}"/>
    <cellStyle name="Standard 5 2 4 3 2" xfId="527" xr:uid="{00000000-0005-0000-0000-000038020000}"/>
    <cellStyle name="Standard 5 2 4 4" xfId="528" xr:uid="{00000000-0005-0000-0000-000039020000}"/>
    <cellStyle name="Standard 5 2 4 5" xfId="529" xr:uid="{00000000-0005-0000-0000-00003A020000}"/>
    <cellStyle name="Standard 5 2 5" xfId="530" xr:uid="{00000000-0005-0000-0000-00003B020000}"/>
    <cellStyle name="Standard 5 2 5 2" xfId="531" xr:uid="{00000000-0005-0000-0000-00003C020000}"/>
    <cellStyle name="Standard 5 2 5 2 2" xfId="532" xr:uid="{00000000-0005-0000-0000-00003D020000}"/>
    <cellStyle name="Standard 5 2 5 3" xfId="533" xr:uid="{00000000-0005-0000-0000-00003E020000}"/>
    <cellStyle name="Standard 5 2 5 4" xfId="534" xr:uid="{00000000-0005-0000-0000-00003F020000}"/>
    <cellStyle name="Standard 5 2 6" xfId="535" xr:uid="{00000000-0005-0000-0000-000040020000}"/>
    <cellStyle name="Standard 5 2 6 2" xfId="536" xr:uid="{00000000-0005-0000-0000-000041020000}"/>
    <cellStyle name="Standard 5 2 7" xfId="537" xr:uid="{00000000-0005-0000-0000-000042020000}"/>
    <cellStyle name="Standard 5 2 8" xfId="538" xr:uid="{00000000-0005-0000-0000-000043020000}"/>
    <cellStyle name="Standard 5 3" xfId="539" xr:uid="{00000000-0005-0000-0000-000044020000}"/>
    <cellStyle name="Standard 5 3 2" xfId="540" xr:uid="{00000000-0005-0000-0000-000045020000}"/>
    <cellStyle name="Standard 5 3 2 2" xfId="541" xr:uid="{00000000-0005-0000-0000-000046020000}"/>
    <cellStyle name="Standard 5 3 2 2 2" xfId="542" xr:uid="{00000000-0005-0000-0000-000047020000}"/>
    <cellStyle name="Standard 5 3 2 2 2 2" xfId="543" xr:uid="{00000000-0005-0000-0000-000048020000}"/>
    <cellStyle name="Standard 5 3 2 2 3" xfId="544" xr:uid="{00000000-0005-0000-0000-000049020000}"/>
    <cellStyle name="Standard 5 3 2 2 4" xfId="545" xr:uid="{00000000-0005-0000-0000-00004A020000}"/>
    <cellStyle name="Standard 5 3 2 3" xfId="546" xr:uid="{00000000-0005-0000-0000-00004B020000}"/>
    <cellStyle name="Standard 5 3 2 3 2" xfId="547" xr:uid="{00000000-0005-0000-0000-00004C020000}"/>
    <cellStyle name="Standard 5 3 2 4" xfId="548" xr:uid="{00000000-0005-0000-0000-00004D020000}"/>
    <cellStyle name="Standard 5 3 2 5" xfId="549" xr:uid="{00000000-0005-0000-0000-00004E020000}"/>
    <cellStyle name="Standard 5 3 3" xfId="550" xr:uid="{00000000-0005-0000-0000-00004F020000}"/>
    <cellStyle name="Standard 5 3 3 2" xfId="551" xr:uid="{00000000-0005-0000-0000-000050020000}"/>
    <cellStyle name="Standard 5 3 3 2 2" xfId="552" xr:uid="{00000000-0005-0000-0000-000051020000}"/>
    <cellStyle name="Standard 5 3 3 3" xfId="553" xr:uid="{00000000-0005-0000-0000-000052020000}"/>
    <cellStyle name="Standard 5 3 3 4" xfId="554" xr:uid="{00000000-0005-0000-0000-000053020000}"/>
    <cellStyle name="Standard 5 3 4" xfId="555" xr:uid="{00000000-0005-0000-0000-000054020000}"/>
    <cellStyle name="Standard 5 3 4 2" xfId="556" xr:uid="{00000000-0005-0000-0000-000055020000}"/>
    <cellStyle name="Standard 5 3 5" xfId="557" xr:uid="{00000000-0005-0000-0000-000056020000}"/>
    <cellStyle name="Standard 5 3 6" xfId="558" xr:uid="{00000000-0005-0000-0000-000057020000}"/>
    <cellStyle name="Standard 5 4" xfId="559" xr:uid="{00000000-0005-0000-0000-000058020000}"/>
    <cellStyle name="Standard 5 4 2" xfId="560" xr:uid="{00000000-0005-0000-0000-000059020000}"/>
    <cellStyle name="Standard 5 4 2 2" xfId="561" xr:uid="{00000000-0005-0000-0000-00005A020000}"/>
    <cellStyle name="Standard 5 4 2 2 2" xfId="562" xr:uid="{00000000-0005-0000-0000-00005B020000}"/>
    <cellStyle name="Standard 5 4 2 2 2 2" xfId="563" xr:uid="{00000000-0005-0000-0000-00005C020000}"/>
    <cellStyle name="Standard 5 4 2 2 3" xfId="564" xr:uid="{00000000-0005-0000-0000-00005D020000}"/>
    <cellStyle name="Standard 5 4 2 2 4" xfId="565" xr:uid="{00000000-0005-0000-0000-00005E020000}"/>
    <cellStyle name="Standard 5 4 2 3" xfId="566" xr:uid="{00000000-0005-0000-0000-00005F020000}"/>
    <cellStyle name="Standard 5 4 2 3 2" xfId="567" xr:uid="{00000000-0005-0000-0000-000060020000}"/>
    <cellStyle name="Standard 5 4 2 4" xfId="568" xr:uid="{00000000-0005-0000-0000-000061020000}"/>
    <cellStyle name="Standard 5 4 2 5" xfId="569" xr:uid="{00000000-0005-0000-0000-000062020000}"/>
    <cellStyle name="Standard 5 4 3" xfId="570" xr:uid="{00000000-0005-0000-0000-000063020000}"/>
    <cellStyle name="Standard 5 4 3 2" xfId="571" xr:uid="{00000000-0005-0000-0000-000064020000}"/>
    <cellStyle name="Standard 5 4 3 2 2" xfId="572" xr:uid="{00000000-0005-0000-0000-000065020000}"/>
    <cellStyle name="Standard 5 4 3 3" xfId="573" xr:uid="{00000000-0005-0000-0000-000066020000}"/>
    <cellStyle name="Standard 5 4 3 4" xfId="574" xr:uid="{00000000-0005-0000-0000-000067020000}"/>
    <cellStyle name="Standard 5 4 4" xfId="575" xr:uid="{00000000-0005-0000-0000-000068020000}"/>
    <cellStyle name="Standard 5 4 4 2" xfId="576" xr:uid="{00000000-0005-0000-0000-000069020000}"/>
    <cellStyle name="Standard 5 4 5" xfId="577" xr:uid="{00000000-0005-0000-0000-00006A020000}"/>
    <cellStyle name="Standard 5 4 6" xfId="578" xr:uid="{00000000-0005-0000-0000-00006B020000}"/>
    <cellStyle name="Standard 5 5" xfId="579" xr:uid="{00000000-0005-0000-0000-00006C020000}"/>
    <cellStyle name="Standard 5 5 2" xfId="580" xr:uid="{00000000-0005-0000-0000-00006D020000}"/>
    <cellStyle name="Standard 5 5 2 2" xfId="581" xr:uid="{00000000-0005-0000-0000-00006E020000}"/>
    <cellStyle name="Standard 5 5 2 2 2" xfId="582" xr:uid="{00000000-0005-0000-0000-00006F020000}"/>
    <cellStyle name="Standard 5 5 2 3" xfId="583" xr:uid="{00000000-0005-0000-0000-000070020000}"/>
    <cellStyle name="Standard 5 5 2 4" xfId="584" xr:uid="{00000000-0005-0000-0000-000071020000}"/>
    <cellStyle name="Standard 5 5 3" xfId="585" xr:uid="{00000000-0005-0000-0000-000072020000}"/>
    <cellStyle name="Standard 5 5 3 2" xfId="586" xr:uid="{00000000-0005-0000-0000-000073020000}"/>
    <cellStyle name="Standard 5 5 4" xfId="587" xr:uid="{00000000-0005-0000-0000-000074020000}"/>
    <cellStyle name="Standard 5 5 5" xfId="588" xr:uid="{00000000-0005-0000-0000-000075020000}"/>
    <cellStyle name="Standard 5 6" xfId="589" xr:uid="{00000000-0005-0000-0000-000076020000}"/>
    <cellStyle name="Standard 5 6 2" xfId="590" xr:uid="{00000000-0005-0000-0000-000077020000}"/>
    <cellStyle name="Standard 5 6 2 2" xfId="591" xr:uid="{00000000-0005-0000-0000-000078020000}"/>
    <cellStyle name="Standard 5 6 3" xfId="592" xr:uid="{00000000-0005-0000-0000-000079020000}"/>
    <cellStyle name="Standard 5 6 4" xfId="593" xr:uid="{00000000-0005-0000-0000-00007A020000}"/>
    <cellStyle name="Standard 5 7" xfId="594" xr:uid="{00000000-0005-0000-0000-00007B020000}"/>
    <cellStyle name="Standard 5 7 2" xfId="595" xr:uid="{00000000-0005-0000-0000-00007C020000}"/>
    <cellStyle name="Standard 5 8" xfId="596" xr:uid="{00000000-0005-0000-0000-00007D020000}"/>
    <cellStyle name="Standard 5 9" xfId="597" xr:uid="{00000000-0005-0000-0000-00007E020000}"/>
    <cellStyle name="Standard 5_SysID" xfId="706" xr:uid="{00000000-0005-0000-0000-00007F020000}"/>
    <cellStyle name="Standard 6" xfId="598" xr:uid="{00000000-0005-0000-0000-000080020000}"/>
    <cellStyle name="Standard 6 2" xfId="599" xr:uid="{00000000-0005-0000-0000-000081020000}"/>
    <cellStyle name="Standard 6 3" xfId="600" xr:uid="{00000000-0005-0000-0000-000082020000}"/>
    <cellStyle name="Standard 6 3 2" xfId="601" xr:uid="{00000000-0005-0000-0000-000083020000}"/>
    <cellStyle name="Standard 6 3 3" xfId="602" xr:uid="{00000000-0005-0000-0000-000084020000}"/>
    <cellStyle name="Standard 6 3 3 2" xfId="603" xr:uid="{00000000-0005-0000-0000-000085020000}"/>
    <cellStyle name="Standard 6_SysID" xfId="707" xr:uid="{00000000-0005-0000-0000-000086020000}"/>
    <cellStyle name="Standard 7" xfId="604" xr:uid="{00000000-0005-0000-0000-000087020000}"/>
    <cellStyle name="Standard 7 2" xfId="605" xr:uid="{00000000-0005-0000-0000-000088020000}"/>
    <cellStyle name="Standard 7 3" xfId="606" xr:uid="{00000000-0005-0000-0000-000089020000}"/>
    <cellStyle name="Standard 7 3 2" xfId="607" xr:uid="{00000000-0005-0000-0000-00008A020000}"/>
    <cellStyle name="Standard 7 3 3" xfId="608" xr:uid="{00000000-0005-0000-0000-00008B020000}"/>
    <cellStyle name="Standard 7 3 3 2" xfId="609" xr:uid="{00000000-0005-0000-0000-00008C020000}"/>
    <cellStyle name="Standard 7 3 4" xfId="610" xr:uid="{00000000-0005-0000-0000-00008D020000}"/>
    <cellStyle name="Standard 7 3 4 2" xfId="611" xr:uid="{00000000-0005-0000-0000-00008E020000}"/>
    <cellStyle name="Standard 7 3 4 3" xfId="612" xr:uid="{00000000-0005-0000-0000-00008F020000}"/>
    <cellStyle name="Standard 7 3 4 3 2" xfId="613" xr:uid="{00000000-0005-0000-0000-000090020000}"/>
    <cellStyle name="Standard 7 3 5" xfId="614" xr:uid="{00000000-0005-0000-0000-000091020000}"/>
    <cellStyle name="Standard 7 3 5 2" xfId="615" xr:uid="{00000000-0005-0000-0000-000092020000}"/>
    <cellStyle name="Standard 7_SysID" xfId="708" xr:uid="{00000000-0005-0000-0000-000093020000}"/>
    <cellStyle name="Standard 8" xfId="616" xr:uid="{00000000-0005-0000-0000-000094020000}"/>
    <cellStyle name="Standard 8 2" xfId="617" xr:uid="{00000000-0005-0000-0000-000095020000}"/>
    <cellStyle name="Standard 8 2 2" xfId="618" xr:uid="{00000000-0005-0000-0000-000096020000}"/>
    <cellStyle name="Standard 8 2 2 2" xfId="619" xr:uid="{00000000-0005-0000-0000-000097020000}"/>
    <cellStyle name="Standard 8 2 2 2 2" xfId="620" xr:uid="{00000000-0005-0000-0000-000098020000}"/>
    <cellStyle name="Standard 8 2 2 3" xfId="621" xr:uid="{00000000-0005-0000-0000-000099020000}"/>
    <cellStyle name="Standard 8 2 2 4" xfId="622" xr:uid="{00000000-0005-0000-0000-00009A020000}"/>
    <cellStyle name="Standard 8 2 3" xfId="623" xr:uid="{00000000-0005-0000-0000-00009B020000}"/>
    <cellStyle name="Standard 8 2 3 2" xfId="624" xr:uid="{00000000-0005-0000-0000-00009C020000}"/>
    <cellStyle name="Standard 8 2 4" xfId="625" xr:uid="{00000000-0005-0000-0000-00009D020000}"/>
    <cellStyle name="Standard 8 2 4 2" xfId="709" xr:uid="{00000000-0005-0000-0000-00009E020000}"/>
    <cellStyle name="Standard 8 2 5" xfId="626" xr:uid="{00000000-0005-0000-0000-00009F020000}"/>
    <cellStyle name="Standard 8 2_SysID" xfId="710" xr:uid="{00000000-0005-0000-0000-0000A0020000}"/>
    <cellStyle name="Standard 8 3" xfId="627" xr:uid="{00000000-0005-0000-0000-0000A1020000}"/>
    <cellStyle name="Standard 8 3 2" xfId="628" xr:uid="{00000000-0005-0000-0000-0000A2020000}"/>
    <cellStyle name="Standard 8 3 2 2" xfId="629" xr:uid="{00000000-0005-0000-0000-0000A3020000}"/>
    <cellStyle name="Standard 8 3 3" xfId="630" xr:uid="{00000000-0005-0000-0000-0000A4020000}"/>
    <cellStyle name="Standard 8 3 4" xfId="631" xr:uid="{00000000-0005-0000-0000-0000A5020000}"/>
    <cellStyle name="Standard 8 4" xfId="632" xr:uid="{00000000-0005-0000-0000-0000A6020000}"/>
    <cellStyle name="Standard 8 4 2" xfId="633" xr:uid="{00000000-0005-0000-0000-0000A7020000}"/>
    <cellStyle name="Standard 8 5" xfId="634" xr:uid="{00000000-0005-0000-0000-0000A8020000}"/>
    <cellStyle name="Standard 8 5 2" xfId="711" xr:uid="{00000000-0005-0000-0000-0000A9020000}"/>
    <cellStyle name="Standard 8 6" xfId="635" xr:uid="{00000000-0005-0000-0000-0000AA020000}"/>
    <cellStyle name="Standard 8_SysID" xfId="712" xr:uid="{00000000-0005-0000-0000-0000AB020000}"/>
    <cellStyle name="Standard 9" xfId="636" xr:uid="{00000000-0005-0000-0000-0000AC020000}"/>
    <cellStyle name="Standard 9 2" xfId="637" xr:uid="{00000000-0005-0000-0000-0000AD020000}"/>
    <cellStyle name="Standard 9 2 2" xfId="638" xr:uid="{00000000-0005-0000-0000-0000AE020000}"/>
    <cellStyle name="Standard 9 2 2 2" xfId="639" xr:uid="{00000000-0005-0000-0000-0000AF020000}"/>
    <cellStyle name="Standard 9 2 3" xfId="640" xr:uid="{00000000-0005-0000-0000-0000B0020000}"/>
    <cellStyle name="Standard 9 2 3 2" xfId="713" xr:uid="{00000000-0005-0000-0000-0000B1020000}"/>
    <cellStyle name="Standard 9 2 4" xfId="641" xr:uid="{00000000-0005-0000-0000-0000B2020000}"/>
    <cellStyle name="Standard 9 2_SysID" xfId="714" xr:uid="{00000000-0005-0000-0000-0000B3020000}"/>
    <cellStyle name="Standard 9 3" xfId="642" xr:uid="{00000000-0005-0000-0000-0000B4020000}"/>
    <cellStyle name="Standard 9 3 2" xfId="643" xr:uid="{00000000-0005-0000-0000-0000B5020000}"/>
    <cellStyle name="Standard 9 4" xfId="644" xr:uid="{00000000-0005-0000-0000-0000B6020000}"/>
    <cellStyle name="Standard 9 4 2" xfId="715" xr:uid="{00000000-0005-0000-0000-0000B7020000}"/>
    <cellStyle name="Standard 9 5" xfId="645" xr:uid="{00000000-0005-0000-0000-0000B8020000}"/>
    <cellStyle name="Standard 9_SysID" xfId="716" xr:uid="{00000000-0005-0000-0000-0000B9020000}"/>
    <cellStyle name="Standard_40-080_Vorlage_freies_Excel-Dokument_v1.00" xfId="1" xr:uid="{00000000-0005-0000-0000-0000BA020000}"/>
    <cellStyle name="Überschrift" xfId="2" builtinId="15" customBuiltin="1"/>
    <cellStyle name="Überschrift 1 2" xfId="646" xr:uid="{00000000-0005-0000-0000-0000BC020000}"/>
    <cellStyle name="Überschrift 1 2 2" xfId="647" xr:uid="{00000000-0005-0000-0000-0000BD020000}"/>
    <cellStyle name="Überschrift 1 2 3" xfId="648" xr:uid="{00000000-0005-0000-0000-0000BE020000}"/>
    <cellStyle name="Überschrift 2 2" xfId="649" xr:uid="{00000000-0005-0000-0000-0000BF020000}"/>
    <cellStyle name="Überschrift 2 2 2" xfId="650" xr:uid="{00000000-0005-0000-0000-0000C0020000}"/>
    <cellStyle name="Überschrift 2 2 3" xfId="651" xr:uid="{00000000-0005-0000-0000-0000C1020000}"/>
    <cellStyle name="Überschrift 3 2" xfId="652" xr:uid="{00000000-0005-0000-0000-0000C2020000}"/>
    <cellStyle name="Überschrift 3 2 2" xfId="653" xr:uid="{00000000-0005-0000-0000-0000C3020000}"/>
    <cellStyle name="Überschrift 3 2 3" xfId="654" xr:uid="{00000000-0005-0000-0000-0000C4020000}"/>
    <cellStyle name="Überschrift 4 2" xfId="655" xr:uid="{00000000-0005-0000-0000-0000C5020000}"/>
    <cellStyle name="Überschrift 4 2 2" xfId="656" xr:uid="{00000000-0005-0000-0000-0000C6020000}"/>
    <cellStyle name="Überschrift 4 2 3" xfId="657" xr:uid="{00000000-0005-0000-0000-0000C7020000}"/>
    <cellStyle name="Überschrift 5" xfId="658" xr:uid="{00000000-0005-0000-0000-0000C8020000}"/>
    <cellStyle name="Verknüpfte Zelle 2" xfId="659" xr:uid="{00000000-0005-0000-0000-0000C9020000}"/>
    <cellStyle name="Verknüpfte Zelle 2 2" xfId="660" xr:uid="{00000000-0005-0000-0000-0000CA020000}"/>
    <cellStyle name="Verknüpfte Zelle 2 3" xfId="661" xr:uid="{00000000-0005-0000-0000-0000CB020000}"/>
    <cellStyle name="Warnender Text 2" xfId="662" xr:uid="{00000000-0005-0000-0000-0000CC020000}"/>
    <cellStyle name="Warnender Text 2 2" xfId="663" xr:uid="{00000000-0005-0000-0000-0000CD020000}"/>
    <cellStyle name="Warnender Text 2 3" xfId="664" xr:uid="{00000000-0005-0000-0000-0000CE020000}"/>
    <cellStyle name="Warnender Text 2 4" xfId="665" xr:uid="{00000000-0005-0000-0000-0000CF020000}"/>
    <cellStyle name="Zelle überprüfen 2" xfId="666" xr:uid="{00000000-0005-0000-0000-0000D0020000}"/>
    <cellStyle name="Zelle überprüfen 2 2" xfId="667" xr:uid="{00000000-0005-0000-0000-0000D1020000}"/>
    <cellStyle name="Zelle überprüfen 2 3" xfId="668" xr:uid="{00000000-0005-0000-0000-0000D2020000}"/>
  </cellStyles>
  <dxfs count="1">
    <dxf>
      <fill>
        <patternFill>
          <bgColor rgb="FFC000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VNG_GENONG_MMS_AIS_MCS_ALPlus_ECU_Interface_wor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y"/>
      <sheetName val="ECU ALP+"/>
      <sheetName val="Tabelle1"/>
      <sheetName val="ECU9_FieldMouse"/>
    </sheetNames>
    <sheetDataSet>
      <sheetData sheetId="0"/>
      <sheetData sheetId="1">
        <row r="1">
          <cell r="B1"/>
        </row>
        <row r="2">
          <cell r="B2"/>
        </row>
        <row r="3">
          <cell r="B3" t="str">
            <v>AL_Nr</v>
          </cell>
        </row>
        <row r="4">
          <cell r="B4">
            <v>3</v>
          </cell>
        </row>
        <row r="5">
          <cell r="B5">
            <v>4</v>
          </cell>
        </row>
        <row r="6">
          <cell r="B6">
            <v>5</v>
          </cell>
        </row>
        <row r="7">
          <cell r="B7">
            <v>6</v>
          </cell>
        </row>
        <row r="8">
          <cell r="B8">
            <v>9</v>
          </cell>
        </row>
        <row r="9">
          <cell r="B9">
            <v>10</v>
          </cell>
        </row>
        <row r="10">
          <cell r="B10">
            <v>15</v>
          </cell>
        </row>
        <row r="11">
          <cell r="B11">
            <v>16</v>
          </cell>
        </row>
        <row r="12">
          <cell r="B12">
            <v>19</v>
          </cell>
        </row>
        <row r="13">
          <cell r="B13">
            <v>20</v>
          </cell>
        </row>
        <row r="14">
          <cell r="B14">
            <v>21</v>
          </cell>
        </row>
        <row r="15">
          <cell r="B15">
            <v>22</v>
          </cell>
        </row>
        <row r="16">
          <cell r="B16">
            <v>23</v>
          </cell>
        </row>
        <row r="17">
          <cell r="B17">
            <v>25</v>
          </cell>
        </row>
        <row r="18">
          <cell r="B18">
            <v>26</v>
          </cell>
        </row>
        <row r="19">
          <cell r="B19">
            <v>27</v>
          </cell>
        </row>
        <row r="20">
          <cell r="B20">
            <v>29</v>
          </cell>
        </row>
        <row r="21">
          <cell r="B21">
            <v>30</v>
          </cell>
        </row>
        <row r="22">
          <cell r="B22">
            <v>31</v>
          </cell>
        </row>
        <row r="23">
          <cell r="B23">
            <v>32</v>
          </cell>
        </row>
        <row r="24">
          <cell r="B24">
            <v>33</v>
          </cell>
        </row>
        <row r="25">
          <cell r="B25">
            <v>36</v>
          </cell>
        </row>
        <row r="26">
          <cell r="B26">
            <v>37</v>
          </cell>
        </row>
        <row r="27">
          <cell r="B27">
            <v>38</v>
          </cell>
        </row>
        <row r="28">
          <cell r="B28">
            <v>39</v>
          </cell>
        </row>
        <row r="29">
          <cell r="B29">
            <v>44</v>
          </cell>
        </row>
        <row r="30">
          <cell r="B30">
            <v>51</v>
          </cell>
        </row>
        <row r="31">
          <cell r="B31">
            <v>52</v>
          </cell>
        </row>
        <row r="32">
          <cell r="B32">
            <v>53</v>
          </cell>
        </row>
        <row r="33">
          <cell r="B33">
            <v>54</v>
          </cell>
        </row>
        <row r="34">
          <cell r="B34">
            <v>57</v>
          </cell>
        </row>
        <row r="35">
          <cell r="B35">
            <v>58</v>
          </cell>
        </row>
        <row r="36">
          <cell r="B36">
            <v>59</v>
          </cell>
        </row>
        <row r="37">
          <cell r="B37">
            <v>60</v>
          </cell>
        </row>
        <row r="38">
          <cell r="B38">
            <v>63</v>
          </cell>
        </row>
        <row r="39">
          <cell r="B39">
            <v>64</v>
          </cell>
        </row>
        <row r="40">
          <cell r="B40">
            <v>65</v>
          </cell>
        </row>
        <row r="41">
          <cell r="B41">
            <v>66</v>
          </cell>
        </row>
        <row r="42">
          <cell r="B42">
            <v>67</v>
          </cell>
        </row>
        <row r="43">
          <cell r="B43">
            <v>68</v>
          </cell>
        </row>
        <row r="44">
          <cell r="B44">
            <v>81</v>
          </cell>
        </row>
        <row r="45">
          <cell r="B45">
            <v>82</v>
          </cell>
        </row>
        <row r="46">
          <cell r="B46">
            <v>83</v>
          </cell>
        </row>
        <row r="47">
          <cell r="B47">
            <v>85</v>
          </cell>
        </row>
        <row r="48">
          <cell r="B48">
            <v>86</v>
          </cell>
        </row>
        <row r="49">
          <cell r="B49">
            <v>89</v>
          </cell>
        </row>
        <row r="50">
          <cell r="B50">
            <v>90</v>
          </cell>
        </row>
        <row r="51">
          <cell r="B51">
            <v>91</v>
          </cell>
        </row>
        <row r="52">
          <cell r="B52">
            <v>118</v>
          </cell>
        </row>
        <row r="53">
          <cell r="B53">
            <v>119</v>
          </cell>
        </row>
        <row r="54">
          <cell r="B54">
            <v>120</v>
          </cell>
        </row>
        <row r="55">
          <cell r="B55">
            <v>121</v>
          </cell>
        </row>
        <row r="56">
          <cell r="B56">
            <v>122</v>
          </cell>
        </row>
        <row r="57">
          <cell r="B57">
            <v>176</v>
          </cell>
        </row>
        <row r="58">
          <cell r="B58">
            <v>177</v>
          </cell>
        </row>
        <row r="59">
          <cell r="B59">
            <v>180</v>
          </cell>
        </row>
        <row r="60">
          <cell r="B60">
            <v>181</v>
          </cell>
        </row>
        <row r="61">
          <cell r="B61">
            <v>182</v>
          </cell>
        </row>
        <row r="62">
          <cell r="B62">
            <v>183</v>
          </cell>
        </row>
        <row r="63">
          <cell r="B63">
            <v>184</v>
          </cell>
        </row>
        <row r="64">
          <cell r="B64">
            <v>186</v>
          </cell>
        </row>
        <row r="65">
          <cell r="B65">
            <v>187</v>
          </cell>
        </row>
        <row r="66">
          <cell r="B66">
            <v>188</v>
          </cell>
        </row>
        <row r="67">
          <cell r="B67">
            <v>189</v>
          </cell>
        </row>
        <row r="68">
          <cell r="B68">
            <v>190</v>
          </cell>
        </row>
        <row r="69">
          <cell r="B69">
            <v>201</v>
          </cell>
        </row>
        <row r="70">
          <cell r="B70">
            <v>202</v>
          </cell>
        </row>
        <row r="71">
          <cell r="B71">
            <v>203</v>
          </cell>
        </row>
        <row r="72">
          <cell r="B72">
            <v>204</v>
          </cell>
        </row>
        <row r="73">
          <cell r="B73">
            <v>205</v>
          </cell>
        </row>
        <row r="74">
          <cell r="B74">
            <v>206</v>
          </cell>
        </row>
        <row r="75">
          <cell r="B75">
            <v>207</v>
          </cell>
        </row>
        <row r="76">
          <cell r="B76">
            <v>208</v>
          </cell>
        </row>
        <row r="77">
          <cell r="B77">
            <v>211</v>
          </cell>
        </row>
        <row r="78">
          <cell r="B78">
            <v>212</v>
          </cell>
        </row>
        <row r="79">
          <cell r="B79">
            <v>213</v>
          </cell>
        </row>
        <row r="80">
          <cell r="B80">
            <v>214</v>
          </cell>
        </row>
        <row r="81">
          <cell r="B81">
            <v>215</v>
          </cell>
        </row>
        <row r="82">
          <cell r="B82">
            <v>216</v>
          </cell>
        </row>
        <row r="83">
          <cell r="B83">
            <v>219</v>
          </cell>
        </row>
        <row r="84">
          <cell r="B84">
            <v>220</v>
          </cell>
        </row>
        <row r="85">
          <cell r="B85">
            <v>221</v>
          </cell>
        </row>
        <row r="86">
          <cell r="B86">
            <v>222</v>
          </cell>
        </row>
        <row r="87">
          <cell r="B87">
            <v>223</v>
          </cell>
        </row>
        <row r="88">
          <cell r="B88">
            <v>227</v>
          </cell>
        </row>
        <row r="89">
          <cell r="B89">
            <v>228</v>
          </cell>
        </row>
        <row r="90">
          <cell r="B90">
            <v>230</v>
          </cell>
        </row>
        <row r="91">
          <cell r="B91">
            <v>231</v>
          </cell>
        </row>
        <row r="92">
          <cell r="B92">
            <v>232</v>
          </cell>
        </row>
        <row r="93">
          <cell r="B93">
            <v>233</v>
          </cell>
        </row>
        <row r="94">
          <cell r="B94">
            <v>239</v>
          </cell>
        </row>
        <row r="95">
          <cell r="B95">
            <v>240</v>
          </cell>
        </row>
        <row r="96">
          <cell r="B96">
            <v>241</v>
          </cell>
        </row>
        <row r="97">
          <cell r="B97">
            <v>245</v>
          </cell>
        </row>
        <row r="98">
          <cell r="B98">
            <v>266</v>
          </cell>
        </row>
        <row r="99">
          <cell r="B99">
            <v>321</v>
          </cell>
        </row>
        <row r="100">
          <cell r="B100">
            <v>322</v>
          </cell>
        </row>
        <row r="101">
          <cell r="B101">
            <v>323</v>
          </cell>
        </row>
        <row r="102">
          <cell r="B102">
            <v>324</v>
          </cell>
        </row>
        <row r="103">
          <cell r="B103">
            <v>325</v>
          </cell>
        </row>
        <row r="104">
          <cell r="B104">
            <v>326</v>
          </cell>
        </row>
        <row r="105">
          <cell r="B105">
            <v>327</v>
          </cell>
        </row>
        <row r="106">
          <cell r="B106">
            <v>328</v>
          </cell>
        </row>
        <row r="107">
          <cell r="B107">
            <v>329</v>
          </cell>
        </row>
        <row r="108">
          <cell r="B108">
            <v>330</v>
          </cell>
        </row>
        <row r="109">
          <cell r="B109">
            <v>331</v>
          </cell>
        </row>
        <row r="110">
          <cell r="B110">
            <v>332</v>
          </cell>
        </row>
        <row r="111">
          <cell r="B111">
            <v>333</v>
          </cell>
        </row>
        <row r="112">
          <cell r="B112">
            <v>334</v>
          </cell>
        </row>
        <row r="113">
          <cell r="B113">
            <v>335</v>
          </cell>
        </row>
        <row r="114">
          <cell r="B114">
            <v>336</v>
          </cell>
        </row>
        <row r="115">
          <cell r="B115">
            <v>337</v>
          </cell>
        </row>
        <row r="116">
          <cell r="B116">
            <v>338</v>
          </cell>
        </row>
        <row r="117">
          <cell r="B117">
            <v>339</v>
          </cell>
        </row>
        <row r="118">
          <cell r="B118">
            <v>340</v>
          </cell>
        </row>
        <row r="119">
          <cell r="B119">
            <v>341</v>
          </cell>
        </row>
        <row r="120">
          <cell r="B120">
            <v>342</v>
          </cell>
        </row>
        <row r="121">
          <cell r="B121">
            <v>343</v>
          </cell>
        </row>
        <row r="122">
          <cell r="B122">
            <v>344</v>
          </cell>
        </row>
        <row r="123">
          <cell r="B123">
            <v>345</v>
          </cell>
        </row>
        <row r="124">
          <cell r="B124">
            <v>346</v>
          </cell>
        </row>
        <row r="125">
          <cell r="B125">
            <v>347</v>
          </cell>
        </row>
        <row r="126">
          <cell r="B126">
            <v>348</v>
          </cell>
        </row>
        <row r="127">
          <cell r="B127">
            <v>349</v>
          </cell>
        </row>
        <row r="128">
          <cell r="B128">
            <v>350</v>
          </cell>
        </row>
        <row r="129">
          <cell r="B129">
            <v>351</v>
          </cell>
        </row>
        <row r="130">
          <cell r="B130">
            <v>352</v>
          </cell>
        </row>
        <row r="131">
          <cell r="B131">
            <v>353</v>
          </cell>
        </row>
        <row r="132">
          <cell r="B132">
            <v>354</v>
          </cell>
        </row>
        <row r="133">
          <cell r="B133">
            <v>355</v>
          </cell>
        </row>
        <row r="134">
          <cell r="B134">
            <v>356</v>
          </cell>
        </row>
        <row r="135">
          <cell r="B135">
            <v>357</v>
          </cell>
        </row>
        <row r="136">
          <cell r="B136">
            <v>358</v>
          </cell>
        </row>
        <row r="137">
          <cell r="B137">
            <v>359</v>
          </cell>
        </row>
        <row r="138">
          <cell r="B138">
            <v>360</v>
          </cell>
        </row>
        <row r="139">
          <cell r="B139">
            <v>361</v>
          </cell>
        </row>
        <row r="140">
          <cell r="B140">
            <v>362</v>
          </cell>
        </row>
        <row r="141">
          <cell r="B141">
            <v>363</v>
          </cell>
        </row>
        <row r="142">
          <cell r="B142">
            <v>365</v>
          </cell>
        </row>
        <row r="143">
          <cell r="B143">
            <v>371</v>
          </cell>
        </row>
        <row r="144">
          <cell r="B144">
            <v>372</v>
          </cell>
        </row>
        <row r="145">
          <cell r="B145">
            <v>373</v>
          </cell>
        </row>
        <row r="146">
          <cell r="B146">
            <v>374</v>
          </cell>
        </row>
        <row r="147">
          <cell r="B147">
            <v>381</v>
          </cell>
        </row>
        <row r="148">
          <cell r="B148">
            <v>382</v>
          </cell>
        </row>
        <row r="149">
          <cell r="B149">
            <v>383</v>
          </cell>
        </row>
        <row r="150">
          <cell r="B150">
            <v>384</v>
          </cell>
        </row>
        <row r="151">
          <cell r="B151">
            <v>390</v>
          </cell>
        </row>
        <row r="152">
          <cell r="B152">
            <v>400</v>
          </cell>
        </row>
        <row r="153">
          <cell r="B153">
            <v>401</v>
          </cell>
        </row>
        <row r="154">
          <cell r="B154">
            <v>402</v>
          </cell>
        </row>
        <row r="155">
          <cell r="B155">
            <v>403</v>
          </cell>
        </row>
        <row r="156">
          <cell r="B156">
            <v>404</v>
          </cell>
        </row>
        <row r="157">
          <cell r="B157">
            <v>405</v>
          </cell>
        </row>
        <row r="158">
          <cell r="B158">
            <v>406</v>
          </cell>
        </row>
        <row r="159">
          <cell r="B159">
            <v>407</v>
          </cell>
        </row>
        <row r="160">
          <cell r="B160">
            <v>408</v>
          </cell>
        </row>
        <row r="161">
          <cell r="B161">
            <v>410</v>
          </cell>
        </row>
        <row r="162">
          <cell r="B162">
            <v>411</v>
          </cell>
        </row>
        <row r="163">
          <cell r="B163">
            <v>412</v>
          </cell>
        </row>
        <row r="164">
          <cell r="B164">
            <v>413</v>
          </cell>
        </row>
        <row r="165">
          <cell r="B165">
            <v>415</v>
          </cell>
        </row>
        <row r="166">
          <cell r="B166">
            <v>416</v>
          </cell>
        </row>
        <row r="167">
          <cell r="B167">
            <v>422</v>
          </cell>
        </row>
        <row r="168">
          <cell r="B168">
            <v>423</v>
          </cell>
        </row>
        <row r="169">
          <cell r="B169">
            <v>429</v>
          </cell>
        </row>
        <row r="170">
          <cell r="B170">
            <v>430</v>
          </cell>
        </row>
        <row r="171">
          <cell r="B171">
            <v>431</v>
          </cell>
        </row>
        <row r="172">
          <cell r="B172">
            <v>438</v>
          </cell>
        </row>
        <row r="173">
          <cell r="B173">
            <v>439</v>
          </cell>
        </row>
        <row r="174">
          <cell r="B174">
            <v>444</v>
          </cell>
        </row>
        <row r="175">
          <cell r="B175">
            <v>446</v>
          </cell>
        </row>
        <row r="176">
          <cell r="B176">
            <v>448</v>
          </cell>
        </row>
        <row r="177">
          <cell r="B177">
            <v>449</v>
          </cell>
        </row>
        <row r="178">
          <cell r="B178">
            <v>454</v>
          </cell>
        </row>
        <row r="179">
          <cell r="B179">
            <v>457</v>
          </cell>
        </row>
        <row r="180">
          <cell r="B180">
            <v>458</v>
          </cell>
        </row>
        <row r="181">
          <cell r="B181">
            <v>459</v>
          </cell>
        </row>
        <row r="182">
          <cell r="B182">
            <v>460</v>
          </cell>
        </row>
        <row r="183">
          <cell r="B183">
            <v>461</v>
          </cell>
        </row>
        <row r="184">
          <cell r="B184">
            <v>470</v>
          </cell>
        </row>
        <row r="185">
          <cell r="B185">
            <v>475</v>
          </cell>
        </row>
        <row r="186">
          <cell r="B186">
            <v>482</v>
          </cell>
        </row>
        <row r="187">
          <cell r="B187">
            <v>483</v>
          </cell>
        </row>
        <row r="188">
          <cell r="B188">
            <v>484</v>
          </cell>
        </row>
        <row r="189">
          <cell r="B189">
            <v>485</v>
          </cell>
        </row>
        <row r="190">
          <cell r="B190">
            <v>486</v>
          </cell>
        </row>
        <row r="191">
          <cell r="B191">
            <v>487</v>
          </cell>
        </row>
        <row r="192">
          <cell r="B192">
            <v>488</v>
          </cell>
        </row>
        <row r="193">
          <cell r="B193">
            <v>489</v>
          </cell>
        </row>
        <row r="194">
          <cell r="B194">
            <v>490</v>
          </cell>
        </row>
        <row r="195">
          <cell r="B195">
            <v>491</v>
          </cell>
        </row>
        <row r="196">
          <cell r="B196">
            <v>492</v>
          </cell>
        </row>
        <row r="197">
          <cell r="B197">
            <v>493</v>
          </cell>
        </row>
        <row r="198">
          <cell r="B198">
            <v>510</v>
          </cell>
        </row>
        <row r="199">
          <cell r="B199">
            <v>513</v>
          </cell>
        </row>
        <row r="200">
          <cell r="B200">
            <v>520</v>
          </cell>
        </row>
        <row r="201">
          <cell r="B201">
            <v>522</v>
          </cell>
        </row>
        <row r="202">
          <cell r="B202">
            <v>531</v>
          </cell>
        </row>
        <row r="203">
          <cell r="B203">
            <v>532</v>
          </cell>
        </row>
        <row r="204">
          <cell r="B204">
            <v>533</v>
          </cell>
        </row>
        <row r="205">
          <cell r="B205">
            <v>536</v>
          </cell>
        </row>
        <row r="206">
          <cell r="B206">
            <v>543</v>
          </cell>
        </row>
        <row r="207">
          <cell r="B207">
            <v>544</v>
          </cell>
        </row>
        <row r="208">
          <cell r="B208">
            <v>549</v>
          </cell>
        </row>
        <row r="209">
          <cell r="B209">
            <v>551</v>
          </cell>
        </row>
        <row r="210">
          <cell r="B210">
            <v>552</v>
          </cell>
        </row>
        <row r="211">
          <cell r="B211">
            <v>554</v>
          </cell>
        </row>
        <row r="212">
          <cell r="B212">
            <v>555</v>
          </cell>
        </row>
        <row r="213">
          <cell r="B213">
            <v>556</v>
          </cell>
        </row>
        <row r="214">
          <cell r="B214">
            <v>565</v>
          </cell>
        </row>
        <row r="215">
          <cell r="B215">
            <v>566</v>
          </cell>
        </row>
        <row r="216">
          <cell r="B216">
            <v>567</v>
          </cell>
        </row>
        <row r="217">
          <cell r="B217">
            <v>568</v>
          </cell>
        </row>
        <row r="218">
          <cell r="B218">
            <v>577</v>
          </cell>
        </row>
        <row r="219">
          <cell r="B219">
            <v>581</v>
          </cell>
        </row>
        <row r="220">
          <cell r="B220">
            <v>586</v>
          </cell>
        </row>
        <row r="221">
          <cell r="B221">
            <v>587</v>
          </cell>
        </row>
        <row r="222">
          <cell r="B222">
            <v>588</v>
          </cell>
        </row>
        <row r="223">
          <cell r="B223">
            <v>593</v>
          </cell>
        </row>
        <row r="224">
          <cell r="B224">
            <v>596</v>
          </cell>
        </row>
        <row r="225">
          <cell r="B225">
            <v>597</v>
          </cell>
        </row>
        <row r="226">
          <cell r="B226">
            <v>598</v>
          </cell>
        </row>
        <row r="227">
          <cell r="B227">
            <v>606</v>
          </cell>
        </row>
        <row r="228">
          <cell r="B228">
            <v>608</v>
          </cell>
        </row>
        <row r="229">
          <cell r="B229">
            <v>609</v>
          </cell>
        </row>
        <row r="230">
          <cell r="B230">
            <v>614</v>
          </cell>
        </row>
        <row r="231">
          <cell r="B231">
            <v>615</v>
          </cell>
        </row>
        <row r="232">
          <cell r="B232">
            <v>616</v>
          </cell>
        </row>
        <row r="233">
          <cell r="B233">
            <v>623</v>
          </cell>
        </row>
        <row r="234">
          <cell r="B234">
            <v>625</v>
          </cell>
        </row>
        <row r="235">
          <cell r="B235">
            <v>626</v>
          </cell>
        </row>
        <row r="236">
          <cell r="B236">
            <v>627</v>
          </cell>
        </row>
        <row r="237">
          <cell r="B237">
            <v>628</v>
          </cell>
        </row>
        <row r="238">
          <cell r="B238">
            <v>631</v>
          </cell>
        </row>
        <row r="239">
          <cell r="B239">
            <v>633</v>
          </cell>
        </row>
        <row r="240">
          <cell r="B240">
            <v>634</v>
          </cell>
        </row>
        <row r="241">
          <cell r="B241">
            <v>635</v>
          </cell>
        </row>
        <row r="242">
          <cell r="B242">
            <v>647</v>
          </cell>
        </row>
        <row r="243">
          <cell r="B243">
            <v>648</v>
          </cell>
        </row>
        <row r="244">
          <cell r="B244">
            <v>649</v>
          </cell>
        </row>
        <row r="245">
          <cell r="B245">
            <v>650</v>
          </cell>
        </row>
        <row r="246">
          <cell r="B246">
            <v>654</v>
          </cell>
        </row>
        <row r="247">
          <cell r="B247">
            <v>658</v>
          </cell>
        </row>
        <row r="248">
          <cell r="B248">
            <v>659</v>
          </cell>
        </row>
        <row r="249">
          <cell r="B249">
            <v>667</v>
          </cell>
        </row>
        <row r="250">
          <cell r="B250">
            <v>672</v>
          </cell>
        </row>
        <row r="251">
          <cell r="B251">
            <v>677</v>
          </cell>
        </row>
        <row r="252">
          <cell r="B252">
            <v>682</v>
          </cell>
        </row>
        <row r="253">
          <cell r="B253">
            <v>690</v>
          </cell>
        </row>
        <row r="254">
          <cell r="B254">
            <v>718</v>
          </cell>
        </row>
        <row r="255">
          <cell r="B255">
            <v>719</v>
          </cell>
        </row>
        <row r="256">
          <cell r="B256">
            <v>720</v>
          </cell>
        </row>
        <row r="257">
          <cell r="B257">
            <v>721</v>
          </cell>
        </row>
        <row r="258">
          <cell r="B258">
            <v>722</v>
          </cell>
        </row>
        <row r="259">
          <cell r="B259">
            <v>745</v>
          </cell>
        </row>
        <row r="260">
          <cell r="B260">
            <v>748</v>
          </cell>
        </row>
        <row r="261">
          <cell r="B261">
            <v>752</v>
          </cell>
        </row>
        <row r="262">
          <cell r="B262">
            <v>759</v>
          </cell>
        </row>
        <row r="263">
          <cell r="B263">
            <v>760</v>
          </cell>
        </row>
        <row r="264">
          <cell r="B264">
            <v>761</v>
          </cell>
        </row>
        <row r="265">
          <cell r="B265">
            <v>769</v>
          </cell>
        </row>
        <row r="266">
          <cell r="B266">
            <v>770</v>
          </cell>
        </row>
        <row r="267">
          <cell r="B267">
            <v>771</v>
          </cell>
        </row>
        <row r="268">
          <cell r="B268">
            <v>772</v>
          </cell>
        </row>
        <row r="269">
          <cell r="B269">
            <v>773</v>
          </cell>
        </row>
        <row r="270">
          <cell r="B270">
            <v>774</v>
          </cell>
        </row>
        <row r="271">
          <cell r="B271">
            <v>775</v>
          </cell>
        </row>
        <row r="272">
          <cell r="B272">
            <v>776</v>
          </cell>
        </row>
        <row r="273">
          <cell r="B273">
            <v>777</v>
          </cell>
        </row>
        <row r="274">
          <cell r="B274">
            <v>782</v>
          </cell>
        </row>
        <row r="275">
          <cell r="B275">
            <v>785</v>
          </cell>
        </row>
        <row r="276">
          <cell r="B276">
            <v>786</v>
          </cell>
        </row>
        <row r="277">
          <cell r="B277">
            <v>787</v>
          </cell>
        </row>
        <row r="278">
          <cell r="B278">
            <v>792</v>
          </cell>
        </row>
        <row r="279">
          <cell r="B279">
            <v>793</v>
          </cell>
        </row>
        <row r="280">
          <cell r="B280">
            <v>794</v>
          </cell>
        </row>
        <row r="281">
          <cell r="B281">
            <v>795</v>
          </cell>
        </row>
        <row r="282">
          <cell r="B282">
            <v>796</v>
          </cell>
        </row>
        <row r="283">
          <cell r="B283">
            <v>797</v>
          </cell>
        </row>
        <row r="284">
          <cell r="B284">
            <v>800</v>
          </cell>
        </row>
        <row r="285">
          <cell r="B285">
            <v>801</v>
          </cell>
        </row>
        <row r="286">
          <cell r="B286">
            <v>803</v>
          </cell>
        </row>
        <row r="287">
          <cell r="B287">
            <v>804</v>
          </cell>
        </row>
        <row r="288">
          <cell r="B288">
            <v>805</v>
          </cell>
        </row>
        <row r="289">
          <cell r="B289">
            <v>806</v>
          </cell>
        </row>
        <row r="290">
          <cell r="B290">
            <v>807</v>
          </cell>
        </row>
        <row r="291">
          <cell r="B291">
            <v>808</v>
          </cell>
        </row>
        <row r="292">
          <cell r="B292">
            <v>832</v>
          </cell>
        </row>
        <row r="293">
          <cell r="B293">
            <v>833</v>
          </cell>
        </row>
        <row r="294">
          <cell r="B294">
            <v>836</v>
          </cell>
        </row>
        <row r="295">
          <cell r="B295">
            <v>848</v>
          </cell>
        </row>
        <row r="296">
          <cell r="B296">
            <v>851</v>
          </cell>
        </row>
        <row r="297">
          <cell r="B297">
            <v>852</v>
          </cell>
        </row>
        <row r="298">
          <cell r="B298">
            <v>855</v>
          </cell>
        </row>
        <row r="299">
          <cell r="B299">
            <v>856</v>
          </cell>
        </row>
        <row r="300">
          <cell r="B300">
            <v>858</v>
          </cell>
        </row>
        <row r="301">
          <cell r="B301">
            <v>867</v>
          </cell>
        </row>
        <row r="302">
          <cell r="B302">
            <v>868</v>
          </cell>
        </row>
        <row r="303">
          <cell r="B303">
            <v>869</v>
          </cell>
        </row>
        <row r="304">
          <cell r="B304">
            <v>877</v>
          </cell>
        </row>
        <row r="305">
          <cell r="B305">
            <v>878</v>
          </cell>
        </row>
        <row r="306">
          <cell r="B306">
            <v>881</v>
          </cell>
        </row>
        <row r="307">
          <cell r="B307">
            <v>884</v>
          </cell>
        </row>
        <row r="308">
          <cell r="B308">
            <v>885</v>
          </cell>
        </row>
        <row r="309">
          <cell r="B309">
            <v>889</v>
          </cell>
        </row>
        <row r="310">
          <cell r="B310">
            <v>890</v>
          </cell>
        </row>
        <row r="311">
          <cell r="B311">
            <v>898</v>
          </cell>
        </row>
        <row r="312">
          <cell r="B312">
            <v>918</v>
          </cell>
        </row>
        <row r="313">
          <cell r="B313">
            <v>920</v>
          </cell>
        </row>
        <row r="314">
          <cell r="B314">
            <v>921</v>
          </cell>
        </row>
        <row r="315">
          <cell r="B315">
            <v>922</v>
          </cell>
        </row>
        <row r="316">
          <cell r="B316">
            <v>923</v>
          </cell>
        </row>
        <row r="317">
          <cell r="B317">
            <v>924</v>
          </cell>
        </row>
        <row r="318">
          <cell r="B318">
            <v>925</v>
          </cell>
        </row>
        <row r="319">
          <cell r="B319">
            <v>926</v>
          </cell>
        </row>
        <row r="320">
          <cell r="B320">
            <v>927</v>
          </cell>
        </row>
        <row r="321">
          <cell r="B321">
            <v>932</v>
          </cell>
        </row>
        <row r="322">
          <cell r="B322">
            <v>933</v>
          </cell>
        </row>
        <row r="323">
          <cell r="B323">
            <v>934</v>
          </cell>
        </row>
        <row r="324">
          <cell r="B324">
            <v>941</v>
          </cell>
        </row>
        <row r="325">
          <cell r="B325">
            <v>942</v>
          </cell>
        </row>
        <row r="326">
          <cell r="B326">
            <v>943</v>
          </cell>
        </row>
        <row r="327">
          <cell r="B327">
            <v>944</v>
          </cell>
        </row>
        <row r="328">
          <cell r="B328">
            <v>948</v>
          </cell>
        </row>
        <row r="329">
          <cell r="B329">
            <v>951</v>
          </cell>
        </row>
        <row r="330">
          <cell r="B330">
            <v>952</v>
          </cell>
        </row>
        <row r="331">
          <cell r="B331">
            <v>972</v>
          </cell>
        </row>
        <row r="332">
          <cell r="B332">
            <v>1003</v>
          </cell>
        </row>
        <row r="333">
          <cell r="B333">
            <v>1012</v>
          </cell>
        </row>
        <row r="334">
          <cell r="B334">
            <v>1024</v>
          </cell>
        </row>
        <row r="335">
          <cell r="B335">
            <v>1025</v>
          </cell>
        </row>
        <row r="336">
          <cell r="B336">
            <v>1027</v>
          </cell>
        </row>
        <row r="337">
          <cell r="B337">
            <v>1032</v>
          </cell>
        </row>
        <row r="338">
          <cell r="B338">
            <v>1033</v>
          </cell>
        </row>
        <row r="339">
          <cell r="B339">
            <v>1034</v>
          </cell>
        </row>
        <row r="340">
          <cell r="B340">
            <v>1035</v>
          </cell>
        </row>
        <row r="341">
          <cell r="B341">
            <v>1036</v>
          </cell>
        </row>
        <row r="342">
          <cell r="B342">
            <v>1037</v>
          </cell>
        </row>
        <row r="343">
          <cell r="B343">
            <v>1038</v>
          </cell>
        </row>
        <row r="344">
          <cell r="B344">
            <v>1039</v>
          </cell>
        </row>
        <row r="345">
          <cell r="B345">
            <v>1040</v>
          </cell>
        </row>
        <row r="346">
          <cell r="B346">
            <v>1041</v>
          </cell>
        </row>
        <row r="347">
          <cell r="B347">
            <v>1042</v>
          </cell>
        </row>
        <row r="348">
          <cell r="B348">
            <v>1043</v>
          </cell>
        </row>
        <row r="349">
          <cell r="B349">
            <v>1044</v>
          </cell>
        </row>
        <row r="350">
          <cell r="B350">
            <v>1045</v>
          </cell>
        </row>
        <row r="351">
          <cell r="B351">
            <v>1046</v>
          </cell>
        </row>
        <row r="352">
          <cell r="B352">
            <v>1047</v>
          </cell>
        </row>
        <row r="353">
          <cell r="B353">
            <v>1048</v>
          </cell>
        </row>
        <row r="354">
          <cell r="B354">
            <v>1049</v>
          </cell>
        </row>
        <row r="355">
          <cell r="B355">
            <v>1050</v>
          </cell>
        </row>
        <row r="356">
          <cell r="B356">
            <v>1051</v>
          </cell>
        </row>
        <row r="357">
          <cell r="B357">
            <v>1052</v>
          </cell>
        </row>
        <row r="358">
          <cell r="B358">
            <v>1053</v>
          </cell>
        </row>
        <row r="359">
          <cell r="B359">
            <v>1054</v>
          </cell>
        </row>
        <row r="360">
          <cell r="B360">
            <v>1055</v>
          </cell>
        </row>
        <row r="361">
          <cell r="B361">
            <v>1056</v>
          </cell>
        </row>
        <row r="362">
          <cell r="B362">
            <v>1057</v>
          </cell>
        </row>
        <row r="363">
          <cell r="B363">
            <v>1058</v>
          </cell>
        </row>
        <row r="364">
          <cell r="B364">
            <v>1059</v>
          </cell>
        </row>
        <row r="365">
          <cell r="B365">
            <v>1060</v>
          </cell>
        </row>
        <row r="366">
          <cell r="B366">
            <v>1061</v>
          </cell>
        </row>
        <row r="367">
          <cell r="B367">
            <v>1062</v>
          </cell>
        </row>
        <row r="368">
          <cell r="B368">
            <v>1063</v>
          </cell>
        </row>
        <row r="369">
          <cell r="B369">
            <v>1064</v>
          </cell>
        </row>
        <row r="370">
          <cell r="B370">
            <v>1065</v>
          </cell>
        </row>
        <row r="371">
          <cell r="B371">
            <v>1066</v>
          </cell>
        </row>
        <row r="372">
          <cell r="B372">
            <v>1067</v>
          </cell>
        </row>
        <row r="373">
          <cell r="B373">
            <v>1068</v>
          </cell>
        </row>
        <row r="374">
          <cell r="B374">
            <v>1069</v>
          </cell>
        </row>
        <row r="375">
          <cell r="B375">
            <v>1070</v>
          </cell>
        </row>
        <row r="376">
          <cell r="B376">
            <v>1071</v>
          </cell>
        </row>
        <row r="377">
          <cell r="B377">
            <v>1075</v>
          </cell>
        </row>
        <row r="378">
          <cell r="B378">
            <v>1086</v>
          </cell>
        </row>
        <row r="379">
          <cell r="B379">
            <v>1096</v>
          </cell>
        </row>
        <row r="380">
          <cell r="B380">
            <v>1104</v>
          </cell>
        </row>
        <row r="381">
          <cell r="B381">
            <v>1107</v>
          </cell>
        </row>
        <row r="382">
          <cell r="B382">
            <v>1113</v>
          </cell>
        </row>
        <row r="383">
          <cell r="B383">
            <v>1126</v>
          </cell>
        </row>
        <row r="384">
          <cell r="B384">
            <v>1127</v>
          </cell>
        </row>
        <row r="385">
          <cell r="B385">
            <v>1130</v>
          </cell>
        </row>
        <row r="386">
          <cell r="B386">
            <v>1131</v>
          </cell>
        </row>
        <row r="387">
          <cell r="B387">
            <v>1134</v>
          </cell>
        </row>
        <row r="388">
          <cell r="B388">
            <v>1136</v>
          </cell>
        </row>
        <row r="389">
          <cell r="B389">
            <v>1140</v>
          </cell>
        </row>
        <row r="390">
          <cell r="B390">
            <v>1141</v>
          </cell>
        </row>
        <row r="391">
          <cell r="B391">
            <v>1157</v>
          </cell>
        </row>
        <row r="392">
          <cell r="B392">
            <v>1167</v>
          </cell>
        </row>
        <row r="393">
          <cell r="B393">
            <v>1168</v>
          </cell>
        </row>
        <row r="394">
          <cell r="B394">
            <v>1169</v>
          </cell>
        </row>
        <row r="395">
          <cell r="B395">
            <v>1170</v>
          </cell>
        </row>
        <row r="396">
          <cell r="B396">
            <v>1171</v>
          </cell>
        </row>
        <row r="397">
          <cell r="B397">
            <v>1172</v>
          </cell>
        </row>
        <row r="398">
          <cell r="B398">
            <v>1173</v>
          </cell>
        </row>
        <row r="399">
          <cell r="B399">
            <v>1195</v>
          </cell>
        </row>
        <row r="400">
          <cell r="B400">
            <v>1212</v>
          </cell>
        </row>
        <row r="401">
          <cell r="B401">
            <v>1213</v>
          </cell>
        </row>
        <row r="402">
          <cell r="B402">
            <v>1214</v>
          </cell>
        </row>
        <row r="403">
          <cell r="B403">
            <v>1215</v>
          </cell>
        </row>
        <row r="404">
          <cell r="B404">
            <v>1223</v>
          </cell>
        </row>
        <row r="405">
          <cell r="B405">
            <v>1224</v>
          </cell>
        </row>
        <row r="406">
          <cell r="B406">
            <v>1225</v>
          </cell>
        </row>
        <row r="407">
          <cell r="B407">
            <v>1226</v>
          </cell>
        </row>
        <row r="408">
          <cell r="B408">
            <v>1291</v>
          </cell>
        </row>
        <row r="409">
          <cell r="B409">
            <v>1340</v>
          </cell>
        </row>
        <row r="410">
          <cell r="B410">
            <v>1341</v>
          </cell>
        </row>
        <row r="411">
          <cell r="B411">
            <v>1342</v>
          </cell>
        </row>
        <row r="412">
          <cell r="B412">
            <v>1343</v>
          </cell>
        </row>
        <row r="413">
          <cell r="B413">
            <v>1351</v>
          </cell>
        </row>
        <row r="414">
          <cell r="B414">
            <v>1370</v>
          </cell>
        </row>
        <row r="415">
          <cell r="B415">
            <v>1372</v>
          </cell>
        </row>
        <row r="416">
          <cell r="B416">
            <v>1425</v>
          </cell>
        </row>
        <row r="417">
          <cell r="B417">
            <v>1432</v>
          </cell>
        </row>
        <row r="418">
          <cell r="B418">
            <v>1433</v>
          </cell>
        </row>
        <row r="419">
          <cell r="B419">
            <v>1435</v>
          </cell>
        </row>
        <row r="420">
          <cell r="B420">
            <v>1442</v>
          </cell>
        </row>
        <row r="421">
          <cell r="B421">
            <v>1443</v>
          </cell>
        </row>
        <row r="422">
          <cell r="B422">
            <v>1446</v>
          </cell>
        </row>
        <row r="423">
          <cell r="B423">
            <v>1447</v>
          </cell>
        </row>
        <row r="424">
          <cell r="B424">
            <v>1450</v>
          </cell>
        </row>
        <row r="425">
          <cell r="B425">
            <v>1451</v>
          </cell>
        </row>
        <row r="426">
          <cell r="B426">
            <v>1453</v>
          </cell>
        </row>
        <row r="427">
          <cell r="B427">
            <v>1456</v>
          </cell>
        </row>
        <row r="428">
          <cell r="B428">
            <v>1457</v>
          </cell>
        </row>
        <row r="429">
          <cell r="B429">
            <v>1459</v>
          </cell>
        </row>
        <row r="430">
          <cell r="B430">
            <v>1461</v>
          </cell>
        </row>
        <row r="431">
          <cell r="B431">
            <v>1462</v>
          </cell>
        </row>
        <row r="432">
          <cell r="B432">
            <v>1477</v>
          </cell>
        </row>
        <row r="433">
          <cell r="B433">
            <v>1478</v>
          </cell>
        </row>
        <row r="434">
          <cell r="B434">
            <v>1479</v>
          </cell>
        </row>
        <row r="435">
          <cell r="B435">
            <v>1480</v>
          </cell>
        </row>
        <row r="436">
          <cell r="B436">
            <v>1483</v>
          </cell>
        </row>
        <row r="437">
          <cell r="B437">
            <v>1484</v>
          </cell>
        </row>
        <row r="438">
          <cell r="B438">
            <v>1485</v>
          </cell>
        </row>
        <row r="439">
          <cell r="B439">
            <v>1486</v>
          </cell>
        </row>
        <row r="440">
          <cell r="B440">
            <v>1489</v>
          </cell>
        </row>
        <row r="441">
          <cell r="B441">
            <v>1490</v>
          </cell>
        </row>
        <row r="442">
          <cell r="B442">
            <v>1492</v>
          </cell>
        </row>
        <row r="443">
          <cell r="B443">
            <v>1493</v>
          </cell>
        </row>
        <row r="444">
          <cell r="B444">
            <v>1495</v>
          </cell>
        </row>
        <row r="445">
          <cell r="B445">
            <v>1496</v>
          </cell>
        </row>
        <row r="446">
          <cell r="B446">
            <v>1498</v>
          </cell>
        </row>
        <row r="447">
          <cell r="B447">
            <v>1499</v>
          </cell>
        </row>
        <row r="448">
          <cell r="B448">
            <v>1501</v>
          </cell>
        </row>
        <row r="449">
          <cell r="B449">
            <v>1502</v>
          </cell>
        </row>
        <row r="450">
          <cell r="B450">
            <v>1504</v>
          </cell>
        </row>
        <row r="451">
          <cell r="B451">
            <v>1505</v>
          </cell>
        </row>
        <row r="452">
          <cell r="B452">
            <v>1507</v>
          </cell>
        </row>
        <row r="453">
          <cell r="B453">
            <v>1516</v>
          </cell>
        </row>
        <row r="454">
          <cell r="B454">
            <v>1517</v>
          </cell>
        </row>
        <row r="455">
          <cell r="B455">
            <v>1518</v>
          </cell>
        </row>
        <row r="456">
          <cell r="B456">
            <v>1519</v>
          </cell>
        </row>
        <row r="457">
          <cell r="B457">
            <v>1521</v>
          </cell>
        </row>
        <row r="458">
          <cell r="B458">
            <v>1525</v>
          </cell>
        </row>
        <row r="459">
          <cell r="B459">
            <v>1541</v>
          </cell>
        </row>
        <row r="460">
          <cell r="B460">
            <v>1542</v>
          </cell>
        </row>
        <row r="461">
          <cell r="B461">
            <v>1543</v>
          </cell>
        </row>
        <row r="462">
          <cell r="B462">
            <v>1547</v>
          </cell>
        </row>
        <row r="463">
          <cell r="B463">
            <v>1548</v>
          </cell>
        </row>
        <row r="464">
          <cell r="B464">
            <v>1549</v>
          </cell>
        </row>
        <row r="465">
          <cell r="B465">
            <v>1555</v>
          </cell>
        </row>
        <row r="466">
          <cell r="B466">
            <v>1556</v>
          </cell>
        </row>
        <row r="467">
          <cell r="B467">
            <v>1569</v>
          </cell>
        </row>
        <row r="468">
          <cell r="B468">
            <v>1571</v>
          </cell>
        </row>
        <row r="469">
          <cell r="B469">
            <v>1576</v>
          </cell>
        </row>
        <row r="470">
          <cell r="B470">
            <v>1577</v>
          </cell>
        </row>
        <row r="471">
          <cell r="B471">
            <v>1578</v>
          </cell>
        </row>
        <row r="472">
          <cell r="B472">
            <v>1588</v>
          </cell>
        </row>
        <row r="473">
          <cell r="B473">
            <v>1589</v>
          </cell>
        </row>
        <row r="474">
          <cell r="B474">
            <v>1593</v>
          </cell>
        </row>
        <row r="475">
          <cell r="B475">
            <v>1616</v>
          </cell>
        </row>
        <row r="476">
          <cell r="B476">
            <v>1617</v>
          </cell>
        </row>
        <row r="477">
          <cell r="B477">
            <v>1618</v>
          </cell>
        </row>
        <row r="478">
          <cell r="B478">
            <v>1619</v>
          </cell>
        </row>
        <row r="479">
          <cell r="B479">
            <v>1620</v>
          </cell>
        </row>
        <row r="480">
          <cell r="B480">
            <v>1621</v>
          </cell>
        </row>
        <row r="481">
          <cell r="B481">
            <v>1622</v>
          </cell>
        </row>
        <row r="482">
          <cell r="B482">
            <v>1623</v>
          </cell>
        </row>
        <row r="483">
          <cell r="B483">
            <v>1624</v>
          </cell>
        </row>
        <row r="484">
          <cell r="B484">
            <v>1625</v>
          </cell>
        </row>
        <row r="485">
          <cell r="B485">
            <v>1626</v>
          </cell>
        </row>
        <row r="486">
          <cell r="B486">
            <v>1627</v>
          </cell>
        </row>
        <row r="487">
          <cell r="B487">
            <v>1628</v>
          </cell>
        </row>
        <row r="488">
          <cell r="B488">
            <v>1629</v>
          </cell>
        </row>
        <row r="489">
          <cell r="B489">
            <v>1630</v>
          </cell>
        </row>
        <row r="490">
          <cell r="B490">
            <v>1631</v>
          </cell>
        </row>
        <row r="491">
          <cell r="B491">
            <v>1632</v>
          </cell>
        </row>
        <row r="492">
          <cell r="B492">
            <v>1633</v>
          </cell>
        </row>
        <row r="493">
          <cell r="B493">
            <v>1634</v>
          </cell>
        </row>
        <row r="494">
          <cell r="B494">
            <v>1635</v>
          </cell>
        </row>
        <row r="495">
          <cell r="B495">
            <v>1636</v>
          </cell>
        </row>
        <row r="496">
          <cell r="B496">
            <v>1637</v>
          </cell>
        </row>
        <row r="497">
          <cell r="B497">
            <v>1638</v>
          </cell>
        </row>
        <row r="498">
          <cell r="B498">
            <v>1639</v>
          </cell>
        </row>
        <row r="499">
          <cell r="B499">
            <v>1640</v>
          </cell>
        </row>
        <row r="500">
          <cell r="B500">
            <v>1641</v>
          </cell>
        </row>
        <row r="501">
          <cell r="B501">
            <v>1642</v>
          </cell>
        </row>
        <row r="502">
          <cell r="B502">
            <v>1643</v>
          </cell>
        </row>
        <row r="503">
          <cell r="B503">
            <v>1644</v>
          </cell>
        </row>
        <row r="504">
          <cell r="B504">
            <v>1645</v>
          </cell>
        </row>
        <row r="505">
          <cell r="B505">
            <v>1646</v>
          </cell>
        </row>
        <row r="506">
          <cell r="B506">
            <v>1647</v>
          </cell>
        </row>
        <row r="507">
          <cell r="B507">
            <v>1648</v>
          </cell>
        </row>
        <row r="508">
          <cell r="B508">
            <v>1649</v>
          </cell>
        </row>
        <row r="509">
          <cell r="B509">
            <v>1650</v>
          </cell>
        </row>
        <row r="510">
          <cell r="B510">
            <v>1651</v>
          </cell>
        </row>
        <row r="511">
          <cell r="B511">
            <v>1652</v>
          </cell>
        </row>
        <row r="512">
          <cell r="B512">
            <v>1653</v>
          </cell>
        </row>
        <row r="513">
          <cell r="B513">
            <v>1654</v>
          </cell>
        </row>
        <row r="514">
          <cell r="B514">
            <v>1655</v>
          </cell>
        </row>
        <row r="515">
          <cell r="B515">
            <v>1656</v>
          </cell>
        </row>
        <row r="516">
          <cell r="B516">
            <v>1657</v>
          </cell>
        </row>
        <row r="517">
          <cell r="B517">
            <v>1658</v>
          </cell>
        </row>
        <row r="518">
          <cell r="B518">
            <v>1659</v>
          </cell>
        </row>
        <row r="519">
          <cell r="B519">
            <v>1660</v>
          </cell>
        </row>
        <row r="520">
          <cell r="B520">
            <v>1661</v>
          </cell>
        </row>
        <row r="521">
          <cell r="B521">
            <v>1662</v>
          </cell>
        </row>
        <row r="522">
          <cell r="B522">
            <v>1663</v>
          </cell>
        </row>
        <row r="523">
          <cell r="B523">
            <v>1664</v>
          </cell>
        </row>
        <row r="524">
          <cell r="B524">
            <v>1665</v>
          </cell>
        </row>
        <row r="525">
          <cell r="B525">
            <v>1666</v>
          </cell>
        </row>
        <row r="526">
          <cell r="B526">
            <v>1667</v>
          </cell>
        </row>
        <row r="527">
          <cell r="B527">
            <v>1668</v>
          </cell>
        </row>
        <row r="528">
          <cell r="B528">
            <v>1669</v>
          </cell>
        </row>
        <row r="529">
          <cell r="B529">
            <v>1670</v>
          </cell>
        </row>
        <row r="530">
          <cell r="B530">
            <v>1671</v>
          </cell>
        </row>
        <row r="531">
          <cell r="B531">
            <v>1672</v>
          </cell>
        </row>
        <row r="532">
          <cell r="B532">
            <v>1673</v>
          </cell>
        </row>
        <row r="533">
          <cell r="B533">
            <v>1674</v>
          </cell>
        </row>
        <row r="534">
          <cell r="B534">
            <v>1675</v>
          </cell>
        </row>
        <row r="535">
          <cell r="B535">
            <v>1676</v>
          </cell>
        </row>
        <row r="536">
          <cell r="B536">
            <v>1677</v>
          </cell>
        </row>
        <row r="537">
          <cell r="B537">
            <v>1678</v>
          </cell>
        </row>
        <row r="538">
          <cell r="B538">
            <v>1679</v>
          </cell>
        </row>
        <row r="539">
          <cell r="B539">
            <v>1680</v>
          </cell>
        </row>
        <row r="540">
          <cell r="B540">
            <v>1681</v>
          </cell>
        </row>
        <row r="541">
          <cell r="B541">
            <v>1682</v>
          </cell>
        </row>
        <row r="542">
          <cell r="B542">
            <v>1683</v>
          </cell>
        </row>
        <row r="543">
          <cell r="B543">
            <v>1684</v>
          </cell>
        </row>
        <row r="544">
          <cell r="B544">
            <v>1685</v>
          </cell>
        </row>
        <row r="545">
          <cell r="B545">
            <v>1686</v>
          </cell>
        </row>
        <row r="546">
          <cell r="B546">
            <v>1687</v>
          </cell>
        </row>
        <row r="547">
          <cell r="B547">
            <v>1688</v>
          </cell>
        </row>
        <row r="548">
          <cell r="B548">
            <v>1689</v>
          </cell>
        </row>
        <row r="549">
          <cell r="B549">
            <v>1690</v>
          </cell>
        </row>
        <row r="550">
          <cell r="B550">
            <v>1691</v>
          </cell>
        </row>
        <row r="551">
          <cell r="B551">
            <v>1692</v>
          </cell>
        </row>
        <row r="552">
          <cell r="B552">
            <v>1693</v>
          </cell>
        </row>
        <row r="553">
          <cell r="B553">
            <v>1694</v>
          </cell>
        </row>
        <row r="554">
          <cell r="B554">
            <v>1695</v>
          </cell>
        </row>
        <row r="555">
          <cell r="B555">
            <v>1696</v>
          </cell>
        </row>
        <row r="556">
          <cell r="B556">
            <v>1697</v>
          </cell>
        </row>
        <row r="557">
          <cell r="B557">
            <v>1699</v>
          </cell>
        </row>
        <row r="558">
          <cell r="B558">
            <v>1700</v>
          </cell>
        </row>
        <row r="559">
          <cell r="B559">
            <v>1703</v>
          </cell>
        </row>
        <row r="560">
          <cell r="B560">
            <v>1704</v>
          </cell>
        </row>
        <row r="561">
          <cell r="B561">
            <v>1705</v>
          </cell>
        </row>
        <row r="562">
          <cell r="B562">
            <v>1706</v>
          </cell>
        </row>
        <row r="563">
          <cell r="B563">
            <v>1707</v>
          </cell>
        </row>
        <row r="564">
          <cell r="B564">
            <v>1708</v>
          </cell>
        </row>
        <row r="565">
          <cell r="B565">
            <v>1709</v>
          </cell>
        </row>
        <row r="566">
          <cell r="B566">
            <v>1710</v>
          </cell>
        </row>
        <row r="567">
          <cell r="B567">
            <v>1711</v>
          </cell>
        </row>
        <row r="568">
          <cell r="B568">
            <v>1712</v>
          </cell>
        </row>
        <row r="569">
          <cell r="B569">
            <v>1713</v>
          </cell>
        </row>
        <row r="570">
          <cell r="B570">
            <v>1714</v>
          </cell>
        </row>
        <row r="571">
          <cell r="B571">
            <v>1715</v>
          </cell>
        </row>
        <row r="572">
          <cell r="B572">
            <v>1716</v>
          </cell>
        </row>
        <row r="573">
          <cell r="B573">
            <v>1717</v>
          </cell>
        </row>
        <row r="574">
          <cell r="B574">
            <v>1728</v>
          </cell>
        </row>
        <row r="575">
          <cell r="B575">
            <v>1729</v>
          </cell>
        </row>
        <row r="576">
          <cell r="B576">
            <v>1733</v>
          </cell>
        </row>
        <row r="577">
          <cell r="B577">
            <v>1734</v>
          </cell>
        </row>
        <row r="578">
          <cell r="B578">
            <v>1735</v>
          </cell>
        </row>
        <row r="579">
          <cell r="B579">
            <v>1736</v>
          </cell>
        </row>
        <row r="580">
          <cell r="B580">
            <v>1737</v>
          </cell>
        </row>
        <row r="581">
          <cell r="B581">
            <v>1740</v>
          </cell>
        </row>
        <row r="582">
          <cell r="B582">
            <v>1741</v>
          </cell>
        </row>
        <row r="583">
          <cell r="B583">
            <v>1742</v>
          </cell>
        </row>
        <row r="584">
          <cell r="B584">
            <v>1743</v>
          </cell>
        </row>
        <row r="585">
          <cell r="B585">
            <v>1744</v>
          </cell>
        </row>
        <row r="586">
          <cell r="B586">
            <v>1745</v>
          </cell>
        </row>
        <row r="587">
          <cell r="B587">
            <v>1746</v>
          </cell>
        </row>
        <row r="588">
          <cell r="B588">
            <v>1747</v>
          </cell>
        </row>
        <row r="589">
          <cell r="B589">
            <v>1748</v>
          </cell>
        </row>
        <row r="590">
          <cell r="B590">
            <v>1749</v>
          </cell>
        </row>
        <row r="591">
          <cell r="B591">
            <v>1751</v>
          </cell>
        </row>
        <row r="592">
          <cell r="B592">
            <v>1752</v>
          </cell>
        </row>
        <row r="593">
          <cell r="B593">
            <v>1753</v>
          </cell>
        </row>
        <row r="594">
          <cell r="B594">
            <v>1754</v>
          </cell>
        </row>
        <row r="595">
          <cell r="B595">
            <v>1755</v>
          </cell>
        </row>
        <row r="596">
          <cell r="B596">
            <v>1763</v>
          </cell>
        </row>
        <row r="597">
          <cell r="B597">
            <v>1764</v>
          </cell>
        </row>
        <row r="598">
          <cell r="B598">
            <v>1765</v>
          </cell>
        </row>
        <row r="599">
          <cell r="B599">
            <v>1766</v>
          </cell>
        </row>
        <row r="600">
          <cell r="B600">
            <v>1767</v>
          </cell>
        </row>
        <row r="601">
          <cell r="B601">
            <v>1768</v>
          </cell>
        </row>
        <row r="602">
          <cell r="B602">
            <v>1769</v>
          </cell>
        </row>
        <row r="603">
          <cell r="B603">
            <v>1770</v>
          </cell>
        </row>
        <row r="604">
          <cell r="B604">
            <v>1773</v>
          </cell>
        </row>
        <row r="605">
          <cell r="B605">
            <v>1774</v>
          </cell>
        </row>
        <row r="606">
          <cell r="B606">
            <v>1775</v>
          </cell>
        </row>
        <row r="607">
          <cell r="B607">
            <v>1776</v>
          </cell>
        </row>
        <row r="608">
          <cell r="B608">
            <v>1778</v>
          </cell>
        </row>
        <row r="609">
          <cell r="B609">
            <v>1779</v>
          </cell>
        </row>
        <row r="610">
          <cell r="B610">
            <v>1781</v>
          </cell>
        </row>
        <row r="611">
          <cell r="B611">
            <v>1782</v>
          </cell>
        </row>
        <row r="612">
          <cell r="B612">
            <v>1783</v>
          </cell>
        </row>
        <row r="613">
          <cell r="B613">
            <v>1784</v>
          </cell>
        </row>
        <row r="614">
          <cell r="B614">
            <v>1785</v>
          </cell>
        </row>
        <row r="615">
          <cell r="B615">
            <v>1786</v>
          </cell>
        </row>
        <row r="616">
          <cell r="B616">
            <v>1787</v>
          </cell>
        </row>
        <row r="617">
          <cell r="B617">
            <v>1788</v>
          </cell>
        </row>
        <row r="618">
          <cell r="B618">
            <v>1789</v>
          </cell>
        </row>
        <row r="619">
          <cell r="B619">
            <v>1790</v>
          </cell>
        </row>
        <row r="620">
          <cell r="B620">
            <v>1792</v>
          </cell>
        </row>
        <row r="621">
          <cell r="B621">
            <v>1793</v>
          </cell>
        </row>
        <row r="622">
          <cell r="B622">
            <v>1795</v>
          </cell>
        </row>
        <row r="623">
          <cell r="B623">
            <v>1796</v>
          </cell>
        </row>
        <row r="624">
          <cell r="B624">
            <v>1797</v>
          </cell>
        </row>
        <row r="625">
          <cell r="B625">
            <v>1798</v>
          </cell>
        </row>
        <row r="626">
          <cell r="B626">
            <v>1799</v>
          </cell>
        </row>
        <row r="627">
          <cell r="B627">
            <v>1800</v>
          </cell>
        </row>
        <row r="628">
          <cell r="B628">
            <v>1801</v>
          </cell>
        </row>
        <row r="629">
          <cell r="B629">
            <v>1802</v>
          </cell>
        </row>
        <row r="630">
          <cell r="B630">
            <v>1803</v>
          </cell>
        </row>
        <row r="631">
          <cell r="B631">
            <v>1804</v>
          </cell>
        </row>
        <row r="632">
          <cell r="B632">
            <v>1805</v>
          </cell>
        </row>
        <row r="633">
          <cell r="B633">
            <v>1806</v>
          </cell>
        </row>
        <row r="634">
          <cell r="B634">
            <v>1807</v>
          </cell>
        </row>
        <row r="635">
          <cell r="B635">
            <v>1808</v>
          </cell>
        </row>
        <row r="636">
          <cell r="B636">
            <v>1809</v>
          </cell>
        </row>
        <row r="637">
          <cell r="B637">
            <v>1810</v>
          </cell>
        </row>
        <row r="638">
          <cell r="B638">
            <v>1811</v>
          </cell>
        </row>
        <row r="639">
          <cell r="B639">
            <v>1812</v>
          </cell>
        </row>
        <row r="640">
          <cell r="B640">
            <v>1813</v>
          </cell>
        </row>
        <row r="641">
          <cell r="B641">
            <v>1814</v>
          </cell>
        </row>
        <row r="642">
          <cell r="B642">
            <v>1815</v>
          </cell>
        </row>
        <row r="643">
          <cell r="B643">
            <v>1816</v>
          </cell>
        </row>
        <row r="644">
          <cell r="B644">
            <v>1817</v>
          </cell>
        </row>
        <row r="645">
          <cell r="B645">
            <v>1818</v>
          </cell>
        </row>
        <row r="646">
          <cell r="B646">
            <v>1819</v>
          </cell>
        </row>
        <row r="647">
          <cell r="B647">
            <v>1820</v>
          </cell>
        </row>
        <row r="648">
          <cell r="B648">
            <v>1821</v>
          </cell>
        </row>
        <row r="649">
          <cell r="B649">
            <v>1822</v>
          </cell>
        </row>
        <row r="650">
          <cell r="B650">
            <v>1823</v>
          </cell>
        </row>
        <row r="651">
          <cell r="B651">
            <v>1824</v>
          </cell>
        </row>
        <row r="652">
          <cell r="B652">
            <v>1825</v>
          </cell>
        </row>
        <row r="653">
          <cell r="B653">
            <v>1826</v>
          </cell>
        </row>
        <row r="654">
          <cell r="B654">
            <v>1827</v>
          </cell>
        </row>
        <row r="655">
          <cell r="B655">
            <v>1828</v>
          </cell>
        </row>
        <row r="656">
          <cell r="B656">
            <v>1829</v>
          </cell>
        </row>
        <row r="657">
          <cell r="B657">
            <v>1830</v>
          </cell>
        </row>
        <row r="658">
          <cell r="B658">
            <v>1831</v>
          </cell>
        </row>
        <row r="659">
          <cell r="B659">
            <v>1832</v>
          </cell>
        </row>
        <row r="660">
          <cell r="B660">
            <v>1833</v>
          </cell>
        </row>
        <row r="661">
          <cell r="B661">
            <v>1834</v>
          </cell>
        </row>
        <row r="662">
          <cell r="B662">
            <v>1835</v>
          </cell>
        </row>
        <row r="663">
          <cell r="B663">
            <v>1836</v>
          </cell>
        </row>
        <row r="664">
          <cell r="B664">
            <v>1837</v>
          </cell>
        </row>
        <row r="665">
          <cell r="B665">
            <v>1838</v>
          </cell>
        </row>
        <row r="666">
          <cell r="B666">
            <v>1839</v>
          </cell>
        </row>
        <row r="667">
          <cell r="B667">
            <v>1840</v>
          </cell>
        </row>
        <row r="668">
          <cell r="B668">
            <v>1842</v>
          </cell>
        </row>
        <row r="669">
          <cell r="B669">
            <v>1843</v>
          </cell>
        </row>
        <row r="670">
          <cell r="B670">
            <v>1882</v>
          </cell>
        </row>
        <row r="671">
          <cell r="B671">
            <v>1883</v>
          </cell>
        </row>
        <row r="672">
          <cell r="B672">
            <v>1884</v>
          </cell>
        </row>
        <row r="673">
          <cell r="B673">
            <v>1885</v>
          </cell>
        </row>
        <row r="674">
          <cell r="B674">
            <v>1886</v>
          </cell>
        </row>
        <row r="675">
          <cell r="B675">
            <v>1887</v>
          </cell>
        </row>
        <row r="676">
          <cell r="B676">
            <v>1888</v>
          </cell>
        </row>
        <row r="677">
          <cell r="B677">
            <v>1889</v>
          </cell>
        </row>
        <row r="678">
          <cell r="B678">
            <v>1890</v>
          </cell>
        </row>
        <row r="679">
          <cell r="B679">
            <v>1891</v>
          </cell>
        </row>
        <row r="680">
          <cell r="B680">
            <v>1892</v>
          </cell>
        </row>
        <row r="681">
          <cell r="B681">
            <v>1893</v>
          </cell>
        </row>
        <row r="682">
          <cell r="B682">
            <v>1894</v>
          </cell>
        </row>
        <row r="683">
          <cell r="B683">
            <v>1895</v>
          </cell>
        </row>
        <row r="684">
          <cell r="B684">
            <v>1896</v>
          </cell>
        </row>
        <row r="685">
          <cell r="B685">
            <v>1897</v>
          </cell>
        </row>
        <row r="686">
          <cell r="B686">
            <v>1898</v>
          </cell>
        </row>
        <row r="687">
          <cell r="B687">
            <v>1899</v>
          </cell>
        </row>
        <row r="688">
          <cell r="B688">
            <v>1900</v>
          </cell>
        </row>
        <row r="689">
          <cell r="B689">
            <v>1901</v>
          </cell>
        </row>
        <row r="690">
          <cell r="B690">
            <v>1902</v>
          </cell>
        </row>
        <row r="691">
          <cell r="B691">
            <v>1903</v>
          </cell>
        </row>
        <row r="692">
          <cell r="B692">
            <v>1904</v>
          </cell>
        </row>
        <row r="693">
          <cell r="B693">
            <v>1905</v>
          </cell>
        </row>
        <row r="694">
          <cell r="B694">
            <v>1906</v>
          </cell>
        </row>
        <row r="695">
          <cell r="B695">
            <v>1907</v>
          </cell>
        </row>
        <row r="696">
          <cell r="B696">
            <v>1908</v>
          </cell>
        </row>
        <row r="697">
          <cell r="B697">
            <v>1909</v>
          </cell>
        </row>
        <row r="698">
          <cell r="B698">
            <v>1910</v>
          </cell>
        </row>
        <row r="699">
          <cell r="B699">
            <v>1911</v>
          </cell>
        </row>
        <row r="700">
          <cell r="B700">
            <v>1912</v>
          </cell>
        </row>
        <row r="701">
          <cell r="B701">
            <v>1913</v>
          </cell>
        </row>
        <row r="702">
          <cell r="B702">
            <v>1914</v>
          </cell>
        </row>
        <row r="703">
          <cell r="B703">
            <v>1915</v>
          </cell>
        </row>
        <row r="704">
          <cell r="B704">
            <v>1916</v>
          </cell>
        </row>
        <row r="705">
          <cell r="B705">
            <v>1917</v>
          </cell>
        </row>
        <row r="706">
          <cell r="B706">
            <v>1918</v>
          </cell>
        </row>
        <row r="707">
          <cell r="B707">
            <v>1919</v>
          </cell>
        </row>
        <row r="708">
          <cell r="B708">
            <v>1920</v>
          </cell>
        </row>
        <row r="709">
          <cell r="B709">
            <v>1921</v>
          </cell>
        </row>
        <row r="710">
          <cell r="B710">
            <v>1922</v>
          </cell>
        </row>
        <row r="711">
          <cell r="B711">
            <v>1923</v>
          </cell>
        </row>
        <row r="712">
          <cell r="B712">
            <v>1924</v>
          </cell>
        </row>
        <row r="713">
          <cell r="B713">
            <v>1925</v>
          </cell>
        </row>
        <row r="714">
          <cell r="B714">
            <v>1926</v>
          </cell>
        </row>
        <row r="715">
          <cell r="B715">
            <v>1927</v>
          </cell>
        </row>
        <row r="716">
          <cell r="B716">
            <v>1928</v>
          </cell>
        </row>
        <row r="717">
          <cell r="B717">
            <v>1929</v>
          </cell>
        </row>
        <row r="718">
          <cell r="B718">
            <v>1930</v>
          </cell>
        </row>
        <row r="719">
          <cell r="B719">
            <v>1931</v>
          </cell>
        </row>
        <row r="720">
          <cell r="B720">
            <v>1932</v>
          </cell>
        </row>
        <row r="721">
          <cell r="B721">
            <v>1933</v>
          </cell>
        </row>
        <row r="722">
          <cell r="B722">
            <v>1934</v>
          </cell>
        </row>
        <row r="723">
          <cell r="B723">
            <v>1935</v>
          </cell>
        </row>
        <row r="724">
          <cell r="B724">
            <v>1936</v>
          </cell>
        </row>
        <row r="725">
          <cell r="B725">
            <v>1937</v>
          </cell>
        </row>
        <row r="726">
          <cell r="B726">
            <v>1938</v>
          </cell>
        </row>
        <row r="727">
          <cell r="B727">
            <v>1939</v>
          </cell>
        </row>
        <row r="728">
          <cell r="B728">
            <v>1940</v>
          </cell>
        </row>
        <row r="729">
          <cell r="B729">
            <v>1941</v>
          </cell>
        </row>
        <row r="730">
          <cell r="B730">
            <v>1942</v>
          </cell>
        </row>
        <row r="731">
          <cell r="B731">
            <v>1949</v>
          </cell>
        </row>
        <row r="732">
          <cell r="B732">
            <v>1950</v>
          </cell>
        </row>
        <row r="733">
          <cell r="B733">
            <v>1951</v>
          </cell>
        </row>
        <row r="734">
          <cell r="B734">
            <v>1952</v>
          </cell>
        </row>
        <row r="735">
          <cell r="B735">
            <v>1953</v>
          </cell>
        </row>
        <row r="736">
          <cell r="B736">
            <v>1954</v>
          </cell>
        </row>
        <row r="737">
          <cell r="B737">
            <v>1955</v>
          </cell>
        </row>
        <row r="738">
          <cell r="B738">
            <v>1956</v>
          </cell>
        </row>
        <row r="739">
          <cell r="B739">
            <v>1957</v>
          </cell>
        </row>
        <row r="740">
          <cell r="B740">
            <v>1994</v>
          </cell>
        </row>
        <row r="741">
          <cell r="B741">
            <v>2008</v>
          </cell>
        </row>
        <row r="742">
          <cell r="B742">
            <v>2009</v>
          </cell>
        </row>
        <row r="743">
          <cell r="B743">
            <v>2010</v>
          </cell>
        </row>
        <row r="744">
          <cell r="B744">
            <v>2011</v>
          </cell>
        </row>
        <row r="745">
          <cell r="B745">
            <v>2012</v>
          </cell>
        </row>
        <row r="746">
          <cell r="B746">
            <v>2013</v>
          </cell>
        </row>
        <row r="747">
          <cell r="B747">
            <v>2014</v>
          </cell>
        </row>
        <row r="748">
          <cell r="B748">
            <v>2015</v>
          </cell>
        </row>
        <row r="749">
          <cell r="B749">
            <v>2016</v>
          </cell>
        </row>
        <row r="750">
          <cell r="B750">
            <v>2017</v>
          </cell>
        </row>
        <row r="751">
          <cell r="B751">
            <v>2018</v>
          </cell>
        </row>
        <row r="752">
          <cell r="B752">
            <v>2019</v>
          </cell>
        </row>
      </sheetData>
      <sheetData sheetId="2"/>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B1:J25"/>
  <sheetViews>
    <sheetView workbookViewId="0">
      <selection activeCell="F19" sqref="F19"/>
    </sheetView>
  </sheetViews>
  <sheetFormatPr baseColWidth="10" defaultColWidth="9.140625" defaultRowHeight="15" x14ac:dyDescent="0.25"/>
  <cols>
    <col min="1" max="1" width="9.140625" style="1"/>
    <col min="2" max="2" width="17.42578125" style="1" bestFit="1" customWidth="1"/>
    <col min="3" max="3" width="19.85546875" style="1" bestFit="1" customWidth="1"/>
    <col min="4" max="4" width="26" style="10" bestFit="1" customWidth="1"/>
    <col min="5" max="5" width="74" style="10" customWidth="1"/>
    <col min="6" max="6" width="10" style="1" bestFit="1" customWidth="1"/>
    <col min="7" max="9" width="9.140625" style="1"/>
    <col min="10" max="10" width="13.42578125" style="1" bestFit="1" customWidth="1"/>
    <col min="11" max="11" width="13.42578125" style="1" customWidth="1"/>
    <col min="12" max="12" width="19.7109375" style="1" customWidth="1"/>
    <col min="13" max="13" width="15.5703125" style="1" bestFit="1" customWidth="1"/>
    <col min="14" max="14" width="13" style="1" bestFit="1" customWidth="1"/>
    <col min="15" max="15" width="17.42578125" style="1" bestFit="1" customWidth="1"/>
    <col min="16" max="18" width="10.140625" style="1" bestFit="1" customWidth="1"/>
    <col min="19" max="16384" width="9.140625" style="1"/>
  </cols>
  <sheetData>
    <row r="1" spans="2:10" ht="20.25" x14ac:dyDescent="0.3">
      <c r="B1" s="13" t="s">
        <v>18</v>
      </c>
      <c r="D1" s="14"/>
      <c r="E1" s="14"/>
    </row>
    <row r="2" spans="2:10" x14ac:dyDescent="0.25">
      <c r="B2" s="15" t="s">
        <v>9</v>
      </c>
      <c r="C2" s="16" t="s">
        <v>8</v>
      </c>
      <c r="D2" s="1"/>
      <c r="E2" s="1"/>
    </row>
    <row r="3" spans="2:10" x14ac:dyDescent="0.25">
      <c r="B3" s="15" t="s">
        <v>10</v>
      </c>
      <c r="C3" s="16" t="s">
        <v>8</v>
      </c>
      <c r="D3" s="1"/>
      <c r="E3" s="1"/>
    </row>
    <row r="4" spans="2:10" x14ac:dyDescent="0.25">
      <c r="C4" s="10"/>
      <c r="D4" s="1"/>
      <c r="E4" s="1"/>
    </row>
    <row r="5" spans="2:10" x14ac:dyDescent="0.25">
      <c r="B5" s="17" t="s">
        <v>11</v>
      </c>
      <c r="D5" s="1"/>
      <c r="E5" s="1"/>
    </row>
    <row r="6" spans="2:10" x14ac:dyDescent="0.25">
      <c r="B6" s="2" t="s">
        <v>19</v>
      </c>
      <c r="D6" s="1"/>
      <c r="E6" s="1"/>
    </row>
    <row r="8" spans="2:10" x14ac:dyDescent="0.25">
      <c r="B8" s="17" t="s">
        <v>12</v>
      </c>
      <c r="C8" s="17" t="s">
        <v>1</v>
      </c>
      <c r="D8" s="17" t="s">
        <v>13</v>
      </c>
      <c r="E8" s="18" t="s">
        <v>0</v>
      </c>
      <c r="F8" s="17" t="s">
        <v>2</v>
      </c>
    </row>
    <row r="9" spans="2:10" hidden="1" x14ac:dyDescent="0.25">
      <c r="B9" s="19"/>
      <c r="C9" s="20">
        <v>43333</v>
      </c>
      <c r="D9" s="12" t="s">
        <v>114</v>
      </c>
      <c r="E9" s="11"/>
      <c r="F9" s="19" t="s">
        <v>8</v>
      </c>
      <c r="J9"/>
    </row>
    <row r="10" spans="2:10" hidden="1" x14ac:dyDescent="0.25">
      <c r="B10" s="19"/>
      <c r="C10" s="20">
        <v>43368</v>
      </c>
      <c r="D10" s="12" t="s">
        <v>114</v>
      </c>
      <c r="E10" s="11" t="s">
        <v>194</v>
      </c>
      <c r="F10" s="19" t="s">
        <v>8</v>
      </c>
      <c r="J10"/>
    </row>
    <row r="11" spans="2:10" hidden="1" x14ac:dyDescent="0.25">
      <c r="B11" s="19"/>
      <c r="C11" s="20">
        <v>43447</v>
      </c>
      <c r="D11" s="12" t="s">
        <v>114</v>
      </c>
      <c r="E11" s="11" t="s">
        <v>234</v>
      </c>
      <c r="F11" s="19" t="s">
        <v>8</v>
      </c>
      <c r="J11"/>
    </row>
    <row r="12" spans="2:10" ht="45" hidden="1" x14ac:dyDescent="0.25">
      <c r="B12" s="29"/>
      <c r="C12" s="20">
        <v>43448</v>
      </c>
      <c r="D12" s="12" t="s">
        <v>288</v>
      </c>
      <c r="E12" s="11" t="s">
        <v>235</v>
      </c>
      <c r="F12" s="19" t="s">
        <v>8</v>
      </c>
    </row>
    <row r="13" spans="2:10" ht="30" hidden="1" x14ac:dyDescent="0.25">
      <c r="B13" s="29"/>
      <c r="C13" s="20">
        <v>43539</v>
      </c>
      <c r="D13" s="12" t="s">
        <v>289</v>
      </c>
      <c r="E13" s="11" t="s">
        <v>287</v>
      </c>
      <c r="F13" s="19" t="s">
        <v>8</v>
      </c>
    </row>
    <row r="14" spans="2:10" ht="30" hidden="1" x14ac:dyDescent="0.25">
      <c r="B14" s="29"/>
      <c r="C14" s="20">
        <v>43705</v>
      </c>
      <c r="D14" s="12" t="s">
        <v>348</v>
      </c>
      <c r="E14" s="11" t="s">
        <v>347</v>
      </c>
      <c r="F14" s="19" t="s">
        <v>8</v>
      </c>
    </row>
    <row r="15" spans="2:10" ht="45" hidden="1" x14ac:dyDescent="0.25">
      <c r="B15" s="29"/>
      <c r="C15" s="20">
        <v>43896</v>
      </c>
      <c r="D15" s="19" t="s">
        <v>355</v>
      </c>
      <c r="E15" s="35" t="s">
        <v>359</v>
      </c>
      <c r="F15" s="19" t="s">
        <v>8</v>
      </c>
    </row>
    <row r="16" spans="2:10" ht="60" x14ac:dyDescent="0.25">
      <c r="B16" s="19">
        <v>1</v>
      </c>
      <c r="C16" s="20">
        <v>44544</v>
      </c>
      <c r="D16" s="19" t="s">
        <v>361</v>
      </c>
      <c r="E16" s="11" t="s">
        <v>489</v>
      </c>
      <c r="F16" s="19" t="s">
        <v>8</v>
      </c>
    </row>
    <row r="17" spans="2:6" x14ac:dyDescent="0.25">
      <c r="B17" s="19">
        <v>2</v>
      </c>
      <c r="C17" s="20">
        <v>44573</v>
      </c>
      <c r="D17" s="19" t="s">
        <v>361</v>
      </c>
      <c r="E17" s="11" t="s">
        <v>542</v>
      </c>
      <c r="F17" s="19" t="s">
        <v>8</v>
      </c>
    </row>
    <row r="18" spans="2:6" ht="45" x14ac:dyDescent="0.25">
      <c r="B18" s="19">
        <v>3</v>
      </c>
      <c r="C18" s="20">
        <v>44578</v>
      </c>
      <c r="D18" s="19" t="s">
        <v>361</v>
      </c>
      <c r="E18" s="11" t="s">
        <v>544</v>
      </c>
      <c r="F18" s="19" t="s">
        <v>8</v>
      </c>
    </row>
    <row r="19" spans="2:6" ht="75" x14ac:dyDescent="0.25">
      <c r="B19" s="19">
        <v>3</v>
      </c>
      <c r="C19" s="20">
        <v>44578</v>
      </c>
      <c r="D19" s="19" t="s">
        <v>361</v>
      </c>
      <c r="E19" s="52" t="s">
        <v>551</v>
      </c>
      <c r="F19" s="19" t="s">
        <v>8</v>
      </c>
    </row>
    <row r="20" spans="2:6" x14ac:dyDescent="0.25">
      <c r="B20" s="47"/>
      <c r="C20" s="48"/>
      <c r="D20" s="32"/>
      <c r="E20" s="49"/>
      <c r="F20" s="32"/>
    </row>
    <row r="21" spans="2:6" x14ac:dyDescent="0.25">
      <c r="B21" s="8" t="s">
        <v>3</v>
      </c>
      <c r="C21" s="9"/>
    </row>
    <row r="22" spans="2:6" x14ac:dyDescent="0.25">
      <c r="B22" s="4" t="s">
        <v>4</v>
      </c>
      <c r="C22" s="5" t="s">
        <v>5</v>
      </c>
    </row>
    <row r="23" spans="2:6" x14ac:dyDescent="0.25">
      <c r="B23" s="6" t="s">
        <v>6</v>
      </c>
      <c r="C23" s="7" t="s">
        <v>7</v>
      </c>
    </row>
    <row r="24" spans="2:6" x14ac:dyDescent="0.25">
      <c r="D24" s="1"/>
      <c r="E24" s="1"/>
    </row>
    <row r="25" spans="2:6" x14ac:dyDescent="0.25">
      <c r="D25" s="1"/>
      <c r="E25" s="1"/>
    </row>
  </sheetData>
  <phoneticPr fontId="5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filterMode="1">
    <tabColor theme="4"/>
  </sheetPr>
  <dimension ref="A2:Q95"/>
  <sheetViews>
    <sheetView tabSelected="1" zoomScaleNormal="100" workbookViewId="0">
      <pane ySplit="3" topLeftCell="A78" activePane="bottomLeft" state="frozen"/>
      <selection pane="bottomLeft" activeCell="G86" sqref="G86"/>
    </sheetView>
  </sheetViews>
  <sheetFormatPr baseColWidth="10" defaultRowHeight="15" outlineLevelCol="1" x14ac:dyDescent="0.25"/>
  <cols>
    <col min="2" max="2" width="6.28515625" style="25" bestFit="1" customWidth="1"/>
    <col min="3" max="3" width="37" style="25" bestFit="1" customWidth="1" outlineLevel="1"/>
    <col min="4" max="4" width="26.7109375" style="25" customWidth="1"/>
    <col min="5" max="5" width="10.140625" style="25" customWidth="1" outlineLevel="1"/>
    <col min="6" max="6" width="32.5703125" style="25" customWidth="1" outlineLevel="1"/>
    <col min="7" max="7" width="34.7109375" style="27" customWidth="1"/>
    <col min="8" max="8" width="40.7109375" style="42" customWidth="1"/>
    <col min="9" max="9" width="11.42578125" customWidth="1"/>
    <col min="10" max="10" width="11.42578125" style="24" customWidth="1"/>
    <col min="11" max="11" width="15" style="32" customWidth="1"/>
    <col min="12" max="12" width="41.28515625" style="24" customWidth="1" outlineLevel="1"/>
    <col min="13" max="13" width="25.28515625" bestFit="1" customWidth="1"/>
    <col min="15" max="15" width="33.42578125" bestFit="1" customWidth="1"/>
    <col min="16" max="16" width="37" bestFit="1" customWidth="1"/>
  </cols>
  <sheetData>
    <row r="2" spans="1:17" x14ac:dyDescent="0.25">
      <c r="G2" s="26" t="s">
        <v>213</v>
      </c>
    </row>
    <row r="3" spans="1:17" ht="37.5" x14ac:dyDescent="0.5">
      <c r="A3" s="3" t="s">
        <v>73</v>
      </c>
      <c r="B3" s="21" t="s">
        <v>14</v>
      </c>
      <c r="C3" s="22" t="s">
        <v>552</v>
      </c>
      <c r="D3" s="22" t="s">
        <v>15</v>
      </c>
      <c r="E3" s="22" t="s">
        <v>112</v>
      </c>
      <c r="F3" s="22" t="s">
        <v>72</v>
      </c>
      <c r="G3" s="22" t="s">
        <v>16</v>
      </c>
      <c r="H3" s="43" t="s">
        <v>0</v>
      </c>
      <c r="I3" s="37" t="s">
        <v>481</v>
      </c>
      <c r="J3" s="37" t="s">
        <v>484</v>
      </c>
      <c r="K3" s="41" t="s">
        <v>483</v>
      </c>
      <c r="L3" s="24" t="s">
        <v>482</v>
      </c>
      <c r="M3" s="30" t="s">
        <v>236</v>
      </c>
    </row>
    <row r="4" spans="1:17" ht="30" x14ac:dyDescent="0.25">
      <c r="B4" s="19">
        <v>180</v>
      </c>
      <c r="C4" s="19" t="s">
        <v>507</v>
      </c>
      <c r="D4" s="19" t="s">
        <v>491</v>
      </c>
      <c r="E4" s="19" t="s">
        <v>115</v>
      </c>
      <c r="F4" s="19" t="s">
        <v>36</v>
      </c>
      <c r="G4" s="19" t="s">
        <v>553</v>
      </c>
      <c r="H4" s="44" t="s">
        <v>499</v>
      </c>
      <c r="I4" s="19" t="s">
        <v>4</v>
      </c>
      <c r="J4" s="45"/>
      <c r="K4" s="19">
        <v>180</v>
      </c>
      <c r="L4" s="24" t="s">
        <v>74</v>
      </c>
      <c r="M4" s="25"/>
      <c r="N4">
        <f>LEN(C4)</f>
        <v>21</v>
      </c>
    </row>
    <row r="5" spans="1:17" ht="30" x14ac:dyDescent="0.25">
      <c r="B5" s="19">
        <v>181</v>
      </c>
      <c r="C5" s="19" t="s">
        <v>508</v>
      </c>
      <c r="D5" s="19" t="s">
        <v>492</v>
      </c>
      <c r="E5" s="19" t="s">
        <v>116</v>
      </c>
      <c r="F5" s="19" t="s">
        <v>37</v>
      </c>
      <c r="G5" s="19" t="s">
        <v>554</v>
      </c>
      <c r="H5" s="44" t="s">
        <v>499</v>
      </c>
      <c r="I5" s="19" t="s">
        <v>4</v>
      </c>
      <c r="J5" s="45"/>
      <c r="K5" s="19">
        <v>181</v>
      </c>
      <c r="L5" s="24" t="s">
        <v>75</v>
      </c>
      <c r="M5" s="25"/>
      <c r="N5">
        <f>LEN(C5)</f>
        <v>21</v>
      </c>
    </row>
    <row r="6" spans="1:17" ht="75" x14ac:dyDescent="0.25">
      <c r="B6" s="19">
        <v>183</v>
      </c>
      <c r="C6" s="50" t="s">
        <v>509</v>
      </c>
      <c r="D6" s="50" t="s">
        <v>493</v>
      </c>
      <c r="E6" s="19" t="s">
        <v>117</v>
      </c>
      <c r="F6" s="19" t="s">
        <v>545</v>
      </c>
      <c r="G6" s="19" t="s">
        <v>555</v>
      </c>
      <c r="H6" s="44" t="s">
        <v>499</v>
      </c>
      <c r="I6" s="19" t="s">
        <v>4</v>
      </c>
      <c r="J6" s="45"/>
      <c r="K6" s="19">
        <v>183</v>
      </c>
      <c r="L6" s="24" t="s">
        <v>76</v>
      </c>
      <c r="M6" s="25"/>
      <c r="N6" t="e">
        <f>LEN(#REF!)</f>
        <v>#REF!</v>
      </c>
    </row>
    <row r="7" spans="1:17" ht="45" x14ac:dyDescent="0.25">
      <c r="B7" s="19">
        <v>184</v>
      </c>
      <c r="C7" s="50" t="s">
        <v>510</v>
      </c>
      <c r="D7" s="50" t="s">
        <v>494</v>
      </c>
      <c r="E7" s="19" t="s">
        <v>118</v>
      </c>
      <c r="F7" s="19" t="s">
        <v>546</v>
      </c>
      <c r="G7" s="19" t="s">
        <v>556</v>
      </c>
      <c r="H7" s="44" t="s">
        <v>499</v>
      </c>
      <c r="I7" s="19" t="s">
        <v>4</v>
      </c>
      <c r="J7" s="45"/>
      <c r="K7" s="19">
        <v>184</v>
      </c>
      <c r="L7" s="24" t="s">
        <v>77</v>
      </c>
      <c r="M7" s="25"/>
      <c r="N7">
        <f>LEN(C6)</f>
        <v>21</v>
      </c>
    </row>
    <row r="8" spans="1:17" ht="60" x14ac:dyDescent="0.25">
      <c r="B8" s="19">
        <v>186</v>
      </c>
      <c r="C8" s="50" t="s">
        <v>511</v>
      </c>
      <c r="D8" s="50" t="s">
        <v>495</v>
      </c>
      <c r="E8" s="19" t="s">
        <v>119</v>
      </c>
      <c r="F8" s="19" t="s">
        <v>547</v>
      </c>
      <c r="G8" s="19" t="s">
        <v>557</v>
      </c>
      <c r="H8" s="44" t="s">
        <v>499</v>
      </c>
      <c r="I8" s="19" t="s">
        <v>4</v>
      </c>
      <c r="J8" s="45"/>
      <c r="K8" s="19">
        <v>186</v>
      </c>
      <c r="L8" s="24" t="s">
        <v>78</v>
      </c>
      <c r="M8" s="25"/>
      <c r="N8">
        <f>LEN(C7)</f>
        <v>29</v>
      </c>
    </row>
    <row r="9" spans="1:17" ht="45" x14ac:dyDescent="0.25">
      <c r="B9" s="19">
        <v>187</v>
      </c>
      <c r="C9" s="50" t="s">
        <v>512</v>
      </c>
      <c r="D9" s="50" t="s">
        <v>496</v>
      </c>
      <c r="E9" s="19" t="s">
        <v>120</v>
      </c>
      <c r="F9" s="19" t="s">
        <v>548</v>
      </c>
      <c r="G9" s="19" t="s">
        <v>558</v>
      </c>
      <c r="H9" s="44" t="s">
        <v>499</v>
      </c>
      <c r="I9" s="19" t="s">
        <v>4</v>
      </c>
      <c r="J9" s="45"/>
      <c r="K9" s="19">
        <v>187</v>
      </c>
      <c r="L9" s="24" t="s">
        <v>79</v>
      </c>
      <c r="M9" s="25"/>
      <c r="N9">
        <f>LEN(C8)</f>
        <v>19</v>
      </c>
    </row>
    <row r="10" spans="1:17" ht="60" x14ac:dyDescent="0.25">
      <c r="B10" s="19">
        <v>188</v>
      </c>
      <c r="C10" s="50" t="s">
        <v>513</v>
      </c>
      <c r="D10" s="50" t="s">
        <v>497</v>
      </c>
      <c r="E10" s="19" t="s">
        <v>121</v>
      </c>
      <c r="F10" s="19" t="s">
        <v>549</v>
      </c>
      <c r="G10" s="19" t="s">
        <v>559</v>
      </c>
      <c r="H10" s="44" t="s">
        <v>499</v>
      </c>
      <c r="I10" s="19" t="s">
        <v>4</v>
      </c>
      <c r="J10" s="45"/>
      <c r="K10" s="19">
        <v>188</v>
      </c>
      <c r="L10" s="24" t="s">
        <v>80</v>
      </c>
      <c r="M10" s="25"/>
      <c r="N10">
        <f>LEN(C9)</f>
        <v>25</v>
      </c>
    </row>
    <row r="11" spans="1:17" ht="45" x14ac:dyDescent="0.25">
      <c r="B11" s="19">
        <v>189</v>
      </c>
      <c r="C11" s="50" t="s">
        <v>514</v>
      </c>
      <c r="D11" s="50" t="s">
        <v>506</v>
      </c>
      <c r="E11" s="19" t="s">
        <v>122</v>
      </c>
      <c r="F11" s="19" t="s">
        <v>550</v>
      </c>
      <c r="G11" s="19" t="s">
        <v>560</v>
      </c>
      <c r="H11" s="44" t="s">
        <v>499</v>
      </c>
      <c r="I11" s="19" t="s">
        <v>4</v>
      </c>
      <c r="J11" s="45"/>
      <c r="K11" s="19">
        <v>189</v>
      </c>
      <c r="L11" s="24" t="s">
        <v>81</v>
      </c>
      <c r="M11" s="25"/>
      <c r="N11">
        <f>LEN(C10)</f>
        <v>19</v>
      </c>
    </row>
    <row r="12" spans="1:17" x14ac:dyDescent="0.25">
      <c r="B12" s="19">
        <v>454</v>
      </c>
      <c r="C12" s="19" t="s">
        <v>521</v>
      </c>
      <c r="D12" s="19" t="s">
        <v>399</v>
      </c>
      <c r="E12" s="19"/>
      <c r="F12" s="19" t="s">
        <v>113</v>
      </c>
      <c r="G12" s="19" t="s">
        <v>17</v>
      </c>
      <c r="H12" s="44"/>
      <c r="I12" s="19" t="s">
        <v>4</v>
      </c>
      <c r="J12" s="45"/>
      <c r="K12" s="19">
        <v>454</v>
      </c>
      <c r="M12" s="25" t="s">
        <v>238</v>
      </c>
      <c r="N12">
        <f>LEN(C12)</f>
        <v>30</v>
      </c>
    </row>
    <row r="13" spans="1:17" hidden="1" x14ac:dyDescent="0.25">
      <c r="B13" s="19">
        <v>514</v>
      </c>
      <c r="C13" s="54" t="s">
        <v>360</v>
      </c>
      <c r="D13" s="54" t="s">
        <v>360</v>
      </c>
      <c r="E13" s="19" t="s">
        <v>123</v>
      </c>
      <c r="F13" s="19" t="s">
        <v>38</v>
      </c>
      <c r="G13" s="38" t="s">
        <v>360</v>
      </c>
      <c r="H13" s="51" t="s">
        <v>503</v>
      </c>
      <c r="I13" s="53" t="s">
        <v>360</v>
      </c>
      <c r="J13" s="45"/>
      <c r="K13" s="38">
        <v>514</v>
      </c>
      <c r="L13" s="24" t="s">
        <v>82</v>
      </c>
      <c r="M13" s="25"/>
      <c r="N13">
        <f>LEN(C11)</f>
        <v>25</v>
      </c>
    </row>
    <row r="14" spans="1:17" s="23" customFormat="1" ht="16.5" hidden="1" x14ac:dyDescent="0.25">
      <c r="B14" s="19">
        <v>549</v>
      </c>
      <c r="C14" s="54" t="s">
        <v>360</v>
      </c>
      <c r="D14" s="54" t="s">
        <v>360</v>
      </c>
      <c r="E14" s="19" t="s">
        <v>323</v>
      </c>
      <c r="F14" s="19" t="s">
        <v>324</v>
      </c>
      <c r="G14" s="38" t="s">
        <v>360</v>
      </c>
      <c r="H14" s="51" t="s">
        <v>503</v>
      </c>
      <c r="I14" s="53" t="s">
        <v>360</v>
      </c>
      <c r="J14" s="46"/>
      <c r="K14" s="38">
        <v>549</v>
      </c>
      <c r="L14" s="31"/>
      <c r="N14">
        <f t="shared" ref="N14:N45" si="0">LEN(C14)</f>
        <v>3</v>
      </c>
      <c r="O14"/>
      <c r="P14"/>
      <c r="Q14"/>
    </row>
    <row r="15" spans="1:17" ht="45" x14ac:dyDescent="0.25">
      <c r="B15" s="19">
        <v>596</v>
      </c>
      <c r="C15" s="19" t="s">
        <v>543</v>
      </c>
      <c r="D15" s="19" t="s">
        <v>398</v>
      </c>
      <c r="E15" s="19" t="s">
        <v>124</v>
      </c>
      <c r="F15" s="19" t="s">
        <v>20</v>
      </c>
      <c r="G15" s="38" t="s">
        <v>20</v>
      </c>
      <c r="H15" s="44"/>
      <c r="I15" s="19" t="s">
        <v>4</v>
      </c>
      <c r="J15" s="45"/>
      <c r="K15" s="19">
        <v>596</v>
      </c>
      <c r="L15" s="24" t="s">
        <v>83</v>
      </c>
      <c r="M15" s="25" t="s">
        <v>237</v>
      </c>
      <c r="N15">
        <f t="shared" si="0"/>
        <v>22</v>
      </c>
    </row>
    <row r="16" spans="1:17" hidden="1" x14ac:dyDescent="0.25">
      <c r="B16" s="19">
        <v>641</v>
      </c>
      <c r="C16" s="54" t="s">
        <v>360</v>
      </c>
      <c r="D16" s="54" t="s">
        <v>360</v>
      </c>
      <c r="E16" s="19" t="s">
        <v>321</v>
      </c>
      <c r="F16" s="19" t="s">
        <v>322</v>
      </c>
      <c r="G16" s="38" t="s">
        <v>360</v>
      </c>
      <c r="H16" s="51" t="s">
        <v>503</v>
      </c>
      <c r="I16" s="53" t="s">
        <v>360</v>
      </c>
      <c r="J16" s="45"/>
      <c r="K16" s="19">
        <v>641</v>
      </c>
      <c r="M16" s="28" t="s">
        <v>336</v>
      </c>
      <c r="N16">
        <f t="shared" si="0"/>
        <v>3</v>
      </c>
    </row>
    <row r="17" spans="2:14" ht="105" x14ac:dyDescent="0.25">
      <c r="B17" s="19">
        <v>748</v>
      </c>
      <c r="C17" s="19" t="s">
        <v>362</v>
      </c>
      <c r="D17" s="19" t="s">
        <v>400</v>
      </c>
      <c r="E17" s="19" t="s">
        <v>125</v>
      </c>
      <c r="F17" s="19" t="s">
        <v>39</v>
      </c>
      <c r="G17" s="19" t="s">
        <v>21</v>
      </c>
      <c r="H17" s="44"/>
      <c r="I17" s="19" t="s">
        <v>4</v>
      </c>
      <c r="J17" s="45"/>
      <c r="K17" s="19">
        <v>748</v>
      </c>
      <c r="L17" s="24" t="s">
        <v>84</v>
      </c>
      <c r="M17" s="25" t="s">
        <v>239</v>
      </c>
      <c r="N17">
        <f t="shared" si="0"/>
        <v>27</v>
      </c>
    </row>
    <row r="18" spans="2:14" ht="30" x14ac:dyDescent="0.25">
      <c r="B18" s="19">
        <v>920</v>
      </c>
      <c r="C18" s="19" t="s">
        <v>363</v>
      </c>
      <c r="D18" s="19" t="s">
        <v>401</v>
      </c>
      <c r="E18" s="19" t="s">
        <v>126</v>
      </c>
      <c r="F18" s="19" t="s">
        <v>40</v>
      </c>
      <c r="G18" s="19" t="s">
        <v>22</v>
      </c>
      <c r="H18" s="44"/>
      <c r="I18" s="19" t="s">
        <v>4</v>
      </c>
      <c r="J18" s="45"/>
      <c r="K18" s="19">
        <v>920</v>
      </c>
      <c r="L18" s="24" t="s">
        <v>230</v>
      </c>
      <c r="M18" s="25" t="s">
        <v>240</v>
      </c>
      <c r="N18">
        <f t="shared" si="0"/>
        <v>27</v>
      </c>
    </row>
    <row r="19" spans="2:14" ht="30" x14ac:dyDescent="0.25">
      <c r="B19" s="19">
        <v>921</v>
      </c>
      <c r="C19" s="19" t="s">
        <v>364</v>
      </c>
      <c r="D19" s="19" t="s">
        <v>402</v>
      </c>
      <c r="E19" s="19" t="s">
        <v>127</v>
      </c>
      <c r="F19" s="19" t="s">
        <v>41</v>
      </c>
      <c r="G19" s="19" t="s">
        <v>23</v>
      </c>
      <c r="H19" s="44"/>
      <c r="I19" s="19" t="s">
        <v>4</v>
      </c>
      <c r="J19" s="45"/>
      <c r="K19" s="19">
        <v>921</v>
      </c>
      <c r="L19" s="24" t="s">
        <v>231</v>
      </c>
      <c r="M19" s="25" t="s">
        <v>241</v>
      </c>
      <c r="N19">
        <f t="shared" si="0"/>
        <v>29</v>
      </c>
    </row>
    <row r="20" spans="2:14" ht="30" x14ac:dyDescent="0.25">
      <c r="B20" s="19">
        <v>922</v>
      </c>
      <c r="C20" s="19" t="s">
        <v>365</v>
      </c>
      <c r="D20" s="19" t="s">
        <v>403</v>
      </c>
      <c r="E20" s="19" t="s">
        <v>128</v>
      </c>
      <c r="F20" s="19" t="s">
        <v>42</v>
      </c>
      <c r="G20" s="19" t="s">
        <v>24</v>
      </c>
      <c r="H20" s="44"/>
      <c r="I20" s="19" t="s">
        <v>4</v>
      </c>
      <c r="J20" s="45"/>
      <c r="K20" s="19">
        <v>922</v>
      </c>
      <c r="L20" s="24" t="s">
        <v>232</v>
      </c>
      <c r="M20" s="25" t="s">
        <v>242</v>
      </c>
      <c r="N20">
        <f t="shared" si="0"/>
        <v>28</v>
      </c>
    </row>
    <row r="21" spans="2:14" x14ac:dyDescent="0.25">
      <c r="B21" s="19">
        <v>923</v>
      </c>
      <c r="C21" s="19" t="s">
        <v>366</v>
      </c>
      <c r="D21" s="19" t="s">
        <v>404</v>
      </c>
      <c r="E21" s="19" t="s">
        <v>129</v>
      </c>
      <c r="F21" s="19" t="s">
        <v>43</v>
      </c>
      <c r="G21" s="19" t="s">
        <v>25</v>
      </c>
      <c r="H21" s="44"/>
      <c r="I21" s="19" t="s">
        <v>4</v>
      </c>
      <c r="J21" s="45"/>
      <c r="K21" s="19">
        <v>923</v>
      </c>
      <c r="L21" s="24" t="s">
        <v>85</v>
      </c>
      <c r="M21" s="25" t="s">
        <v>243</v>
      </c>
      <c r="N21">
        <f t="shared" si="0"/>
        <v>30</v>
      </c>
    </row>
    <row r="22" spans="2:14" hidden="1" x14ac:dyDescent="0.25">
      <c r="B22" s="19">
        <v>974</v>
      </c>
      <c r="C22" s="54" t="s">
        <v>360</v>
      </c>
      <c r="D22" s="54" t="s">
        <v>360</v>
      </c>
      <c r="E22" s="19" t="s">
        <v>325</v>
      </c>
      <c r="F22" s="19" t="s">
        <v>326</v>
      </c>
      <c r="G22" s="38" t="s">
        <v>360</v>
      </c>
      <c r="H22" s="51" t="s">
        <v>503</v>
      </c>
      <c r="I22" s="39" t="s">
        <v>360</v>
      </c>
      <c r="J22" s="45"/>
      <c r="K22" s="19">
        <v>974</v>
      </c>
      <c r="M22" s="25"/>
      <c r="N22">
        <f t="shared" si="0"/>
        <v>3</v>
      </c>
    </row>
    <row r="23" spans="2:14" hidden="1" x14ac:dyDescent="0.25">
      <c r="B23" s="19">
        <v>975</v>
      </c>
      <c r="C23" s="54" t="s">
        <v>360</v>
      </c>
      <c r="D23" s="54" t="s">
        <v>360</v>
      </c>
      <c r="E23" s="19" t="s">
        <v>327</v>
      </c>
      <c r="F23" s="19" t="s">
        <v>328</v>
      </c>
      <c r="G23" s="38" t="s">
        <v>360</v>
      </c>
      <c r="H23" s="51" t="s">
        <v>503</v>
      </c>
      <c r="I23" s="39" t="s">
        <v>360</v>
      </c>
      <c r="J23" s="45"/>
      <c r="K23" s="19">
        <v>975</v>
      </c>
      <c r="M23" s="25"/>
      <c r="N23">
        <f t="shared" si="0"/>
        <v>3</v>
      </c>
    </row>
    <row r="24" spans="2:14" hidden="1" x14ac:dyDescent="0.25">
      <c r="B24" s="19">
        <v>976</v>
      </c>
      <c r="C24" s="54" t="s">
        <v>360</v>
      </c>
      <c r="D24" s="54" t="s">
        <v>360</v>
      </c>
      <c r="E24" s="19" t="s">
        <v>329</v>
      </c>
      <c r="F24" s="19" t="s">
        <v>330</v>
      </c>
      <c r="G24" s="38" t="s">
        <v>360</v>
      </c>
      <c r="H24" s="51" t="s">
        <v>503</v>
      </c>
      <c r="I24" s="39" t="s">
        <v>360</v>
      </c>
      <c r="J24" s="45"/>
      <c r="K24" s="19">
        <v>976</v>
      </c>
      <c r="M24" s="25"/>
      <c r="N24">
        <f t="shared" si="0"/>
        <v>3</v>
      </c>
    </row>
    <row r="25" spans="2:14" hidden="1" x14ac:dyDescent="0.25">
      <c r="B25" s="19">
        <v>977</v>
      </c>
      <c r="C25" s="54" t="s">
        <v>360</v>
      </c>
      <c r="D25" s="54" t="s">
        <v>360</v>
      </c>
      <c r="E25" s="19" t="s">
        <v>331</v>
      </c>
      <c r="F25" s="19" t="s">
        <v>332</v>
      </c>
      <c r="G25" s="38" t="s">
        <v>360</v>
      </c>
      <c r="H25" s="51" t="s">
        <v>503</v>
      </c>
      <c r="I25" s="39" t="s">
        <v>360</v>
      </c>
      <c r="J25" s="45"/>
      <c r="K25" s="19">
        <v>977</v>
      </c>
      <c r="M25" s="25"/>
      <c r="N25">
        <f t="shared" si="0"/>
        <v>3</v>
      </c>
    </row>
    <row r="26" spans="2:14" ht="45" x14ac:dyDescent="0.25">
      <c r="B26" s="19">
        <v>1075</v>
      </c>
      <c r="C26" s="19" t="s">
        <v>537</v>
      </c>
      <c r="D26" s="19" t="s">
        <v>405</v>
      </c>
      <c r="E26" s="19" t="s">
        <v>192</v>
      </c>
      <c r="F26" s="19" t="s">
        <v>191</v>
      </c>
      <c r="G26" s="19" t="s">
        <v>561</v>
      </c>
      <c r="H26" s="44"/>
      <c r="I26" s="19" t="s">
        <v>4</v>
      </c>
      <c r="J26" s="45"/>
      <c r="K26" s="19">
        <v>1075</v>
      </c>
      <c r="L26" s="24" t="s">
        <v>193</v>
      </c>
      <c r="M26" s="25" t="s">
        <v>244</v>
      </c>
      <c r="N26">
        <f t="shared" si="0"/>
        <v>29</v>
      </c>
    </row>
    <row r="27" spans="2:14" hidden="1" x14ac:dyDescent="0.25">
      <c r="B27" s="19">
        <v>1167</v>
      </c>
      <c r="C27" s="54" t="s">
        <v>360</v>
      </c>
      <c r="D27" s="38" t="s">
        <v>360</v>
      </c>
      <c r="E27" s="19" t="s">
        <v>315</v>
      </c>
      <c r="F27" s="19" t="s">
        <v>316</v>
      </c>
      <c r="G27" s="19" t="s">
        <v>360</v>
      </c>
      <c r="H27" s="44" t="s">
        <v>503</v>
      </c>
      <c r="I27" s="38" t="s">
        <v>360</v>
      </c>
      <c r="J27" s="45"/>
      <c r="K27" s="19">
        <v>1167</v>
      </c>
      <c r="N27">
        <f t="shared" si="0"/>
        <v>3</v>
      </c>
    </row>
    <row r="28" spans="2:14" hidden="1" x14ac:dyDescent="0.25">
      <c r="B28" s="19">
        <v>1169</v>
      </c>
      <c r="C28" s="54" t="s">
        <v>360</v>
      </c>
      <c r="D28" s="38" t="s">
        <v>360</v>
      </c>
      <c r="E28" s="19" t="s">
        <v>317</v>
      </c>
      <c r="F28" s="19" t="s">
        <v>318</v>
      </c>
      <c r="G28" s="19" t="s">
        <v>360</v>
      </c>
      <c r="H28" s="44" t="s">
        <v>503</v>
      </c>
      <c r="I28" s="38" t="s">
        <v>360</v>
      </c>
      <c r="J28" s="45"/>
      <c r="K28" s="19">
        <v>1169</v>
      </c>
      <c r="N28">
        <f t="shared" si="0"/>
        <v>3</v>
      </c>
    </row>
    <row r="29" spans="2:14" hidden="1" x14ac:dyDescent="0.25">
      <c r="B29" s="19">
        <v>1172</v>
      </c>
      <c r="C29" s="54" t="s">
        <v>360</v>
      </c>
      <c r="D29" s="38" t="s">
        <v>360</v>
      </c>
      <c r="E29" s="19" t="s">
        <v>319</v>
      </c>
      <c r="F29" s="19" t="s">
        <v>320</v>
      </c>
      <c r="G29" s="19" t="s">
        <v>360</v>
      </c>
      <c r="H29" s="44" t="s">
        <v>503</v>
      </c>
      <c r="I29" s="38" t="s">
        <v>360</v>
      </c>
      <c r="J29" s="45"/>
      <c r="K29" s="19">
        <v>1172</v>
      </c>
      <c r="N29">
        <f t="shared" si="0"/>
        <v>3</v>
      </c>
    </row>
    <row r="30" spans="2:14" ht="45" x14ac:dyDescent="0.25">
      <c r="B30" s="19">
        <v>1340</v>
      </c>
      <c r="C30" s="19" t="s">
        <v>522</v>
      </c>
      <c r="D30" s="19" t="s">
        <v>406</v>
      </c>
      <c r="E30" s="19" t="s">
        <v>130</v>
      </c>
      <c r="F30" s="19" t="s">
        <v>44</v>
      </c>
      <c r="G30" s="19" t="s">
        <v>562</v>
      </c>
      <c r="H30" s="44"/>
      <c r="I30" s="19" t="s">
        <v>4</v>
      </c>
      <c r="J30" s="45"/>
      <c r="K30" s="19">
        <f>VLOOKUP(B30,'[1]ECU ALP+'!$B:$B,1,FALSE)</f>
        <v>1340</v>
      </c>
      <c r="L30" s="24" t="s">
        <v>86</v>
      </c>
      <c r="M30" s="25" t="s">
        <v>245</v>
      </c>
      <c r="N30">
        <f t="shared" si="0"/>
        <v>26</v>
      </c>
    </row>
    <row r="31" spans="2:14" ht="45" x14ac:dyDescent="0.25">
      <c r="B31" s="19">
        <v>1342</v>
      </c>
      <c r="C31" s="19" t="s">
        <v>523</v>
      </c>
      <c r="D31" s="19" t="s">
        <v>407</v>
      </c>
      <c r="E31" s="19" t="s">
        <v>131</v>
      </c>
      <c r="F31" s="19" t="s">
        <v>45</v>
      </c>
      <c r="G31" s="19" t="s">
        <v>26</v>
      </c>
      <c r="H31" s="44"/>
      <c r="I31" s="19" t="s">
        <v>4</v>
      </c>
      <c r="J31" s="45"/>
      <c r="K31" s="19">
        <v>1342</v>
      </c>
      <c r="L31" s="24" t="s">
        <v>227</v>
      </c>
      <c r="M31" s="25" t="s">
        <v>246</v>
      </c>
      <c r="N31">
        <f t="shared" si="0"/>
        <v>27</v>
      </c>
    </row>
    <row r="32" spans="2:14" ht="45" x14ac:dyDescent="0.25">
      <c r="B32" s="19">
        <v>1351</v>
      </c>
      <c r="C32" s="19" t="s">
        <v>524</v>
      </c>
      <c r="D32" s="19" t="s">
        <v>408</v>
      </c>
      <c r="E32" s="19" t="s">
        <v>132</v>
      </c>
      <c r="F32" s="19" t="s">
        <v>46</v>
      </c>
      <c r="G32" s="19" t="s">
        <v>27</v>
      </c>
      <c r="H32" s="44"/>
      <c r="I32" s="19" t="s">
        <v>4</v>
      </c>
      <c r="J32" s="45"/>
      <c r="K32" s="19">
        <v>1351</v>
      </c>
      <c r="L32" s="24" t="s">
        <v>228</v>
      </c>
      <c r="M32" s="25" t="s">
        <v>247</v>
      </c>
      <c r="N32">
        <f t="shared" si="0"/>
        <v>25</v>
      </c>
    </row>
    <row r="33" spans="2:14" ht="75" x14ac:dyDescent="0.25">
      <c r="B33" s="19">
        <v>1462</v>
      </c>
      <c r="C33" s="19" t="s">
        <v>525</v>
      </c>
      <c r="D33" s="19" t="s">
        <v>409</v>
      </c>
      <c r="E33" s="19" t="s">
        <v>133</v>
      </c>
      <c r="F33" s="19" t="s">
        <v>47</v>
      </c>
      <c r="G33" s="19" t="s">
        <v>209</v>
      </c>
      <c r="H33" s="44"/>
      <c r="I33" s="19" t="s">
        <v>4</v>
      </c>
      <c r="J33" s="45"/>
      <c r="K33" s="19">
        <v>1462</v>
      </c>
      <c r="L33" s="24" t="s">
        <v>229</v>
      </c>
      <c r="M33" s="25" t="s">
        <v>248</v>
      </c>
      <c r="N33">
        <f t="shared" si="0"/>
        <v>28</v>
      </c>
    </row>
    <row r="34" spans="2:14" ht="90" x14ac:dyDescent="0.25">
      <c r="B34" s="19">
        <v>1477</v>
      </c>
      <c r="C34" s="19" t="s">
        <v>526</v>
      </c>
      <c r="D34" s="19" t="s">
        <v>410</v>
      </c>
      <c r="E34" s="19" t="s">
        <v>134</v>
      </c>
      <c r="F34" s="19" t="s">
        <v>48</v>
      </c>
      <c r="G34" s="19" t="s">
        <v>28</v>
      </c>
      <c r="H34" s="44"/>
      <c r="I34" s="19" t="s">
        <v>4</v>
      </c>
      <c r="J34" s="45"/>
      <c r="K34" s="19">
        <v>1477</v>
      </c>
      <c r="L34" s="24" t="s">
        <v>87</v>
      </c>
      <c r="M34" s="25" t="s">
        <v>249</v>
      </c>
      <c r="N34">
        <f t="shared" si="0"/>
        <v>24</v>
      </c>
    </row>
    <row r="35" spans="2:14" ht="60" x14ac:dyDescent="0.25">
      <c r="B35" s="19">
        <v>1478</v>
      </c>
      <c r="C35" s="19" t="s">
        <v>527</v>
      </c>
      <c r="D35" s="19" t="s">
        <v>411</v>
      </c>
      <c r="E35" s="19" t="s">
        <v>135</v>
      </c>
      <c r="F35" s="19" t="s">
        <v>49</v>
      </c>
      <c r="G35" s="19" t="s">
        <v>563</v>
      </c>
      <c r="H35" s="44"/>
      <c r="I35" s="19" t="s">
        <v>4</v>
      </c>
      <c r="J35" s="45"/>
      <c r="K35" s="19">
        <v>1478</v>
      </c>
      <c r="L35" s="24" t="s">
        <v>88</v>
      </c>
      <c r="M35" s="25" t="s">
        <v>250</v>
      </c>
      <c r="N35">
        <f t="shared" si="0"/>
        <v>30</v>
      </c>
    </row>
    <row r="36" spans="2:14" ht="90" x14ac:dyDescent="0.25">
      <c r="B36" s="19">
        <v>1483</v>
      </c>
      <c r="C36" s="19" t="s">
        <v>528</v>
      </c>
      <c r="D36" s="19" t="s">
        <v>412</v>
      </c>
      <c r="E36" s="19" t="s">
        <v>136</v>
      </c>
      <c r="F36" s="19" t="s">
        <v>50</v>
      </c>
      <c r="G36" s="19" t="s">
        <v>29</v>
      </c>
      <c r="H36" s="44"/>
      <c r="I36" s="19" t="s">
        <v>4</v>
      </c>
      <c r="J36" s="45"/>
      <c r="K36" s="19">
        <v>1483</v>
      </c>
      <c r="L36" s="24" t="s">
        <v>89</v>
      </c>
      <c r="M36" s="25" t="s">
        <v>251</v>
      </c>
      <c r="N36">
        <f t="shared" si="0"/>
        <v>25</v>
      </c>
    </row>
    <row r="37" spans="2:14" ht="60" x14ac:dyDescent="0.25">
      <c r="B37" s="19">
        <v>1484</v>
      </c>
      <c r="C37" s="19" t="s">
        <v>538</v>
      </c>
      <c r="D37" s="19" t="s">
        <v>413</v>
      </c>
      <c r="E37" s="19" t="s">
        <v>137</v>
      </c>
      <c r="F37" s="19" t="s">
        <v>51</v>
      </c>
      <c r="G37" s="19" t="s">
        <v>564</v>
      </c>
      <c r="H37" s="44"/>
      <c r="I37" s="19" t="s">
        <v>4</v>
      </c>
      <c r="J37" s="45"/>
      <c r="K37" s="19">
        <v>1484</v>
      </c>
      <c r="L37" s="24" t="s">
        <v>90</v>
      </c>
      <c r="M37" s="25" t="s">
        <v>252</v>
      </c>
      <c r="N37">
        <f t="shared" si="0"/>
        <v>27</v>
      </c>
    </row>
    <row r="38" spans="2:14" ht="90" x14ac:dyDescent="0.25">
      <c r="B38" s="19">
        <v>1489</v>
      </c>
      <c r="C38" s="19" t="s">
        <v>529</v>
      </c>
      <c r="D38" s="19" t="s">
        <v>414</v>
      </c>
      <c r="E38" s="19" t="s">
        <v>138</v>
      </c>
      <c r="F38" s="19" t="s">
        <v>52</v>
      </c>
      <c r="G38" s="19" t="s">
        <v>565</v>
      </c>
      <c r="H38" s="44"/>
      <c r="I38" s="19" t="s">
        <v>4</v>
      </c>
      <c r="J38" s="45"/>
      <c r="K38" s="19">
        <v>1489</v>
      </c>
      <c r="L38" s="24" t="s">
        <v>91</v>
      </c>
      <c r="M38" s="25" t="s">
        <v>253</v>
      </c>
      <c r="N38">
        <f t="shared" si="0"/>
        <v>26</v>
      </c>
    </row>
    <row r="39" spans="2:14" ht="75" x14ac:dyDescent="0.25">
      <c r="B39" s="19">
        <v>1542</v>
      </c>
      <c r="C39" s="19" t="s">
        <v>530</v>
      </c>
      <c r="D39" s="19" t="s">
        <v>415</v>
      </c>
      <c r="E39" s="19" t="s">
        <v>139</v>
      </c>
      <c r="F39" s="19" t="s">
        <v>53</v>
      </c>
      <c r="G39" s="19" t="s">
        <v>30</v>
      </c>
      <c r="H39" s="44"/>
      <c r="I39" s="19" t="s">
        <v>4</v>
      </c>
      <c r="J39" s="45"/>
      <c r="K39" s="19">
        <v>1542</v>
      </c>
      <c r="L39" s="24" t="s">
        <v>92</v>
      </c>
      <c r="M39" s="25" t="s">
        <v>254</v>
      </c>
      <c r="N39">
        <f t="shared" si="0"/>
        <v>26</v>
      </c>
    </row>
    <row r="40" spans="2:14" ht="75" x14ac:dyDescent="0.25">
      <c r="B40" s="19">
        <v>1543</v>
      </c>
      <c r="C40" s="19" t="s">
        <v>367</v>
      </c>
      <c r="D40" s="19" t="s">
        <v>416</v>
      </c>
      <c r="E40" s="19" t="s">
        <v>140</v>
      </c>
      <c r="F40" s="19" t="s">
        <v>54</v>
      </c>
      <c r="G40" s="19" t="s">
        <v>31</v>
      </c>
      <c r="H40" s="44"/>
      <c r="I40" s="19" t="s">
        <v>4</v>
      </c>
      <c r="J40" s="45"/>
      <c r="K40" s="19">
        <v>1543</v>
      </c>
      <c r="L40" s="24" t="s">
        <v>93</v>
      </c>
      <c r="M40" s="25" t="s">
        <v>255</v>
      </c>
      <c r="N40">
        <f t="shared" si="0"/>
        <v>28</v>
      </c>
    </row>
    <row r="41" spans="2:14" ht="60" x14ac:dyDescent="0.25">
      <c r="B41" s="19">
        <v>1547</v>
      </c>
      <c r="C41" s="19" t="s">
        <v>531</v>
      </c>
      <c r="D41" s="19" t="s">
        <v>417</v>
      </c>
      <c r="E41" s="19" t="s">
        <v>164</v>
      </c>
      <c r="F41" s="19" t="s">
        <v>158</v>
      </c>
      <c r="G41" s="19" t="s">
        <v>210</v>
      </c>
      <c r="H41" s="44"/>
      <c r="I41" s="19" t="s">
        <v>4</v>
      </c>
      <c r="J41" s="45"/>
      <c r="K41" s="19">
        <v>1547</v>
      </c>
      <c r="L41" s="24" t="s">
        <v>160</v>
      </c>
      <c r="M41" s="25" t="s">
        <v>256</v>
      </c>
      <c r="N41">
        <f t="shared" si="0"/>
        <v>23</v>
      </c>
    </row>
    <row r="42" spans="2:14" ht="60" x14ac:dyDescent="0.25">
      <c r="B42" s="19">
        <v>1548</v>
      </c>
      <c r="C42" s="19" t="s">
        <v>532</v>
      </c>
      <c r="D42" s="19" t="s">
        <v>418</v>
      </c>
      <c r="E42" s="19" t="s">
        <v>165</v>
      </c>
      <c r="F42" s="19" t="s">
        <v>163</v>
      </c>
      <c r="G42" s="19" t="s">
        <v>211</v>
      </c>
      <c r="H42" s="44"/>
      <c r="I42" s="19" t="s">
        <v>4</v>
      </c>
      <c r="J42" s="45"/>
      <c r="K42" s="19">
        <v>1548</v>
      </c>
      <c r="L42" s="24" t="s">
        <v>161</v>
      </c>
      <c r="M42" s="25" t="s">
        <v>257</v>
      </c>
      <c r="N42">
        <f t="shared" si="0"/>
        <v>25</v>
      </c>
    </row>
    <row r="43" spans="2:14" ht="45" x14ac:dyDescent="0.25">
      <c r="B43" s="19">
        <v>1549</v>
      </c>
      <c r="C43" s="19" t="s">
        <v>533</v>
      </c>
      <c r="D43" s="19" t="s">
        <v>419</v>
      </c>
      <c r="E43" s="19" t="s">
        <v>166</v>
      </c>
      <c r="F43" s="19" t="s">
        <v>159</v>
      </c>
      <c r="G43" s="19" t="s">
        <v>212</v>
      </c>
      <c r="H43" s="44"/>
      <c r="I43" s="19" t="s">
        <v>4</v>
      </c>
      <c r="J43" s="45"/>
      <c r="K43" s="19">
        <v>1549</v>
      </c>
      <c r="L43" s="24" t="s">
        <v>162</v>
      </c>
      <c r="M43" s="25" t="s">
        <v>258</v>
      </c>
      <c r="N43">
        <f t="shared" si="0"/>
        <v>20</v>
      </c>
    </row>
    <row r="44" spans="2:14" x14ac:dyDescent="0.25">
      <c r="B44" s="41">
        <v>1569</v>
      </c>
      <c r="C44" s="19" t="s">
        <v>368</v>
      </c>
      <c r="D44" s="19" t="s">
        <v>420</v>
      </c>
      <c r="E44" s="19" t="s">
        <v>313</v>
      </c>
      <c r="F44" s="19" t="s">
        <v>314</v>
      </c>
      <c r="G44" s="19" t="s">
        <v>566</v>
      </c>
      <c r="H44" s="44"/>
      <c r="I44" s="19" t="s">
        <v>4</v>
      </c>
      <c r="J44" s="45"/>
      <c r="K44" s="19">
        <v>1569</v>
      </c>
      <c r="M44" s="28" t="s">
        <v>337</v>
      </c>
      <c r="N44">
        <f t="shared" si="0"/>
        <v>30</v>
      </c>
    </row>
    <row r="45" spans="2:14" ht="45" x14ac:dyDescent="0.25">
      <c r="B45" s="19">
        <v>1588</v>
      </c>
      <c r="C45" s="19" t="s">
        <v>369</v>
      </c>
      <c r="D45" s="19" t="s">
        <v>421</v>
      </c>
      <c r="E45" s="19" t="s">
        <v>141</v>
      </c>
      <c r="F45" s="19" t="s">
        <v>55</v>
      </c>
      <c r="G45" s="19" t="s">
        <v>32</v>
      </c>
      <c r="H45" s="44"/>
      <c r="I45" s="19" t="s">
        <v>4</v>
      </c>
      <c r="J45" s="45"/>
      <c r="K45" s="19">
        <v>1588</v>
      </c>
      <c r="L45" s="24" t="s">
        <v>94</v>
      </c>
      <c r="M45" s="25" t="s">
        <v>259</v>
      </c>
      <c r="N45">
        <f t="shared" si="0"/>
        <v>25</v>
      </c>
    </row>
    <row r="46" spans="2:14" ht="45" x14ac:dyDescent="0.25">
      <c r="B46" s="19">
        <v>1589</v>
      </c>
      <c r="C46" s="19" t="s">
        <v>370</v>
      </c>
      <c r="D46" s="19" t="s">
        <v>422</v>
      </c>
      <c r="E46" s="19" t="s">
        <v>142</v>
      </c>
      <c r="F46" s="19" t="s">
        <v>56</v>
      </c>
      <c r="G46" s="19" t="s">
        <v>33</v>
      </c>
      <c r="H46" s="44"/>
      <c r="I46" s="19" t="s">
        <v>4</v>
      </c>
      <c r="J46" s="45"/>
      <c r="K46" s="19">
        <v>1589</v>
      </c>
      <c r="L46" s="24" t="s">
        <v>95</v>
      </c>
      <c r="M46" s="25" t="s">
        <v>260</v>
      </c>
      <c r="N46">
        <f t="shared" ref="N46:N77" si="1">LEN(C46)</f>
        <v>27</v>
      </c>
    </row>
    <row r="47" spans="2:14" ht="45" x14ac:dyDescent="0.25">
      <c r="B47" s="19">
        <v>1695</v>
      </c>
      <c r="C47" s="19" t="s">
        <v>371</v>
      </c>
      <c r="D47" s="19" t="s">
        <v>423</v>
      </c>
      <c r="E47" s="19" t="s">
        <v>143</v>
      </c>
      <c r="F47" s="19" t="s">
        <v>57</v>
      </c>
      <c r="G47" s="19" t="s">
        <v>34</v>
      </c>
      <c r="H47" s="44"/>
      <c r="I47" s="19" t="s">
        <v>4</v>
      </c>
      <c r="J47" s="45"/>
      <c r="K47" s="19">
        <v>1695</v>
      </c>
      <c r="L47" s="24" t="s">
        <v>96</v>
      </c>
      <c r="M47" s="25" t="s">
        <v>261</v>
      </c>
      <c r="N47">
        <f t="shared" si="1"/>
        <v>25</v>
      </c>
    </row>
    <row r="48" spans="2:14" ht="45" x14ac:dyDescent="0.25">
      <c r="B48" s="19">
        <v>1696</v>
      </c>
      <c r="C48" s="19" t="s">
        <v>372</v>
      </c>
      <c r="D48" s="19" t="s">
        <v>424</v>
      </c>
      <c r="E48" s="19" t="s">
        <v>144</v>
      </c>
      <c r="F48" s="19" t="s">
        <v>58</v>
      </c>
      <c r="G48" s="19" t="s">
        <v>35</v>
      </c>
      <c r="H48" s="44"/>
      <c r="I48" s="19" t="s">
        <v>4</v>
      </c>
      <c r="J48" s="45"/>
      <c r="K48" s="19">
        <v>1696</v>
      </c>
      <c r="L48" s="24" t="s">
        <v>97</v>
      </c>
      <c r="M48" s="25" t="s">
        <v>262</v>
      </c>
      <c r="N48">
        <f t="shared" si="1"/>
        <v>27</v>
      </c>
    </row>
    <row r="49" spans="2:14" ht="90" x14ac:dyDescent="0.25">
      <c r="B49" s="19">
        <v>1700</v>
      </c>
      <c r="C49" s="19" t="s">
        <v>539</v>
      </c>
      <c r="D49" s="19" t="s">
        <v>425</v>
      </c>
      <c r="E49" s="19" t="s">
        <v>145</v>
      </c>
      <c r="F49" s="19" t="s">
        <v>59</v>
      </c>
      <c r="G49" s="19" t="s">
        <v>567</v>
      </c>
      <c r="H49" s="44"/>
      <c r="I49" s="19" t="s">
        <v>4</v>
      </c>
      <c r="J49" s="45"/>
      <c r="K49" s="19">
        <v>1700</v>
      </c>
      <c r="L49" s="24" t="s">
        <v>98</v>
      </c>
      <c r="M49" s="25" t="s">
        <v>263</v>
      </c>
      <c r="N49">
        <f t="shared" si="1"/>
        <v>29</v>
      </c>
    </row>
    <row r="50" spans="2:14" ht="105" x14ac:dyDescent="0.25">
      <c r="B50" s="19">
        <v>1703</v>
      </c>
      <c r="C50" s="19" t="s">
        <v>373</v>
      </c>
      <c r="D50" s="19" t="s">
        <v>426</v>
      </c>
      <c r="E50" s="19" t="s">
        <v>146</v>
      </c>
      <c r="F50" s="19" t="s">
        <v>60</v>
      </c>
      <c r="G50" s="19" t="s">
        <v>568</v>
      </c>
      <c r="H50" s="44"/>
      <c r="I50" s="19" t="s">
        <v>4</v>
      </c>
      <c r="J50" s="45"/>
      <c r="K50" s="19">
        <v>1703</v>
      </c>
      <c r="L50" s="24" t="s">
        <v>99</v>
      </c>
      <c r="M50" s="25" t="s">
        <v>264</v>
      </c>
      <c r="N50">
        <f t="shared" si="1"/>
        <v>29</v>
      </c>
    </row>
    <row r="51" spans="2:14" ht="60" x14ac:dyDescent="0.25">
      <c r="B51" s="19">
        <v>1714</v>
      </c>
      <c r="C51" s="19" t="s">
        <v>374</v>
      </c>
      <c r="D51" s="19" t="s">
        <v>427</v>
      </c>
      <c r="E51" s="19" t="s">
        <v>147</v>
      </c>
      <c r="F51" s="19" t="s">
        <v>61</v>
      </c>
      <c r="G51" s="19" t="s">
        <v>569</v>
      </c>
      <c r="H51" s="44"/>
      <c r="I51" s="19" t="s">
        <v>4</v>
      </c>
      <c r="J51" s="45"/>
      <c r="K51" s="19">
        <v>1714</v>
      </c>
      <c r="L51" s="24" t="s">
        <v>100</v>
      </c>
      <c r="M51" s="25" t="s">
        <v>265</v>
      </c>
      <c r="N51">
        <f t="shared" si="1"/>
        <v>30</v>
      </c>
    </row>
    <row r="52" spans="2:14" ht="30" x14ac:dyDescent="0.25">
      <c r="B52" s="19">
        <v>1715</v>
      </c>
      <c r="C52" s="19" t="s">
        <v>375</v>
      </c>
      <c r="D52" s="19" t="s">
        <v>428</v>
      </c>
      <c r="E52" s="19" t="s">
        <v>148</v>
      </c>
      <c r="F52" s="19" t="s">
        <v>62</v>
      </c>
      <c r="G52" s="19" t="s">
        <v>570</v>
      </c>
      <c r="H52" s="44"/>
      <c r="I52" s="19" t="s">
        <v>4</v>
      </c>
      <c r="J52" s="45"/>
      <c r="K52" s="19">
        <v>1715</v>
      </c>
      <c r="L52" s="24" t="s">
        <v>101</v>
      </c>
      <c r="M52" s="25" t="s">
        <v>266</v>
      </c>
      <c r="N52">
        <f t="shared" si="1"/>
        <v>23</v>
      </c>
    </row>
    <row r="53" spans="2:14" x14ac:dyDescent="0.25">
      <c r="B53" s="19">
        <v>1741</v>
      </c>
      <c r="C53" s="19" t="s">
        <v>534</v>
      </c>
      <c r="D53" s="19" t="s">
        <v>429</v>
      </c>
      <c r="E53" s="19" t="s">
        <v>149</v>
      </c>
      <c r="F53" s="19" t="s">
        <v>63</v>
      </c>
      <c r="G53" s="19" t="s">
        <v>214</v>
      </c>
      <c r="H53" s="44"/>
      <c r="I53" s="19" t="s">
        <v>4</v>
      </c>
      <c r="J53" s="45"/>
      <c r="K53" s="19">
        <v>1741</v>
      </c>
      <c r="L53" s="24" t="s">
        <v>102</v>
      </c>
      <c r="M53" s="25" t="s">
        <v>267</v>
      </c>
      <c r="N53">
        <f t="shared" si="1"/>
        <v>33</v>
      </c>
    </row>
    <row r="54" spans="2:14" ht="90" x14ac:dyDescent="0.25">
      <c r="B54" s="19">
        <v>1742</v>
      </c>
      <c r="C54" s="19" t="s">
        <v>376</v>
      </c>
      <c r="D54" s="19" t="s">
        <v>430</v>
      </c>
      <c r="E54" s="19" t="s">
        <v>150</v>
      </c>
      <c r="F54" s="19" t="s">
        <v>64</v>
      </c>
      <c r="G54" s="19" t="s">
        <v>105</v>
      </c>
      <c r="H54" s="44"/>
      <c r="I54" s="19" t="s">
        <v>4</v>
      </c>
      <c r="J54" s="45"/>
      <c r="K54" s="19">
        <v>1742</v>
      </c>
      <c r="L54" s="24" t="s">
        <v>224</v>
      </c>
      <c r="M54" s="25" t="s">
        <v>268</v>
      </c>
      <c r="N54">
        <f t="shared" si="1"/>
        <v>27</v>
      </c>
    </row>
    <row r="55" spans="2:14" ht="90" x14ac:dyDescent="0.25">
      <c r="B55" s="19">
        <v>1743</v>
      </c>
      <c r="C55" s="19" t="s">
        <v>377</v>
      </c>
      <c r="D55" s="19" t="s">
        <v>431</v>
      </c>
      <c r="E55" s="19" t="s">
        <v>151</v>
      </c>
      <c r="F55" s="19" t="s">
        <v>65</v>
      </c>
      <c r="G55" s="19" t="s">
        <v>205</v>
      </c>
      <c r="H55" s="44"/>
      <c r="I55" s="19" t="s">
        <v>4</v>
      </c>
      <c r="J55" s="45"/>
      <c r="K55" s="19">
        <v>1743</v>
      </c>
      <c r="L55" s="24" t="s">
        <v>223</v>
      </c>
      <c r="M55" s="25" t="s">
        <v>269</v>
      </c>
      <c r="N55">
        <f t="shared" si="1"/>
        <v>29</v>
      </c>
    </row>
    <row r="56" spans="2:14" ht="90" x14ac:dyDescent="0.25">
      <c r="B56" s="19">
        <v>1744</v>
      </c>
      <c r="C56" s="19" t="s">
        <v>516</v>
      </c>
      <c r="D56" s="19" t="s">
        <v>432</v>
      </c>
      <c r="E56" s="19" t="s">
        <v>152</v>
      </c>
      <c r="F56" s="19" t="s">
        <v>66</v>
      </c>
      <c r="G56" s="19" t="s">
        <v>106</v>
      </c>
      <c r="H56" s="44"/>
      <c r="I56" s="19" t="s">
        <v>4</v>
      </c>
      <c r="J56" s="45"/>
      <c r="K56" s="38" t="s">
        <v>360</v>
      </c>
      <c r="L56" s="36" t="s">
        <v>225</v>
      </c>
      <c r="M56" s="25" t="s">
        <v>233</v>
      </c>
      <c r="N56">
        <f t="shared" si="1"/>
        <v>27</v>
      </c>
    </row>
    <row r="57" spans="2:14" ht="75" x14ac:dyDescent="0.25">
      <c r="B57" s="19">
        <v>1745</v>
      </c>
      <c r="C57" s="19" t="s">
        <v>517</v>
      </c>
      <c r="D57" s="19" t="s">
        <v>433</v>
      </c>
      <c r="E57" s="19" t="s">
        <v>153</v>
      </c>
      <c r="F57" s="19" t="s">
        <v>67</v>
      </c>
      <c r="G57" s="19" t="s">
        <v>107</v>
      </c>
      <c r="H57" s="44"/>
      <c r="I57" s="19" t="s">
        <v>4</v>
      </c>
      <c r="J57" s="45"/>
      <c r="K57" s="38" t="s">
        <v>360</v>
      </c>
      <c r="L57" s="36" t="s">
        <v>219</v>
      </c>
      <c r="M57" s="25" t="s">
        <v>270</v>
      </c>
      <c r="N57">
        <f t="shared" si="1"/>
        <v>29</v>
      </c>
    </row>
    <row r="58" spans="2:14" ht="30" x14ac:dyDescent="0.25">
      <c r="B58" s="19">
        <v>1746</v>
      </c>
      <c r="C58" s="19" t="s">
        <v>518</v>
      </c>
      <c r="D58" s="19" t="s">
        <v>434</v>
      </c>
      <c r="E58" s="19" t="s">
        <v>154</v>
      </c>
      <c r="F58" s="19" t="s">
        <v>68</v>
      </c>
      <c r="G58" s="19" t="s">
        <v>108</v>
      </c>
      <c r="H58" s="44"/>
      <c r="I58" s="19" t="s">
        <v>4</v>
      </c>
      <c r="J58" s="45"/>
      <c r="K58" s="38" t="s">
        <v>360</v>
      </c>
      <c r="L58" s="36" t="s">
        <v>221</v>
      </c>
      <c r="M58" s="25" t="s">
        <v>271</v>
      </c>
      <c r="N58">
        <f t="shared" si="1"/>
        <v>27</v>
      </c>
    </row>
    <row r="59" spans="2:14" ht="30" x14ac:dyDescent="0.25">
      <c r="B59" s="19">
        <v>1747</v>
      </c>
      <c r="C59" s="19" t="s">
        <v>519</v>
      </c>
      <c r="D59" s="19" t="s">
        <v>435</v>
      </c>
      <c r="E59" s="19" t="s">
        <v>155</v>
      </c>
      <c r="F59" s="19" t="s">
        <v>69</v>
      </c>
      <c r="G59" s="19" t="s">
        <v>109</v>
      </c>
      <c r="H59" s="44"/>
      <c r="I59" s="19" t="s">
        <v>4</v>
      </c>
      <c r="J59" s="45"/>
      <c r="K59" s="38" t="s">
        <v>360</v>
      </c>
      <c r="L59" s="36" t="s">
        <v>220</v>
      </c>
      <c r="M59" s="25" t="s">
        <v>272</v>
      </c>
      <c r="N59">
        <f t="shared" si="1"/>
        <v>29</v>
      </c>
    </row>
    <row r="60" spans="2:14" ht="90" x14ac:dyDescent="0.25">
      <c r="B60" s="19">
        <v>1748</v>
      </c>
      <c r="C60" s="19" t="s">
        <v>520</v>
      </c>
      <c r="D60" s="19" t="s">
        <v>436</v>
      </c>
      <c r="E60" s="19" t="s">
        <v>156</v>
      </c>
      <c r="F60" s="19" t="s">
        <v>70</v>
      </c>
      <c r="G60" s="19" t="s">
        <v>110</v>
      </c>
      <c r="H60" s="44"/>
      <c r="I60" s="19" t="s">
        <v>4</v>
      </c>
      <c r="J60" s="45"/>
      <c r="K60" s="38" t="s">
        <v>360</v>
      </c>
      <c r="L60" s="24" t="s">
        <v>103</v>
      </c>
      <c r="M60" s="25" t="s">
        <v>273</v>
      </c>
      <c r="N60">
        <f t="shared" si="1"/>
        <v>11</v>
      </c>
    </row>
    <row r="61" spans="2:14" ht="60" x14ac:dyDescent="0.25">
      <c r="B61" s="19">
        <v>1749</v>
      </c>
      <c r="C61" s="19" t="s">
        <v>535</v>
      </c>
      <c r="D61" s="19" t="s">
        <v>437</v>
      </c>
      <c r="E61" s="19" t="s">
        <v>157</v>
      </c>
      <c r="F61" s="19" t="s">
        <v>71</v>
      </c>
      <c r="G61" s="19" t="s">
        <v>111</v>
      </c>
      <c r="H61" s="44"/>
      <c r="I61" s="19" t="s">
        <v>4</v>
      </c>
      <c r="J61" s="45"/>
      <c r="K61" s="38" t="s">
        <v>360</v>
      </c>
      <c r="L61" s="24" t="s">
        <v>104</v>
      </c>
      <c r="M61" s="25" t="s">
        <v>274</v>
      </c>
      <c r="N61">
        <f t="shared" si="1"/>
        <v>25</v>
      </c>
    </row>
    <row r="62" spans="2:14" x14ac:dyDescent="0.25">
      <c r="B62" s="19">
        <v>1751</v>
      </c>
      <c r="C62" s="19" t="s">
        <v>378</v>
      </c>
      <c r="D62" s="19" t="s">
        <v>438</v>
      </c>
      <c r="E62" s="19" t="s">
        <v>307</v>
      </c>
      <c r="F62" s="19" t="s">
        <v>308</v>
      </c>
      <c r="G62" s="19" t="s">
        <v>338</v>
      </c>
      <c r="H62" s="44"/>
      <c r="I62" s="19" t="s">
        <v>4</v>
      </c>
      <c r="J62" s="45"/>
      <c r="K62" s="19">
        <v>1751</v>
      </c>
      <c r="M62" s="28" t="s">
        <v>345</v>
      </c>
      <c r="N62">
        <f t="shared" si="1"/>
        <v>27</v>
      </c>
    </row>
    <row r="63" spans="2:14" x14ac:dyDescent="0.25">
      <c r="B63" s="19">
        <v>1752</v>
      </c>
      <c r="C63" s="19" t="s">
        <v>379</v>
      </c>
      <c r="D63" s="19" t="s">
        <v>439</v>
      </c>
      <c r="E63" s="19" t="s">
        <v>309</v>
      </c>
      <c r="F63" s="19" t="s">
        <v>310</v>
      </c>
      <c r="G63" s="19" t="s">
        <v>339</v>
      </c>
      <c r="H63" s="44"/>
      <c r="I63" s="19" t="s">
        <v>4</v>
      </c>
      <c r="J63" s="45"/>
      <c r="K63" s="19">
        <v>1752</v>
      </c>
      <c r="M63" s="28" t="s">
        <v>346</v>
      </c>
      <c r="N63">
        <f t="shared" si="1"/>
        <v>29</v>
      </c>
    </row>
    <row r="64" spans="2:14" x14ac:dyDescent="0.25">
      <c r="B64" s="19">
        <v>1753</v>
      </c>
      <c r="C64" s="19" t="s">
        <v>380</v>
      </c>
      <c r="D64" s="19" t="s">
        <v>440</v>
      </c>
      <c r="E64" s="19" t="s">
        <v>311</v>
      </c>
      <c r="F64" s="19" t="s">
        <v>312</v>
      </c>
      <c r="G64" s="19" t="s">
        <v>340</v>
      </c>
      <c r="H64" s="44"/>
      <c r="I64" s="19" t="s">
        <v>4</v>
      </c>
      <c r="J64" s="45"/>
      <c r="K64" s="19">
        <v>1753</v>
      </c>
      <c r="M64" s="28" t="s">
        <v>341</v>
      </c>
      <c r="N64">
        <f t="shared" si="1"/>
        <v>27</v>
      </c>
    </row>
    <row r="65" spans="2:14" ht="60" x14ac:dyDescent="0.25">
      <c r="B65" s="19">
        <v>1763</v>
      </c>
      <c r="C65" s="19" t="s">
        <v>381</v>
      </c>
      <c r="D65" s="19" t="s">
        <v>441</v>
      </c>
      <c r="E65" s="19" t="s">
        <v>179</v>
      </c>
      <c r="F65" s="19" t="s">
        <v>167</v>
      </c>
      <c r="G65" s="19" t="s">
        <v>571</v>
      </c>
      <c r="H65" s="44"/>
      <c r="I65" s="19" t="s">
        <v>4</v>
      </c>
      <c r="J65" s="45"/>
      <c r="K65" s="19">
        <v>1763</v>
      </c>
      <c r="L65" s="24" t="s">
        <v>195</v>
      </c>
      <c r="M65" s="25" t="s">
        <v>334</v>
      </c>
      <c r="N65">
        <f t="shared" si="1"/>
        <v>29</v>
      </c>
    </row>
    <row r="66" spans="2:14" ht="75" x14ac:dyDescent="0.25">
      <c r="B66" s="19">
        <v>1767</v>
      </c>
      <c r="C66" s="19" t="s">
        <v>382</v>
      </c>
      <c r="D66" s="19" t="s">
        <v>442</v>
      </c>
      <c r="E66" s="19" t="s">
        <v>180</v>
      </c>
      <c r="F66" s="19" t="s">
        <v>168</v>
      </c>
      <c r="G66" s="19" t="s">
        <v>572</v>
      </c>
      <c r="H66" s="44"/>
      <c r="I66" s="19" t="s">
        <v>4</v>
      </c>
      <c r="J66" s="45"/>
      <c r="K66" s="19">
        <v>1767</v>
      </c>
      <c r="L66" s="24" t="s">
        <v>196</v>
      </c>
      <c r="M66" s="25" t="s">
        <v>276</v>
      </c>
      <c r="N66">
        <f t="shared" si="1"/>
        <v>31</v>
      </c>
    </row>
    <row r="67" spans="2:14" ht="75" x14ac:dyDescent="0.25">
      <c r="B67" s="19">
        <v>1768</v>
      </c>
      <c r="C67" s="19" t="s">
        <v>383</v>
      </c>
      <c r="D67" s="19" t="s">
        <v>443</v>
      </c>
      <c r="E67" s="19" t="s">
        <v>181</v>
      </c>
      <c r="F67" s="19" t="s">
        <v>169</v>
      </c>
      <c r="G67" s="19" t="s">
        <v>573</v>
      </c>
      <c r="H67" s="44"/>
      <c r="I67" s="19" t="s">
        <v>4</v>
      </c>
      <c r="J67" s="45"/>
      <c r="K67" s="19">
        <v>1768</v>
      </c>
      <c r="L67" s="24" t="s">
        <v>197</v>
      </c>
      <c r="M67" s="25" t="s">
        <v>277</v>
      </c>
      <c r="N67">
        <f t="shared" si="1"/>
        <v>29</v>
      </c>
    </row>
    <row r="68" spans="2:14" ht="75" x14ac:dyDescent="0.25">
      <c r="B68" s="19">
        <v>1769</v>
      </c>
      <c r="C68" s="19" t="s">
        <v>384</v>
      </c>
      <c r="D68" s="19" t="s">
        <v>444</v>
      </c>
      <c r="E68" s="19" t="s">
        <v>182</v>
      </c>
      <c r="F68" s="19" t="s">
        <v>170</v>
      </c>
      <c r="G68" s="19" t="s">
        <v>574</v>
      </c>
      <c r="H68" s="44"/>
      <c r="I68" s="19" t="s">
        <v>4</v>
      </c>
      <c r="J68" s="45"/>
      <c r="K68" s="19">
        <v>1769</v>
      </c>
      <c r="L68" s="24" t="s">
        <v>198</v>
      </c>
      <c r="M68" s="25" t="s">
        <v>278</v>
      </c>
      <c r="N68">
        <f t="shared" si="1"/>
        <v>29</v>
      </c>
    </row>
    <row r="69" spans="2:14" ht="45" x14ac:dyDescent="0.25">
      <c r="B69" s="19">
        <v>1770</v>
      </c>
      <c r="C69" s="19" t="s">
        <v>385</v>
      </c>
      <c r="D69" s="19" t="s">
        <v>445</v>
      </c>
      <c r="E69" s="19" t="s">
        <v>183</v>
      </c>
      <c r="F69" s="19" t="s">
        <v>171</v>
      </c>
      <c r="G69" s="19" t="s">
        <v>208</v>
      </c>
      <c r="H69" s="44"/>
      <c r="I69" s="19" t="s">
        <v>4</v>
      </c>
      <c r="J69" s="45"/>
      <c r="K69" s="19">
        <f>VLOOKUP(B69,'[1]ECU ALP+'!$B:$B,1,FALSE)</f>
        <v>1770</v>
      </c>
      <c r="L69" s="24" t="s">
        <v>226</v>
      </c>
      <c r="M69" s="25" t="s">
        <v>279</v>
      </c>
      <c r="N69">
        <f t="shared" si="1"/>
        <v>30</v>
      </c>
    </row>
    <row r="70" spans="2:14" ht="120" x14ac:dyDescent="0.25">
      <c r="B70" s="19">
        <v>1774</v>
      </c>
      <c r="C70" s="19" t="s">
        <v>386</v>
      </c>
      <c r="D70" s="19" t="s">
        <v>446</v>
      </c>
      <c r="E70" s="19" t="s">
        <v>184</v>
      </c>
      <c r="F70" s="19" t="s">
        <v>172</v>
      </c>
      <c r="G70" s="19" t="s">
        <v>205</v>
      </c>
      <c r="H70" s="44"/>
      <c r="I70" s="19" t="s">
        <v>4</v>
      </c>
      <c r="J70" s="45"/>
      <c r="K70" s="19">
        <f>VLOOKUP(B70,'[1]ECU ALP+'!$B:$B,1,FALSE)</f>
        <v>1774</v>
      </c>
      <c r="L70" s="24" t="s">
        <v>222</v>
      </c>
      <c r="M70" s="25" t="s">
        <v>280</v>
      </c>
      <c r="N70">
        <f t="shared" si="1"/>
        <v>31</v>
      </c>
    </row>
    <row r="71" spans="2:14" ht="45" x14ac:dyDescent="0.25">
      <c r="B71" s="19">
        <v>1778</v>
      </c>
      <c r="C71" s="19" t="s">
        <v>387</v>
      </c>
      <c r="D71" s="19" t="s">
        <v>447</v>
      </c>
      <c r="E71" s="19" t="s">
        <v>185</v>
      </c>
      <c r="F71" s="19" t="s">
        <v>173</v>
      </c>
      <c r="G71" s="19" t="s">
        <v>206</v>
      </c>
      <c r="H71" s="44"/>
      <c r="I71" s="19" t="s">
        <v>4</v>
      </c>
      <c r="J71" s="45"/>
      <c r="K71" s="19">
        <f>VLOOKUP(B71,'[1]ECU ALP+'!$B:$B,1,FALSE)</f>
        <v>1778</v>
      </c>
      <c r="L71" s="24" t="s">
        <v>199</v>
      </c>
      <c r="M71" s="25" t="s">
        <v>281</v>
      </c>
      <c r="N71">
        <f t="shared" si="1"/>
        <v>20</v>
      </c>
    </row>
    <row r="72" spans="2:14" ht="75" x14ac:dyDescent="0.25">
      <c r="B72" s="19">
        <v>1779</v>
      </c>
      <c r="C72" s="19" t="s">
        <v>388</v>
      </c>
      <c r="D72" s="19" t="s">
        <v>448</v>
      </c>
      <c r="E72" s="19" t="s">
        <v>186</v>
      </c>
      <c r="F72" s="19" t="s">
        <v>174</v>
      </c>
      <c r="G72" s="19" t="s">
        <v>207</v>
      </c>
      <c r="H72" s="44"/>
      <c r="I72" s="19" t="s">
        <v>4</v>
      </c>
      <c r="J72" s="45"/>
      <c r="K72" s="19">
        <f>VLOOKUP(B72,'[1]ECU ALP+'!$B:$B,1,FALSE)</f>
        <v>1779</v>
      </c>
      <c r="L72" s="24" t="s">
        <v>200</v>
      </c>
      <c r="M72" s="25" t="s">
        <v>282</v>
      </c>
      <c r="N72">
        <f t="shared" si="1"/>
        <v>27</v>
      </c>
    </row>
    <row r="73" spans="2:14" x14ac:dyDescent="0.25">
      <c r="B73" s="19">
        <v>1781</v>
      </c>
      <c r="C73" s="19" t="s">
        <v>536</v>
      </c>
      <c r="D73" s="19" t="s">
        <v>449</v>
      </c>
      <c r="E73" s="19" t="s">
        <v>305</v>
      </c>
      <c r="F73" s="19" t="s">
        <v>306</v>
      </c>
      <c r="G73" s="19" t="s">
        <v>575</v>
      </c>
      <c r="H73" s="44"/>
      <c r="I73" s="19" t="s">
        <v>4</v>
      </c>
      <c r="J73" s="45"/>
      <c r="K73" s="19">
        <f>VLOOKUP(B73,'[1]ECU ALP+'!$B:$B,1,FALSE)</f>
        <v>1781</v>
      </c>
      <c r="M73" s="25" t="s">
        <v>333</v>
      </c>
      <c r="N73">
        <f t="shared" si="1"/>
        <v>26</v>
      </c>
    </row>
    <row r="74" spans="2:14" ht="75" x14ac:dyDescent="0.25">
      <c r="B74" s="19">
        <v>1784</v>
      </c>
      <c r="C74" s="19" t="s">
        <v>394</v>
      </c>
      <c r="D74" s="19" t="s">
        <v>450</v>
      </c>
      <c r="E74" s="19" t="s">
        <v>187</v>
      </c>
      <c r="F74" s="19" t="s">
        <v>175</v>
      </c>
      <c r="G74" s="19" t="s">
        <v>215</v>
      </c>
      <c r="H74" s="44"/>
      <c r="I74" s="19" t="s">
        <v>4</v>
      </c>
      <c r="J74" s="45"/>
      <c r="K74" s="38" t="s">
        <v>360</v>
      </c>
      <c r="L74" s="24" t="s">
        <v>201</v>
      </c>
      <c r="M74" s="25" t="s">
        <v>283</v>
      </c>
      <c r="N74">
        <f t="shared" si="1"/>
        <v>28</v>
      </c>
    </row>
    <row r="75" spans="2:14" ht="75" x14ac:dyDescent="0.25">
      <c r="B75" s="19">
        <v>1785</v>
      </c>
      <c r="C75" s="19" t="s">
        <v>395</v>
      </c>
      <c r="D75" s="19" t="s">
        <v>451</v>
      </c>
      <c r="E75" s="19" t="s">
        <v>188</v>
      </c>
      <c r="F75" s="19" t="s">
        <v>176</v>
      </c>
      <c r="G75" s="19" t="s">
        <v>216</v>
      </c>
      <c r="H75" s="44"/>
      <c r="I75" s="19" t="s">
        <v>4</v>
      </c>
      <c r="J75" s="45"/>
      <c r="K75" s="38" t="s">
        <v>360</v>
      </c>
      <c r="L75" s="24" t="s">
        <v>202</v>
      </c>
      <c r="M75" s="25" t="s">
        <v>284</v>
      </c>
      <c r="N75">
        <f t="shared" si="1"/>
        <v>28</v>
      </c>
    </row>
    <row r="76" spans="2:14" ht="75" x14ac:dyDescent="0.25">
      <c r="B76" s="19">
        <v>1786</v>
      </c>
      <c r="C76" s="19" t="s">
        <v>396</v>
      </c>
      <c r="D76" s="19" t="s">
        <v>452</v>
      </c>
      <c r="E76" s="19" t="s">
        <v>189</v>
      </c>
      <c r="F76" s="19" t="s">
        <v>177</v>
      </c>
      <c r="G76" s="19" t="s">
        <v>217</v>
      </c>
      <c r="H76" s="44"/>
      <c r="I76" s="19" t="s">
        <v>4</v>
      </c>
      <c r="J76" s="45"/>
      <c r="K76" s="38" t="s">
        <v>360</v>
      </c>
      <c r="L76" s="24" t="s">
        <v>203</v>
      </c>
      <c r="M76" s="25" t="s">
        <v>285</v>
      </c>
      <c r="N76">
        <f t="shared" si="1"/>
        <v>28</v>
      </c>
    </row>
    <row r="77" spans="2:14" ht="75" x14ac:dyDescent="0.25">
      <c r="B77" s="19">
        <v>1787</v>
      </c>
      <c r="C77" s="19" t="s">
        <v>397</v>
      </c>
      <c r="D77" s="19" t="s">
        <v>453</v>
      </c>
      <c r="E77" s="19" t="s">
        <v>190</v>
      </c>
      <c r="F77" s="19" t="s">
        <v>178</v>
      </c>
      <c r="G77" s="19" t="s">
        <v>218</v>
      </c>
      <c r="H77" s="44"/>
      <c r="I77" s="19" t="s">
        <v>4</v>
      </c>
      <c r="J77" s="45"/>
      <c r="K77" s="38" t="s">
        <v>360</v>
      </c>
      <c r="L77" s="24" t="s">
        <v>204</v>
      </c>
      <c r="M77" s="25" t="s">
        <v>286</v>
      </c>
      <c r="N77">
        <f t="shared" si="1"/>
        <v>28</v>
      </c>
    </row>
    <row r="78" spans="2:14" ht="75" x14ac:dyDescent="0.25">
      <c r="B78" s="19">
        <v>1798</v>
      </c>
      <c r="C78" s="19" t="s">
        <v>389</v>
      </c>
      <c r="D78" s="19" t="s">
        <v>454</v>
      </c>
      <c r="E78" s="19" t="s">
        <v>290</v>
      </c>
      <c r="F78" s="19" t="s">
        <v>295</v>
      </c>
      <c r="G78" s="19" t="s">
        <v>339</v>
      </c>
      <c r="H78" s="44"/>
      <c r="I78" s="19" t="s">
        <v>4</v>
      </c>
      <c r="J78" s="45"/>
      <c r="K78" s="19">
        <f>VLOOKUP(B78,'[1]ECU ALP+'!$B:$B,1,FALSE)</f>
        <v>1798</v>
      </c>
      <c r="L78" s="24" t="s">
        <v>300</v>
      </c>
      <c r="M78" s="25" t="s">
        <v>344</v>
      </c>
      <c r="N78">
        <f t="shared" ref="N78:N95" si="2">LEN(C78)</f>
        <v>31</v>
      </c>
    </row>
    <row r="79" spans="2:14" ht="75" x14ac:dyDescent="0.25">
      <c r="B79" s="19">
        <v>1799</v>
      </c>
      <c r="C79" s="19" t="s">
        <v>390</v>
      </c>
      <c r="D79" s="19" t="s">
        <v>455</v>
      </c>
      <c r="E79" s="19" t="s">
        <v>291</v>
      </c>
      <c r="F79" s="19" t="s">
        <v>296</v>
      </c>
      <c r="G79" s="19" t="s">
        <v>342</v>
      </c>
      <c r="H79" s="44"/>
      <c r="I79" s="19" t="s">
        <v>4</v>
      </c>
      <c r="J79" s="45"/>
      <c r="K79" s="19">
        <f>VLOOKUP(B79,'[1]ECU ALP+'!$B:$B,1,FALSE)</f>
        <v>1799</v>
      </c>
      <c r="L79" s="24" t="s">
        <v>301</v>
      </c>
      <c r="M79" s="25" t="s">
        <v>349</v>
      </c>
      <c r="N79">
        <f t="shared" si="2"/>
        <v>29</v>
      </c>
    </row>
    <row r="80" spans="2:14" ht="75" x14ac:dyDescent="0.25">
      <c r="B80" s="19">
        <v>1800</v>
      </c>
      <c r="C80" s="19" t="s">
        <v>391</v>
      </c>
      <c r="D80" s="19" t="s">
        <v>456</v>
      </c>
      <c r="E80" s="19" t="s">
        <v>292</v>
      </c>
      <c r="F80" s="19" t="s">
        <v>297</v>
      </c>
      <c r="G80" s="19" t="s">
        <v>342</v>
      </c>
      <c r="H80" s="44"/>
      <c r="I80" s="19" t="s">
        <v>4</v>
      </c>
      <c r="J80" s="45"/>
      <c r="K80" s="19">
        <f>VLOOKUP(B80,'[1]ECU ALP+'!$B:$B,1,FALSE)</f>
        <v>1800</v>
      </c>
      <c r="L80" s="24" t="s">
        <v>302</v>
      </c>
      <c r="M80" s="25" t="s">
        <v>343</v>
      </c>
      <c r="N80">
        <f t="shared" si="2"/>
        <v>31</v>
      </c>
    </row>
    <row r="81" spans="2:14" ht="45" x14ac:dyDescent="0.25">
      <c r="B81" s="19">
        <v>1842</v>
      </c>
      <c r="C81" s="19" t="s">
        <v>392</v>
      </c>
      <c r="D81" s="19" t="s">
        <v>457</v>
      </c>
      <c r="E81" s="19" t="s">
        <v>293</v>
      </c>
      <c r="F81" s="19" t="s">
        <v>298</v>
      </c>
      <c r="G81" s="19" t="s">
        <v>576</v>
      </c>
      <c r="H81" s="44"/>
      <c r="I81" s="19" t="s">
        <v>4</v>
      </c>
      <c r="J81" s="45"/>
      <c r="K81" s="19">
        <f>VLOOKUP(B81,'[1]ECU ALP+'!$B:$B,1,FALSE)</f>
        <v>1842</v>
      </c>
      <c r="L81" s="24" t="s">
        <v>303</v>
      </c>
      <c r="M81" s="25" t="s">
        <v>335</v>
      </c>
      <c r="N81">
        <f t="shared" si="2"/>
        <v>27</v>
      </c>
    </row>
    <row r="82" spans="2:14" ht="45" x14ac:dyDescent="0.25">
      <c r="B82" s="19">
        <v>1843</v>
      </c>
      <c r="C82" s="19" t="s">
        <v>393</v>
      </c>
      <c r="D82" s="19" t="s">
        <v>458</v>
      </c>
      <c r="E82" s="19" t="s">
        <v>294</v>
      </c>
      <c r="F82" s="19" t="s">
        <v>299</v>
      </c>
      <c r="G82" s="19" t="s">
        <v>577</v>
      </c>
      <c r="H82" s="44"/>
      <c r="I82" s="19" t="s">
        <v>4</v>
      </c>
      <c r="J82" s="45"/>
      <c r="K82" s="19">
        <f>VLOOKUP(B82,'[1]ECU ALP+'!$B:$B,1,FALSE)</f>
        <v>1843</v>
      </c>
      <c r="L82" s="24" t="s">
        <v>304</v>
      </c>
      <c r="M82" s="25" t="s">
        <v>275</v>
      </c>
      <c r="N82">
        <f t="shared" si="2"/>
        <v>25</v>
      </c>
    </row>
    <row r="83" spans="2:14" ht="51.75" x14ac:dyDescent="0.25">
      <c r="B83" s="19">
        <v>1947</v>
      </c>
      <c r="C83" s="40" t="s">
        <v>540</v>
      </c>
      <c r="D83" s="19" t="s">
        <v>459</v>
      </c>
      <c r="E83" s="39" t="s">
        <v>357</v>
      </c>
      <c r="F83" s="40" t="s">
        <v>350</v>
      </c>
      <c r="G83" s="19" t="s">
        <v>578</v>
      </c>
      <c r="H83" s="44"/>
      <c r="I83" s="19" t="s">
        <v>4</v>
      </c>
      <c r="J83" s="45"/>
      <c r="K83" s="38" t="s">
        <v>360</v>
      </c>
      <c r="L83" s="33" t="s">
        <v>351</v>
      </c>
      <c r="M83" s="34" t="s">
        <v>354</v>
      </c>
      <c r="N83">
        <f t="shared" si="2"/>
        <v>28</v>
      </c>
    </row>
    <row r="84" spans="2:14" ht="51.75" x14ac:dyDescent="0.25">
      <c r="B84" s="19">
        <v>1948</v>
      </c>
      <c r="C84" s="40" t="s">
        <v>582</v>
      </c>
      <c r="D84" s="19" t="s">
        <v>460</v>
      </c>
      <c r="E84" s="39" t="s">
        <v>358</v>
      </c>
      <c r="F84" s="40" t="s">
        <v>356</v>
      </c>
      <c r="G84" s="19" t="s">
        <v>583</v>
      </c>
      <c r="H84" s="44"/>
      <c r="I84" s="19" t="s">
        <v>4</v>
      </c>
      <c r="J84" s="45"/>
      <c r="K84" s="38" t="s">
        <v>360</v>
      </c>
      <c r="L84" s="33" t="s">
        <v>352</v>
      </c>
      <c r="M84" s="34" t="s">
        <v>353</v>
      </c>
      <c r="N84">
        <f t="shared" si="2"/>
        <v>29</v>
      </c>
    </row>
    <row r="85" spans="2:14" hidden="1" x14ac:dyDescent="0.25">
      <c r="B85" s="19">
        <v>1990</v>
      </c>
      <c r="C85" s="19" t="s">
        <v>360</v>
      </c>
      <c r="D85" s="38" t="s">
        <v>360</v>
      </c>
      <c r="E85" s="19" t="s">
        <v>461</v>
      </c>
      <c r="F85" s="19" t="s">
        <v>462</v>
      </c>
      <c r="G85" s="19" t="s">
        <v>360</v>
      </c>
      <c r="H85" s="44" t="s">
        <v>503</v>
      </c>
      <c r="I85" s="38" t="s">
        <v>360</v>
      </c>
      <c r="J85" s="45" t="s">
        <v>501</v>
      </c>
      <c r="K85" s="38" t="s">
        <v>360</v>
      </c>
      <c r="N85">
        <f t="shared" si="2"/>
        <v>3</v>
      </c>
    </row>
    <row r="86" spans="2:14" ht="30" x14ac:dyDescent="0.25">
      <c r="B86" s="19">
        <v>1991</v>
      </c>
      <c r="C86" s="19" t="s">
        <v>541</v>
      </c>
      <c r="D86" s="38" t="s">
        <v>515</v>
      </c>
      <c r="E86" s="19" t="s">
        <v>463</v>
      </c>
      <c r="F86" s="19" t="s">
        <v>464</v>
      </c>
      <c r="G86" s="19" t="s">
        <v>579</v>
      </c>
      <c r="H86" s="44" t="s">
        <v>504</v>
      </c>
      <c r="I86" s="38" t="s">
        <v>4</v>
      </c>
      <c r="J86" s="45" t="s">
        <v>505</v>
      </c>
      <c r="K86" s="38">
        <v>752</v>
      </c>
      <c r="N86">
        <f t="shared" si="2"/>
        <v>25</v>
      </c>
    </row>
    <row r="87" spans="2:14" hidden="1" x14ac:dyDescent="0.25">
      <c r="B87" s="19">
        <v>1992</v>
      </c>
      <c r="C87" s="19" t="s">
        <v>360</v>
      </c>
      <c r="D87" s="38" t="s">
        <v>360</v>
      </c>
      <c r="E87" s="19" t="s">
        <v>465</v>
      </c>
      <c r="F87" s="19" t="s">
        <v>466</v>
      </c>
      <c r="G87" s="19" t="s">
        <v>580</v>
      </c>
      <c r="H87" s="44" t="s">
        <v>503</v>
      </c>
      <c r="I87" s="38" t="s">
        <v>360</v>
      </c>
      <c r="J87" s="45" t="s">
        <v>501</v>
      </c>
      <c r="K87" s="38" t="s">
        <v>360</v>
      </c>
      <c r="N87">
        <f t="shared" si="2"/>
        <v>3</v>
      </c>
    </row>
    <row r="88" spans="2:14" x14ac:dyDescent="0.25">
      <c r="B88" s="19">
        <v>1993</v>
      </c>
      <c r="C88" s="19" t="s">
        <v>485</v>
      </c>
      <c r="D88" s="19" t="s">
        <v>490</v>
      </c>
      <c r="E88" s="19" t="s">
        <v>467</v>
      </c>
      <c r="F88" s="19" t="s">
        <v>468</v>
      </c>
      <c r="G88" s="19" t="s">
        <v>581</v>
      </c>
      <c r="H88" s="44" t="s">
        <v>498</v>
      </c>
      <c r="I88" s="38" t="s">
        <v>4</v>
      </c>
      <c r="J88" s="45" t="s">
        <v>502</v>
      </c>
      <c r="K88" s="19">
        <v>510</v>
      </c>
      <c r="N88">
        <f t="shared" si="2"/>
        <v>26</v>
      </c>
    </row>
    <row r="89" spans="2:14" x14ac:dyDescent="0.25">
      <c r="B89" s="19">
        <v>1994</v>
      </c>
      <c r="C89" s="19" t="s">
        <v>488</v>
      </c>
      <c r="D89" s="19" t="s">
        <v>487</v>
      </c>
      <c r="E89" s="19" t="s">
        <v>469</v>
      </c>
      <c r="F89" s="19" t="s">
        <v>470</v>
      </c>
      <c r="G89" s="19" t="s">
        <v>486</v>
      </c>
      <c r="H89" s="44"/>
      <c r="I89" s="38" t="s">
        <v>4</v>
      </c>
      <c r="J89" s="45"/>
      <c r="K89" s="19">
        <v>1994</v>
      </c>
      <c r="N89">
        <f t="shared" si="2"/>
        <v>28</v>
      </c>
    </row>
    <row r="90" spans="2:14" hidden="1" x14ac:dyDescent="0.25">
      <c r="B90" s="19">
        <v>1995</v>
      </c>
      <c r="C90" s="19" t="s">
        <v>360</v>
      </c>
      <c r="D90" s="38" t="s">
        <v>360</v>
      </c>
      <c r="E90" s="19" t="s">
        <v>471</v>
      </c>
      <c r="F90" s="19" t="s">
        <v>472</v>
      </c>
      <c r="G90" s="19" t="s">
        <v>360</v>
      </c>
      <c r="H90" s="44" t="s">
        <v>503</v>
      </c>
      <c r="I90" s="38" t="s">
        <v>360</v>
      </c>
      <c r="J90" s="45" t="s">
        <v>500</v>
      </c>
      <c r="K90" s="19">
        <v>1995</v>
      </c>
      <c r="N90">
        <f t="shared" si="2"/>
        <v>3</v>
      </c>
    </row>
    <row r="91" spans="2:14" hidden="1" x14ac:dyDescent="0.25">
      <c r="B91" s="19">
        <v>1998</v>
      </c>
      <c r="C91" s="19" t="s">
        <v>360</v>
      </c>
      <c r="D91" s="38" t="s">
        <v>360</v>
      </c>
      <c r="E91" s="19" t="s">
        <v>473</v>
      </c>
      <c r="F91" s="19" t="s">
        <v>474</v>
      </c>
      <c r="G91" s="19" t="s">
        <v>360</v>
      </c>
      <c r="H91" s="44" t="s">
        <v>503</v>
      </c>
      <c r="I91" s="38" t="s">
        <v>360</v>
      </c>
      <c r="J91" s="45" t="s">
        <v>500</v>
      </c>
      <c r="K91" s="19">
        <v>1998</v>
      </c>
      <c r="N91">
        <f t="shared" si="2"/>
        <v>3</v>
      </c>
    </row>
    <row r="92" spans="2:14" hidden="1" x14ac:dyDescent="0.25">
      <c r="B92" s="19">
        <v>1999</v>
      </c>
      <c r="C92" s="19" t="s">
        <v>360</v>
      </c>
      <c r="D92" s="38" t="s">
        <v>360</v>
      </c>
      <c r="E92" s="19" t="s">
        <v>475</v>
      </c>
      <c r="F92" s="19" t="s">
        <v>476</v>
      </c>
      <c r="G92" s="19" t="s">
        <v>360</v>
      </c>
      <c r="H92" s="44" t="s">
        <v>503</v>
      </c>
      <c r="I92" s="38" t="s">
        <v>360</v>
      </c>
      <c r="J92" s="45" t="s">
        <v>500</v>
      </c>
      <c r="K92" s="19">
        <v>1999</v>
      </c>
      <c r="N92">
        <f t="shared" si="2"/>
        <v>3</v>
      </c>
    </row>
    <row r="93" spans="2:14" hidden="1" x14ac:dyDescent="0.25">
      <c r="B93" s="19">
        <v>2006</v>
      </c>
      <c r="C93" s="19" t="s">
        <v>360</v>
      </c>
      <c r="D93" s="38" t="s">
        <v>360</v>
      </c>
      <c r="E93" s="19" t="s">
        <v>477</v>
      </c>
      <c r="F93" s="19" t="s">
        <v>478</v>
      </c>
      <c r="G93" s="19" t="s">
        <v>360</v>
      </c>
      <c r="H93" s="44" t="s">
        <v>503</v>
      </c>
      <c r="I93" s="38" t="s">
        <v>360</v>
      </c>
      <c r="J93" s="45" t="s">
        <v>500</v>
      </c>
      <c r="K93" s="19">
        <v>2006</v>
      </c>
      <c r="N93">
        <f t="shared" si="2"/>
        <v>3</v>
      </c>
    </row>
    <row r="94" spans="2:14" hidden="1" x14ac:dyDescent="0.25">
      <c r="B94" s="19">
        <v>2007</v>
      </c>
      <c r="C94" s="19" t="s">
        <v>360</v>
      </c>
      <c r="D94" s="38" t="s">
        <v>360</v>
      </c>
      <c r="E94" s="19" t="s">
        <v>479</v>
      </c>
      <c r="F94" s="19" t="s">
        <v>480</v>
      </c>
      <c r="G94" s="19" t="s">
        <v>360</v>
      </c>
      <c r="H94" s="44" t="s">
        <v>503</v>
      </c>
      <c r="I94" s="38" t="s">
        <v>360</v>
      </c>
      <c r="J94" s="45" t="s">
        <v>500</v>
      </c>
      <c r="K94" s="19">
        <v>2007</v>
      </c>
      <c r="N94">
        <f t="shared" si="2"/>
        <v>3</v>
      </c>
    </row>
    <row r="95" spans="2:14" hidden="1" x14ac:dyDescent="0.25">
      <c r="N95">
        <f t="shared" si="2"/>
        <v>0</v>
      </c>
    </row>
  </sheetData>
  <autoFilter ref="A3:N95" xr:uid="{00000000-0009-0000-0000-000001000000}">
    <filterColumn colId="8">
      <filters>
        <filter val="x"/>
      </filters>
    </filterColumn>
  </autoFilter>
  <conditionalFormatting sqref="H3:J3">
    <cfRule type="cellIs" dxfId="0" priority="1" operator="equal">
      <formula>"-"</formula>
    </cfRule>
  </conditionalFormatting>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History</vt:lpstr>
      <vt:lpstr>SXU ALP+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2025-02-03T08:08:48Z</dcterms:modified>
</cp:coreProperties>
</file>
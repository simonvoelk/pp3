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codeName="DieseArbeitsmappe" defaultThemeVersion="124226"/>
  <xr:revisionPtr revIDLastSave="0" documentId="13_ncr:1_{F0C343AE-9F84-44C7-824A-54C0399A5BCA}" xr6:coauthVersionLast="47" xr6:coauthVersionMax="47" xr10:uidLastSave="{00000000-0000-0000-0000-000000000000}"/>
  <bookViews>
    <workbookView xWindow="57480" yWindow="-1740" windowWidth="29040" windowHeight="17790" tabRatio="670" activeTab="1" xr2:uid="{00000000-000D-0000-FFFF-FFFF00000000}"/>
  </bookViews>
  <sheets>
    <sheet name="History" sheetId="1" r:id="rId1"/>
    <sheet name="MCS PV MMS-&gt;AIS" sheetId="2" r:id="rId2"/>
    <sheet name="Multi_Source_Mapping" sheetId="9" r:id="rId3"/>
    <sheet name="MCS PV AIS-&gt;MMS" sheetId="7" r:id="rId4"/>
    <sheet name="MCS HW MMS&lt;-&gt;AIS" sheetId="8" r:id="rId5"/>
  </sheets>
  <definedNames>
    <definedName name="_xlnm._FilterDatabase" localSheetId="3" hidden="1">'MCS PV AIS-&gt;MMS'!$B$3:$P$50</definedName>
    <definedName name="_xlnm._FilterDatabase" localSheetId="1" hidden="1">'MCS PV MMS-&gt;AIS'!$A$3:$AM$822</definedName>
    <definedName name="_xlnm._FilterDatabase" localSheetId="2" hidden="1">Multi_Source_Mapping!$A$1:$M$74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0" i="2" l="1"/>
  <c r="AD80" i="2"/>
  <c r="W89" i="2"/>
  <c r="X89" i="2"/>
  <c r="Y89" i="2"/>
  <c r="Z89" i="2"/>
  <c r="AA89" i="2"/>
  <c r="AB89" i="2"/>
  <c r="AC89" i="2"/>
  <c r="AD89" i="2"/>
  <c r="W5" i="2"/>
  <c r="X5" i="2"/>
  <c r="Y5" i="2"/>
  <c r="Z5" i="2"/>
  <c r="AA5" i="2"/>
  <c r="AB5" i="2"/>
  <c r="AC5" i="2"/>
  <c r="AD5" i="2"/>
  <c r="W6" i="2"/>
  <c r="X6" i="2"/>
  <c r="Y6" i="2"/>
  <c r="Z6" i="2"/>
  <c r="AA6" i="2"/>
  <c r="AB6" i="2"/>
  <c r="AC6" i="2"/>
  <c r="AD6" i="2"/>
  <c r="W7" i="2"/>
  <c r="X7" i="2"/>
  <c r="Y7" i="2"/>
  <c r="Z7" i="2"/>
  <c r="AA7" i="2"/>
  <c r="AB7" i="2"/>
  <c r="AC7" i="2"/>
  <c r="AD7" i="2"/>
  <c r="W8" i="2"/>
  <c r="X8" i="2"/>
  <c r="Y8" i="2"/>
  <c r="Z8" i="2"/>
  <c r="AA8" i="2"/>
  <c r="AB8" i="2"/>
  <c r="AC8" i="2"/>
  <c r="AD8" i="2"/>
  <c r="W9" i="2"/>
  <c r="X9" i="2"/>
  <c r="Y9" i="2"/>
  <c r="Z9" i="2"/>
  <c r="AA9" i="2"/>
  <c r="AB9" i="2"/>
  <c r="AC9" i="2"/>
  <c r="AD9" i="2"/>
  <c r="W10" i="2"/>
  <c r="X10" i="2"/>
  <c r="Y10" i="2"/>
  <c r="Z10" i="2"/>
  <c r="AA10" i="2"/>
  <c r="AB10" i="2"/>
  <c r="AC10" i="2"/>
  <c r="AD10" i="2"/>
  <c r="W11" i="2"/>
  <c r="X11" i="2"/>
  <c r="Y11" i="2"/>
  <c r="Z11" i="2"/>
  <c r="AA11" i="2"/>
  <c r="AB11" i="2"/>
  <c r="AC11" i="2"/>
  <c r="AD11" i="2"/>
  <c r="W12" i="2"/>
  <c r="X12" i="2"/>
  <c r="Y12" i="2"/>
  <c r="Z12" i="2"/>
  <c r="AA12" i="2"/>
  <c r="AB12" i="2"/>
  <c r="AC12" i="2"/>
  <c r="AD12" i="2"/>
  <c r="W13" i="2"/>
  <c r="X13" i="2"/>
  <c r="Y13" i="2"/>
  <c r="Z13" i="2"/>
  <c r="AA13" i="2"/>
  <c r="AB13" i="2"/>
  <c r="AC13" i="2"/>
  <c r="AD13" i="2"/>
  <c r="W14" i="2"/>
  <c r="X14" i="2"/>
  <c r="Y14" i="2"/>
  <c r="Z14" i="2"/>
  <c r="AA14" i="2"/>
  <c r="AB14" i="2"/>
  <c r="AC14" i="2"/>
  <c r="AD14" i="2"/>
  <c r="W15" i="2"/>
  <c r="X15" i="2"/>
  <c r="Y15" i="2"/>
  <c r="Z15" i="2"/>
  <c r="AA15" i="2"/>
  <c r="AB15" i="2"/>
  <c r="AC15" i="2"/>
  <c r="AD15" i="2"/>
  <c r="W16" i="2"/>
  <c r="X16" i="2"/>
  <c r="Y16" i="2"/>
  <c r="Z16" i="2"/>
  <c r="AA16" i="2"/>
  <c r="AB16" i="2"/>
  <c r="AC16" i="2"/>
  <c r="AD16" i="2"/>
  <c r="W17" i="2"/>
  <c r="X17" i="2"/>
  <c r="Y17" i="2"/>
  <c r="Z17" i="2"/>
  <c r="AA17" i="2"/>
  <c r="AB17" i="2"/>
  <c r="AC17" i="2"/>
  <c r="AD17" i="2"/>
  <c r="W18" i="2"/>
  <c r="X18" i="2"/>
  <c r="Y18" i="2"/>
  <c r="Z18" i="2"/>
  <c r="AA18" i="2"/>
  <c r="AB18" i="2"/>
  <c r="AC18" i="2"/>
  <c r="AD18" i="2"/>
  <c r="W19" i="2"/>
  <c r="X19" i="2"/>
  <c r="Y19" i="2"/>
  <c r="Z19" i="2"/>
  <c r="AA19" i="2"/>
  <c r="AB19" i="2"/>
  <c r="AC19" i="2"/>
  <c r="AD19" i="2"/>
  <c r="W20" i="2"/>
  <c r="X20" i="2"/>
  <c r="Y20" i="2"/>
  <c r="Z20" i="2"/>
  <c r="AA20" i="2"/>
  <c r="AB20" i="2"/>
  <c r="AC20" i="2"/>
  <c r="AD20" i="2"/>
  <c r="W21" i="2"/>
  <c r="X21" i="2"/>
  <c r="Y21" i="2"/>
  <c r="Z21" i="2"/>
  <c r="AA21" i="2"/>
  <c r="AB21" i="2"/>
  <c r="AC21" i="2"/>
  <c r="AD21" i="2"/>
  <c r="W22" i="2"/>
  <c r="X22" i="2"/>
  <c r="Y22" i="2"/>
  <c r="Z22" i="2"/>
  <c r="AA22" i="2"/>
  <c r="AB22" i="2"/>
  <c r="AC22" i="2"/>
  <c r="AD22" i="2"/>
  <c r="W23" i="2"/>
  <c r="X23" i="2"/>
  <c r="Y23" i="2"/>
  <c r="Z23" i="2"/>
  <c r="AA23" i="2"/>
  <c r="AB23" i="2"/>
  <c r="AC23" i="2"/>
  <c r="AD23" i="2"/>
  <c r="W24" i="2"/>
  <c r="X24" i="2"/>
  <c r="Y24" i="2"/>
  <c r="Z24" i="2"/>
  <c r="AA24" i="2"/>
  <c r="AB24" i="2"/>
  <c r="AC24" i="2"/>
  <c r="AD24" i="2"/>
  <c r="W25" i="2"/>
  <c r="X25" i="2"/>
  <c r="Y25" i="2"/>
  <c r="Z25" i="2"/>
  <c r="AA25" i="2"/>
  <c r="AB25" i="2"/>
  <c r="AC25" i="2"/>
  <c r="AD25" i="2"/>
  <c r="W26" i="2"/>
  <c r="X26" i="2"/>
  <c r="Y26" i="2"/>
  <c r="Z26" i="2"/>
  <c r="AA26" i="2"/>
  <c r="AB26" i="2"/>
  <c r="AC26" i="2"/>
  <c r="AD26" i="2"/>
  <c r="W27" i="2"/>
  <c r="X27" i="2"/>
  <c r="Y27" i="2"/>
  <c r="Z27" i="2"/>
  <c r="AA27" i="2"/>
  <c r="AB27" i="2"/>
  <c r="AC27" i="2"/>
  <c r="AD27" i="2"/>
  <c r="W28" i="2"/>
  <c r="X28" i="2"/>
  <c r="Y28" i="2"/>
  <c r="Z28" i="2"/>
  <c r="AA28" i="2"/>
  <c r="AB28" i="2"/>
  <c r="AC28" i="2"/>
  <c r="AD28" i="2"/>
  <c r="W29" i="2"/>
  <c r="X29" i="2"/>
  <c r="Y29" i="2"/>
  <c r="Z29" i="2"/>
  <c r="AA29" i="2"/>
  <c r="AB29" i="2"/>
  <c r="AC29" i="2"/>
  <c r="AD29" i="2"/>
  <c r="W30" i="2"/>
  <c r="X30" i="2"/>
  <c r="Y30" i="2"/>
  <c r="Z30" i="2"/>
  <c r="AA30" i="2"/>
  <c r="AB30" i="2"/>
  <c r="AC30" i="2"/>
  <c r="AD30" i="2"/>
  <c r="W31" i="2"/>
  <c r="X31" i="2"/>
  <c r="Y31" i="2"/>
  <c r="Z31" i="2"/>
  <c r="AA31" i="2"/>
  <c r="AB31" i="2"/>
  <c r="AC31" i="2"/>
  <c r="AD31" i="2"/>
  <c r="W32" i="2"/>
  <c r="X32" i="2"/>
  <c r="Y32" i="2"/>
  <c r="Z32" i="2"/>
  <c r="AA32" i="2"/>
  <c r="AB32" i="2"/>
  <c r="AC32" i="2"/>
  <c r="AD32" i="2"/>
  <c r="W33" i="2"/>
  <c r="X33" i="2"/>
  <c r="Y33" i="2"/>
  <c r="Z33" i="2"/>
  <c r="AA33" i="2"/>
  <c r="AB33" i="2"/>
  <c r="AC33" i="2"/>
  <c r="AD33" i="2"/>
  <c r="W34" i="2"/>
  <c r="X34" i="2"/>
  <c r="Y34" i="2"/>
  <c r="Z34" i="2"/>
  <c r="AA34" i="2"/>
  <c r="AB34" i="2"/>
  <c r="AC34" i="2"/>
  <c r="AD34" i="2"/>
  <c r="W35" i="2"/>
  <c r="X35" i="2"/>
  <c r="Y35" i="2"/>
  <c r="Z35" i="2"/>
  <c r="AA35" i="2"/>
  <c r="AB35" i="2"/>
  <c r="AC35" i="2"/>
  <c r="AD35" i="2"/>
  <c r="W36" i="2"/>
  <c r="X36" i="2"/>
  <c r="Y36" i="2"/>
  <c r="Z36" i="2"/>
  <c r="AA36" i="2"/>
  <c r="AB36" i="2"/>
  <c r="AC36" i="2"/>
  <c r="AD36" i="2"/>
  <c r="W37" i="2"/>
  <c r="X37" i="2"/>
  <c r="Y37" i="2"/>
  <c r="Z37" i="2"/>
  <c r="AA37" i="2"/>
  <c r="AB37" i="2"/>
  <c r="AC37" i="2"/>
  <c r="AD37" i="2"/>
  <c r="W38" i="2"/>
  <c r="X38" i="2"/>
  <c r="Y38" i="2"/>
  <c r="Z38" i="2"/>
  <c r="AA38" i="2"/>
  <c r="AB38" i="2"/>
  <c r="AC38" i="2"/>
  <c r="AD38" i="2"/>
  <c r="W39" i="2"/>
  <c r="X39" i="2"/>
  <c r="Y39" i="2"/>
  <c r="Z39" i="2"/>
  <c r="AA39" i="2"/>
  <c r="AB39" i="2"/>
  <c r="AC39" i="2"/>
  <c r="AD39" i="2"/>
  <c r="W40" i="2"/>
  <c r="X40" i="2"/>
  <c r="Y40" i="2"/>
  <c r="Z40" i="2"/>
  <c r="AA40" i="2"/>
  <c r="AB40" i="2"/>
  <c r="AC40" i="2"/>
  <c r="AD40" i="2"/>
  <c r="W41" i="2"/>
  <c r="X41" i="2"/>
  <c r="Y41" i="2"/>
  <c r="Z41" i="2"/>
  <c r="AA41" i="2"/>
  <c r="AB41" i="2"/>
  <c r="AC41" i="2"/>
  <c r="AD41" i="2"/>
  <c r="W42" i="2"/>
  <c r="X42" i="2"/>
  <c r="Y42" i="2"/>
  <c r="Z42" i="2"/>
  <c r="AA42" i="2"/>
  <c r="AB42" i="2"/>
  <c r="AC42" i="2"/>
  <c r="AD42" i="2"/>
  <c r="W43" i="2"/>
  <c r="X43" i="2"/>
  <c r="Y43" i="2"/>
  <c r="Z43" i="2"/>
  <c r="AA43" i="2"/>
  <c r="AB43" i="2"/>
  <c r="AC43" i="2"/>
  <c r="AD43" i="2"/>
  <c r="W44" i="2"/>
  <c r="X44" i="2"/>
  <c r="Y44" i="2"/>
  <c r="Z44" i="2"/>
  <c r="AA44" i="2"/>
  <c r="AB44" i="2"/>
  <c r="AC44" i="2"/>
  <c r="AD44" i="2"/>
  <c r="W45" i="2"/>
  <c r="X45" i="2"/>
  <c r="Y45" i="2"/>
  <c r="Z45" i="2"/>
  <c r="AA45" i="2"/>
  <c r="AB45" i="2"/>
  <c r="AC45" i="2"/>
  <c r="AD45" i="2"/>
  <c r="W46" i="2"/>
  <c r="X46" i="2"/>
  <c r="Y46" i="2"/>
  <c r="Z46" i="2"/>
  <c r="AA46" i="2"/>
  <c r="AB46" i="2"/>
  <c r="AC46" i="2"/>
  <c r="AD46" i="2"/>
  <c r="W47" i="2"/>
  <c r="X47" i="2"/>
  <c r="Y47" i="2"/>
  <c r="Z47" i="2"/>
  <c r="AA47" i="2"/>
  <c r="AB47" i="2"/>
  <c r="AC47" i="2"/>
  <c r="AD47" i="2"/>
  <c r="W48" i="2"/>
  <c r="X48" i="2"/>
  <c r="Y48" i="2"/>
  <c r="Z48" i="2"/>
  <c r="AA48" i="2"/>
  <c r="AB48" i="2"/>
  <c r="AC48" i="2"/>
  <c r="AD48" i="2"/>
  <c r="W49" i="2"/>
  <c r="X49" i="2"/>
  <c r="Y49" i="2"/>
  <c r="Z49" i="2"/>
  <c r="AA49" i="2"/>
  <c r="AB49" i="2"/>
  <c r="AC49" i="2"/>
  <c r="AD49" i="2"/>
  <c r="W50" i="2"/>
  <c r="X50" i="2"/>
  <c r="Y50" i="2"/>
  <c r="Z50" i="2"/>
  <c r="AA50" i="2"/>
  <c r="AB50" i="2"/>
  <c r="AC50" i="2"/>
  <c r="AD50" i="2"/>
  <c r="W51" i="2"/>
  <c r="X51" i="2"/>
  <c r="Y51" i="2"/>
  <c r="Z51" i="2"/>
  <c r="AA51" i="2"/>
  <c r="AB51" i="2"/>
  <c r="AC51" i="2"/>
  <c r="AD51" i="2"/>
  <c r="W52" i="2"/>
  <c r="X52" i="2"/>
  <c r="Y52" i="2"/>
  <c r="Z52" i="2"/>
  <c r="AA52" i="2"/>
  <c r="AB52" i="2"/>
  <c r="AC52" i="2"/>
  <c r="AD52" i="2"/>
  <c r="W53" i="2"/>
  <c r="X53" i="2"/>
  <c r="Y53" i="2"/>
  <c r="Z53" i="2"/>
  <c r="AA53" i="2"/>
  <c r="AB53" i="2"/>
  <c r="AC53" i="2"/>
  <c r="AD53" i="2"/>
  <c r="W54" i="2"/>
  <c r="X54" i="2"/>
  <c r="Y54" i="2"/>
  <c r="Z54" i="2"/>
  <c r="AA54" i="2"/>
  <c r="AB54" i="2"/>
  <c r="AC54" i="2"/>
  <c r="AD54" i="2"/>
  <c r="W55" i="2"/>
  <c r="X55" i="2"/>
  <c r="Y55" i="2"/>
  <c r="Z55" i="2"/>
  <c r="AA55" i="2"/>
  <c r="AB55" i="2"/>
  <c r="AC55" i="2"/>
  <c r="AD55" i="2"/>
  <c r="W56" i="2"/>
  <c r="X56" i="2"/>
  <c r="Y56" i="2"/>
  <c r="Z56" i="2"/>
  <c r="AA56" i="2"/>
  <c r="AB56" i="2"/>
  <c r="AC56" i="2"/>
  <c r="AD56" i="2"/>
  <c r="W57" i="2"/>
  <c r="X57" i="2"/>
  <c r="Y57" i="2"/>
  <c r="Z57" i="2"/>
  <c r="AA57" i="2"/>
  <c r="AB57" i="2"/>
  <c r="AC57" i="2"/>
  <c r="AD57" i="2"/>
  <c r="W58" i="2"/>
  <c r="X58" i="2"/>
  <c r="Y58" i="2"/>
  <c r="Z58" i="2"/>
  <c r="AA58" i="2"/>
  <c r="AB58" i="2"/>
  <c r="AC58" i="2"/>
  <c r="AD58" i="2"/>
  <c r="W59" i="2"/>
  <c r="X59" i="2"/>
  <c r="Y59" i="2"/>
  <c r="Z59" i="2"/>
  <c r="AA59" i="2"/>
  <c r="AB59" i="2"/>
  <c r="AC59" i="2"/>
  <c r="AD59" i="2"/>
  <c r="W62" i="2"/>
  <c r="X62" i="2"/>
  <c r="Y62" i="2"/>
  <c r="Z62" i="2"/>
  <c r="AA62" i="2"/>
  <c r="AB62" i="2"/>
  <c r="AC62" i="2"/>
  <c r="AD62" i="2"/>
  <c r="W63" i="2"/>
  <c r="X63" i="2"/>
  <c r="Y63" i="2"/>
  <c r="Z63" i="2"/>
  <c r="AA63" i="2"/>
  <c r="AB63" i="2"/>
  <c r="AC63" i="2"/>
  <c r="AD63" i="2"/>
  <c r="W64" i="2"/>
  <c r="X64" i="2"/>
  <c r="Y64" i="2"/>
  <c r="Z64" i="2"/>
  <c r="AA64" i="2"/>
  <c r="AB64" i="2"/>
  <c r="AC64" i="2"/>
  <c r="AD64" i="2"/>
  <c r="W65" i="2"/>
  <c r="X65" i="2"/>
  <c r="Y65" i="2"/>
  <c r="Z65" i="2"/>
  <c r="AA65" i="2"/>
  <c r="AB65" i="2"/>
  <c r="AC65" i="2"/>
  <c r="AD65" i="2"/>
  <c r="W66" i="2"/>
  <c r="X66" i="2"/>
  <c r="Y66" i="2"/>
  <c r="Z66" i="2"/>
  <c r="AA66" i="2"/>
  <c r="AB66" i="2"/>
  <c r="AC66" i="2"/>
  <c r="AD66" i="2"/>
  <c r="W67" i="2"/>
  <c r="X67" i="2"/>
  <c r="Y67" i="2"/>
  <c r="Z67" i="2"/>
  <c r="AA67" i="2"/>
  <c r="AB67" i="2"/>
  <c r="AC67" i="2"/>
  <c r="AD67" i="2"/>
  <c r="W70" i="2"/>
  <c r="X70" i="2"/>
  <c r="Y70" i="2"/>
  <c r="Z70" i="2"/>
  <c r="AA70" i="2"/>
  <c r="AB70" i="2"/>
  <c r="AC70" i="2"/>
  <c r="AD70" i="2"/>
  <c r="W71" i="2"/>
  <c r="X71" i="2"/>
  <c r="Y71" i="2"/>
  <c r="Z71" i="2"/>
  <c r="AA71" i="2"/>
  <c r="AB71" i="2"/>
  <c r="AC71" i="2"/>
  <c r="AD71" i="2"/>
  <c r="W72" i="2"/>
  <c r="X72" i="2"/>
  <c r="Y72" i="2"/>
  <c r="Z72" i="2"/>
  <c r="AA72" i="2"/>
  <c r="AB72" i="2"/>
  <c r="AC72" i="2"/>
  <c r="AD72" i="2"/>
  <c r="W73" i="2"/>
  <c r="X73" i="2"/>
  <c r="Y73" i="2"/>
  <c r="Z73" i="2"/>
  <c r="AA73" i="2"/>
  <c r="AB73" i="2"/>
  <c r="AC73" i="2"/>
  <c r="AD73" i="2"/>
  <c r="W74" i="2"/>
  <c r="X74" i="2"/>
  <c r="Y74" i="2"/>
  <c r="Z74" i="2"/>
  <c r="AA74" i="2"/>
  <c r="AB74" i="2"/>
  <c r="AC74" i="2"/>
  <c r="AD74" i="2"/>
  <c r="W75" i="2"/>
  <c r="X75" i="2"/>
  <c r="Y75" i="2"/>
  <c r="Z75" i="2"/>
  <c r="AA75" i="2"/>
  <c r="AB75" i="2"/>
  <c r="AC75" i="2"/>
  <c r="AD75" i="2"/>
  <c r="W77" i="2"/>
  <c r="X77" i="2"/>
  <c r="Y77" i="2"/>
  <c r="Z77" i="2"/>
  <c r="AA77" i="2"/>
  <c r="AB77" i="2"/>
  <c r="AC77" i="2"/>
  <c r="AD77" i="2"/>
  <c r="W78" i="2"/>
  <c r="X78" i="2"/>
  <c r="Y78" i="2"/>
  <c r="Z78" i="2"/>
  <c r="AA78" i="2"/>
  <c r="AB78" i="2"/>
  <c r="AC78" i="2"/>
  <c r="AD78" i="2"/>
  <c r="W79" i="2"/>
  <c r="X79" i="2"/>
  <c r="Y79" i="2"/>
  <c r="Z79" i="2"/>
  <c r="AA79" i="2"/>
  <c r="AB79" i="2"/>
  <c r="AC79" i="2"/>
  <c r="AD79" i="2"/>
  <c r="W82" i="2"/>
  <c r="X82" i="2"/>
  <c r="Y82" i="2"/>
  <c r="Z82" i="2"/>
  <c r="AA82" i="2"/>
  <c r="AB82" i="2"/>
  <c r="AC82" i="2"/>
  <c r="AD82" i="2"/>
  <c r="W83" i="2"/>
  <c r="X83" i="2"/>
  <c r="Y83" i="2"/>
  <c r="Z83" i="2"/>
  <c r="AA83" i="2"/>
  <c r="AB83" i="2"/>
  <c r="AC83" i="2"/>
  <c r="AD83" i="2"/>
  <c r="W84" i="2"/>
  <c r="X84" i="2"/>
  <c r="Y84" i="2"/>
  <c r="Z84" i="2"/>
  <c r="AA84" i="2"/>
  <c r="AB84" i="2"/>
  <c r="AC84" i="2"/>
  <c r="AD84" i="2"/>
  <c r="W86" i="2"/>
  <c r="X86" i="2"/>
  <c r="Y86" i="2"/>
  <c r="Z86" i="2"/>
  <c r="AA86" i="2"/>
  <c r="AB86" i="2"/>
  <c r="AC86" i="2"/>
  <c r="AD86" i="2"/>
  <c r="W87" i="2"/>
  <c r="X87" i="2"/>
  <c r="Y87" i="2"/>
  <c r="Z87" i="2"/>
  <c r="AA87" i="2"/>
  <c r="AB87" i="2"/>
  <c r="AC87" i="2"/>
  <c r="AD87" i="2"/>
  <c r="W88" i="2"/>
  <c r="X88" i="2"/>
  <c r="Y88" i="2"/>
  <c r="Z88" i="2"/>
  <c r="AA88" i="2"/>
  <c r="AB88" i="2"/>
  <c r="AC88" i="2"/>
  <c r="AD88" i="2"/>
  <c r="W91" i="2"/>
  <c r="X91" i="2"/>
  <c r="Y91" i="2"/>
  <c r="Z91" i="2"/>
  <c r="AA91" i="2"/>
  <c r="AB91" i="2"/>
  <c r="AC91" i="2"/>
  <c r="AD91" i="2"/>
  <c r="W92" i="2"/>
  <c r="X92" i="2"/>
  <c r="Y92" i="2"/>
  <c r="Z92" i="2"/>
  <c r="AA92" i="2"/>
  <c r="AB92" i="2"/>
  <c r="AC92" i="2"/>
  <c r="AD92" i="2"/>
  <c r="W93" i="2"/>
  <c r="X93" i="2"/>
  <c r="Y93" i="2"/>
  <c r="Z93" i="2"/>
  <c r="AA93" i="2"/>
  <c r="AB93" i="2"/>
  <c r="AC93" i="2"/>
  <c r="AD93" i="2"/>
  <c r="W94" i="2"/>
  <c r="X94" i="2"/>
  <c r="Y94" i="2"/>
  <c r="Z94" i="2"/>
  <c r="AA94" i="2"/>
  <c r="AB94" i="2"/>
  <c r="AC94" i="2"/>
  <c r="AD94" i="2"/>
  <c r="W95" i="2"/>
  <c r="X95" i="2"/>
  <c r="Y95" i="2"/>
  <c r="Z95" i="2"/>
  <c r="AA95" i="2"/>
  <c r="AB95" i="2"/>
  <c r="AC95" i="2"/>
  <c r="AD95" i="2"/>
  <c r="W96" i="2"/>
  <c r="X96" i="2"/>
  <c r="Y96" i="2"/>
  <c r="Z96" i="2"/>
  <c r="AA96" i="2"/>
  <c r="AB96" i="2"/>
  <c r="AC96" i="2"/>
  <c r="AD96" i="2"/>
  <c r="W97" i="2"/>
  <c r="X97" i="2"/>
  <c r="Y97" i="2"/>
  <c r="Z97" i="2"/>
  <c r="AA97" i="2"/>
  <c r="AB97" i="2"/>
  <c r="AC97" i="2"/>
  <c r="AD97" i="2"/>
  <c r="W98" i="2"/>
  <c r="X98" i="2"/>
  <c r="Y98" i="2"/>
  <c r="Z98" i="2"/>
  <c r="AA98" i="2"/>
  <c r="AB98" i="2"/>
  <c r="AC98" i="2"/>
  <c r="AD98" i="2"/>
  <c r="W99" i="2"/>
  <c r="X99" i="2"/>
  <c r="Y99" i="2"/>
  <c r="Z99" i="2"/>
  <c r="AA99" i="2"/>
  <c r="AB99" i="2"/>
  <c r="AC99" i="2"/>
  <c r="AD99" i="2"/>
  <c r="W100" i="2"/>
  <c r="X100" i="2"/>
  <c r="Y100" i="2"/>
  <c r="Z100" i="2"/>
  <c r="AA100" i="2"/>
  <c r="AB100" i="2"/>
  <c r="AC100" i="2"/>
  <c r="AD100" i="2"/>
  <c r="W101" i="2"/>
  <c r="X101" i="2"/>
  <c r="Y101" i="2"/>
  <c r="Z101" i="2"/>
  <c r="AA101" i="2"/>
  <c r="AB101" i="2"/>
  <c r="AC101" i="2"/>
  <c r="AD101" i="2"/>
  <c r="W102" i="2"/>
  <c r="X102" i="2"/>
  <c r="Y102" i="2"/>
  <c r="Z102" i="2"/>
  <c r="AA102" i="2"/>
  <c r="AB102" i="2"/>
  <c r="AC102" i="2"/>
  <c r="AD102" i="2"/>
  <c r="W103" i="2"/>
  <c r="X103" i="2"/>
  <c r="Y103" i="2"/>
  <c r="Z103" i="2"/>
  <c r="AA103" i="2"/>
  <c r="AB103" i="2"/>
  <c r="AC103" i="2"/>
  <c r="AD103" i="2"/>
  <c r="W104" i="2"/>
  <c r="X104" i="2"/>
  <c r="Y104" i="2"/>
  <c r="Z104" i="2"/>
  <c r="AA104" i="2"/>
  <c r="AB104" i="2"/>
  <c r="AC104" i="2"/>
  <c r="AD104" i="2"/>
  <c r="W105" i="2"/>
  <c r="X105" i="2"/>
  <c r="Y105" i="2"/>
  <c r="Z105" i="2"/>
  <c r="AA105" i="2"/>
  <c r="AB105" i="2"/>
  <c r="AC105" i="2"/>
  <c r="AD105" i="2"/>
  <c r="W106" i="2"/>
  <c r="X106" i="2"/>
  <c r="Y106" i="2"/>
  <c r="Z106" i="2"/>
  <c r="AA106" i="2"/>
  <c r="AB106" i="2"/>
  <c r="AC106" i="2"/>
  <c r="AD106" i="2"/>
  <c r="W107" i="2"/>
  <c r="X107" i="2"/>
  <c r="Y107" i="2"/>
  <c r="Z107" i="2"/>
  <c r="AA107" i="2"/>
  <c r="AB107" i="2"/>
  <c r="AC107" i="2"/>
  <c r="AD107" i="2"/>
  <c r="W108" i="2"/>
  <c r="X108" i="2"/>
  <c r="Y108" i="2"/>
  <c r="Z108" i="2"/>
  <c r="AA108" i="2"/>
  <c r="AB108" i="2"/>
  <c r="AC108" i="2"/>
  <c r="AD108" i="2"/>
  <c r="W109" i="2"/>
  <c r="X109" i="2"/>
  <c r="Y109" i="2"/>
  <c r="Z109" i="2"/>
  <c r="AA109" i="2"/>
  <c r="AB109" i="2"/>
  <c r="AC109" i="2"/>
  <c r="AD109" i="2"/>
  <c r="W110" i="2"/>
  <c r="X110" i="2"/>
  <c r="Y110" i="2"/>
  <c r="Z110" i="2"/>
  <c r="AA110" i="2"/>
  <c r="AB110" i="2"/>
  <c r="AC110" i="2"/>
  <c r="AD110" i="2"/>
  <c r="W111" i="2"/>
  <c r="X111" i="2"/>
  <c r="Y111" i="2"/>
  <c r="Z111" i="2"/>
  <c r="AA111" i="2"/>
  <c r="AB111" i="2"/>
  <c r="AC111" i="2"/>
  <c r="AD111" i="2"/>
  <c r="W112" i="2"/>
  <c r="X112" i="2"/>
  <c r="Y112" i="2"/>
  <c r="Z112" i="2"/>
  <c r="AA112" i="2"/>
  <c r="AB112" i="2"/>
  <c r="AC112" i="2"/>
  <c r="AD112" i="2"/>
  <c r="W113" i="2"/>
  <c r="X113" i="2"/>
  <c r="Y113" i="2"/>
  <c r="Z113" i="2"/>
  <c r="AA113" i="2"/>
  <c r="AB113" i="2"/>
  <c r="AC113" i="2"/>
  <c r="AD113" i="2"/>
  <c r="W115" i="2"/>
  <c r="X115" i="2"/>
  <c r="Y115" i="2"/>
  <c r="Z115" i="2"/>
  <c r="AA115" i="2"/>
  <c r="AB115" i="2"/>
  <c r="AC115" i="2"/>
  <c r="AD115" i="2"/>
  <c r="W116" i="2"/>
  <c r="X116" i="2"/>
  <c r="Y116" i="2"/>
  <c r="Z116" i="2"/>
  <c r="AA116" i="2"/>
  <c r="AB116" i="2"/>
  <c r="AC116" i="2"/>
  <c r="AD116" i="2"/>
  <c r="W117" i="2"/>
  <c r="X117" i="2"/>
  <c r="Y117" i="2"/>
  <c r="Z117" i="2"/>
  <c r="AA117" i="2"/>
  <c r="AB117" i="2"/>
  <c r="AC117" i="2"/>
  <c r="AD117" i="2"/>
  <c r="W118" i="2"/>
  <c r="X118" i="2"/>
  <c r="Y118" i="2"/>
  <c r="Z118" i="2"/>
  <c r="AA118" i="2"/>
  <c r="AB118" i="2"/>
  <c r="AC118" i="2"/>
  <c r="AD118" i="2"/>
  <c r="W119" i="2"/>
  <c r="X119" i="2"/>
  <c r="Y119" i="2"/>
  <c r="Z119" i="2"/>
  <c r="AA119" i="2"/>
  <c r="AB119" i="2"/>
  <c r="AC119" i="2"/>
  <c r="AD119" i="2"/>
  <c r="W120" i="2"/>
  <c r="X120" i="2"/>
  <c r="Y120" i="2"/>
  <c r="Z120" i="2"/>
  <c r="AA120" i="2"/>
  <c r="AB120" i="2"/>
  <c r="AC120" i="2"/>
  <c r="AD120" i="2"/>
  <c r="W121" i="2"/>
  <c r="X121" i="2"/>
  <c r="Y121" i="2"/>
  <c r="Z121" i="2"/>
  <c r="AA121" i="2"/>
  <c r="AB121" i="2"/>
  <c r="AC121" i="2"/>
  <c r="AD121" i="2"/>
  <c r="W122" i="2"/>
  <c r="X122" i="2"/>
  <c r="Y122" i="2"/>
  <c r="Z122" i="2"/>
  <c r="AA122" i="2"/>
  <c r="AB122" i="2"/>
  <c r="AC122" i="2"/>
  <c r="AD122" i="2"/>
  <c r="W123" i="2"/>
  <c r="X123" i="2"/>
  <c r="Y123" i="2"/>
  <c r="Z123" i="2"/>
  <c r="AA123" i="2"/>
  <c r="AB123" i="2"/>
  <c r="AC123" i="2"/>
  <c r="AD123" i="2"/>
  <c r="W124" i="2"/>
  <c r="X124" i="2"/>
  <c r="Y124" i="2"/>
  <c r="Z124" i="2"/>
  <c r="AA124" i="2"/>
  <c r="AB124" i="2"/>
  <c r="AC124" i="2"/>
  <c r="AD124" i="2"/>
  <c r="W125" i="2"/>
  <c r="X125" i="2"/>
  <c r="Y125" i="2"/>
  <c r="Z125" i="2"/>
  <c r="AA125" i="2"/>
  <c r="AB125" i="2"/>
  <c r="AC125" i="2"/>
  <c r="AD125" i="2"/>
  <c r="W126" i="2"/>
  <c r="X126" i="2"/>
  <c r="Y126" i="2"/>
  <c r="Z126" i="2"/>
  <c r="AA126" i="2"/>
  <c r="AB126" i="2"/>
  <c r="AC126" i="2"/>
  <c r="AD126" i="2"/>
  <c r="W127" i="2"/>
  <c r="X127" i="2"/>
  <c r="Y127" i="2"/>
  <c r="Z127" i="2"/>
  <c r="AA127" i="2"/>
  <c r="AB127" i="2"/>
  <c r="AC127" i="2"/>
  <c r="AD127" i="2"/>
  <c r="W128" i="2"/>
  <c r="X128" i="2"/>
  <c r="Y128" i="2"/>
  <c r="Z128" i="2"/>
  <c r="AA128" i="2"/>
  <c r="AB128" i="2"/>
  <c r="AC128" i="2"/>
  <c r="AD128" i="2"/>
  <c r="W129" i="2"/>
  <c r="X129" i="2"/>
  <c r="Y129" i="2"/>
  <c r="Z129" i="2"/>
  <c r="AA129" i="2"/>
  <c r="AB129" i="2"/>
  <c r="AC129" i="2"/>
  <c r="AD129" i="2"/>
  <c r="W130" i="2"/>
  <c r="X130" i="2"/>
  <c r="Y130" i="2"/>
  <c r="Z130" i="2"/>
  <c r="AA130" i="2"/>
  <c r="AB130" i="2"/>
  <c r="AC130" i="2"/>
  <c r="AD130" i="2"/>
  <c r="W131" i="2"/>
  <c r="X131" i="2"/>
  <c r="Y131" i="2"/>
  <c r="Z131" i="2"/>
  <c r="AA131" i="2"/>
  <c r="AB131" i="2"/>
  <c r="AC131" i="2"/>
  <c r="AD131" i="2"/>
  <c r="W132" i="2"/>
  <c r="X132" i="2"/>
  <c r="Y132" i="2"/>
  <c r="Z132" i="2"/>
  <c r="AA132" i="2"/>
  <c r="AB132" i="2"/>
  <c r="AC132" i="2"/>
  <c r="AD132" i="2"/>
  <c r="W133" i="2"/>
  <c r="X133" i="2"/>
  <c r="Y133" i="2"/>
  <c r="Z133" i="2"/>
  <c r="AA133" i="2"/>
  <c r="AB133" i="2"/>
  <c r="AC133" i="2"/>
  <c r="AD133" i="2"/>
  <c r="W134" i="2"/>
  <c r="X134" i="2"/>
  <c r="Y134" i="2"/>
  <c r="Z134" i="2"/>
  <c r="AA134" i="2"/>
  <c r="AB134" i="2"/>
  <c r="AC134" i="2"/>
  <c r="AD134" i="2"/>
  <c r="W135" i="2"/>
  <c r="X135" i="2"/>
  <c r="Y135" i="2"/>
  <c r="Z135" i="2"/>
  <c r="AA135" i="2"/>
  <c r="AB135" i="2"/>
  <c r="AC135" i="2"/>
  <c r="AD135" i="2"/>
  <c r="W136" i="2"/>
  <c r="X136" i="2"/>
  <c r="Y136" i="2"/>
  <c r="Z136" i="2"/>
  <c r="AA136" i="2"/>
  <c r="AB136" i="2"/>
  <c r="AC136" i="2"/>
  <c r="AD136" i="2"/>
  <c r="W137" i="2"/>
  <c r="X137" i="2"/>
  <c r="Y137" i="2"/>
  <c r="Z137" i="2"/>
  <c r="AA137" i="2"/>
  <c r="AB137" i="2"/>
  <c r="AC137" i="2"/>
  <c r="AD137" i="2"/>
  <c r="W138" i="2"/>
  <c r="X138" i="2"/>
  <c r="Y138" i="2"/>
  <c r="Z138" i="2"/>
  <c r="AA138" i="2"/>
  <c r="AB138" i="2"/>
  <c r="AC138" i="2"/>
  <c r="AD138" i="2"/>
  <c r="W140" i="2"/>
  <c r="X140" i="2"/>
  <c r="Y140" i="2"/>
  <c r="Z140" i="2"/>
  <c r="AA140" i="2"/>
  <c r="AB140" i="2"/>
  <c r="AC140" i="2"/>
  <c r="AD140" i="2"/>
  <c r="W144" i="2"/>
  <c r="X144" i="2"/>
  <c r="Y144" i="2"/>
  <c r="Z144" i="2"/>
  <c r="AA144" i="2"/>
  <c r="AB144" i="2"/>
  <c r="AC144" i="2"/>
  <c r="AD144" i="2"/>
  <c r="W145" i="2"/>
  <c r="X145" i="2"/>
  <c r="Y145" i="2"/>
  <c r="Z145" i="2"/>
  <c r="AA145" i="2"/>
  <c r="AB145" i="2"/>
  <c r="AC145" i="2"/>
  <c r="AD145" i="2"/>
  <c r="W146" i="2"/>
  <c r="X146" i="2"/>
  <c r="Y146" i="2"/>
  <c r="Z146" i="2"/>
  <c r="AA146" i="2"/>
  <c r="AB146" i="2"/>
  <c r="AC146" i="2"/>
  <c r="AD146" i="2"/>
  <c r="W147" i="2"/>
  <c r="X147" i="2"/>
  <c r="Y147" i="2"/>
  <c r="Z147" i="2"/>
  <c r="AA147" i="2"/>
  <c r="AB147" i="2"/>
  <c r="AC147" i="2"/>
  <c r="AD147" i="2"/>
  <c r="W148" i="2"/>
  <c r="X148" i="2"/>
  <c r="Y148" i="2"/>
  <c r="Z148" i="2"/>
  <c r="AA148" i="2"/>
  <c r="AB148" i="2"/>
  <c r="AC148" i="2"/>
  <c r="AD148" i="2"/>
  <c r="W149" i="2"/>
  <c r="X149" i="2"/>
  <c r="Y149" i="2"/>
  <c r="Z149" i="2"/>
  <c r="AA149" i="2"/>
  <c r="AB149" i="2"/>
  <c r="AC149" i="2"/>
  <c r="AD149" i="2"/>
  <c r="W150" i="2"/>
  <c r="X150" i="2"/>
  <c r="Y150" i="2"/>
  <c r="Z150" i="2"/>
  <c r="AA150" i="2"/>
  <c r="AB150" i="2"/>
  <c r="AC150" i="2"/>
  <c r="AD150" i="2"/>
  <c r="W151" i="2"/>
  <c r="X151" i="2"/>
  <c r="Y151" i="2"/>
  <c r="Z151" i="2"/>
  <c r="AA151" i="2"/>
  <c r="AB151" i="2"/>
  <c r="AC151" i="2"/>
  <c r="AD151" i="2"/>
  <c r="W152" i="2"/>
  <c r="X152" i="2"/>
  <c r="Y152" i="2"/>
  <c r="Z152" i="2"/>
  <c r="AA152" i="2"/>
  <c r="AB152" i="2"/>
  <c r="AC152" i="2"/>
  <c r="AD152" i="2"/>
  <c r="W153" i="2"/>
  <c r="X153" i="2"/>
  <c r="Y153" i="2"/>
  <c r="Z153" i="2"/>
  <c r="AA153" i="2"/>
  <c r="AB153" i="2"/>
  <c r="AC153" i="2"/>
  <c r="AD153" i="2"/>
  <c r="W154" i="2"/>
  <c r="X154" i="2"/>
  <c r="Y154" i="2"/>
  <c r="Z154" i="2"/>
  <c r="AA154" i="2"/>
  <c r="AB154" i="2"/>
  <c r="AC154" i="2"/>
  <c r="AD154" i="2"/>
  <c r="W155" i="2"/>
  <c r="X155" i="2"/>
  <c r="Y155" i="2"/>
  <c r="Z155" i="2"/>
  <c r="AA155" i="2"/>
  <c r="AB155" i="2"/>
  <c r="AC155" i="2"/>
  <c r="AD155" i="2"/>
  <c r="W156" i="2"/>
  <c r="X156" i="2"/>
  <c r="Y156" i="2"/>
  <c r="Z156" i="2"/>
  <c r="AA156" i="2"/>
  <c r="AB156" i="2"/>
  <c r="AC156" i="2"/>
  <c r="AD156" i="2"/>
  <c r="W157" i="2"/>
  <c r="X157" i="2"/>
  <c r="Y157" i="2"/>
  <c r="Z157" i="2"/>
  <c r="AA157" i="2"/>
  <c r="AB157" i="2"/>
  <c r="AC157" i="2"/>
  <c r="AD157" i="2"/>
  <c r="W158" i="2"/>
  <c r="X158" i="2"/>
  <c r="Y158" i="2"/>
  <c r="Z158" i="2"/>
  <c r="AA158" i="2"/>
  <c r="AB158" i="2"/>
  <c r="AC158" i="2"/>
  <c r="AD158" i="2"/>
  <c r="W159" i="2"/>
  <c r="X159" i="2"/>
  <c r="Y159" i="2"/>
  <c r="Z159" i="2"/>
  <c r="AA159" i="2"/>
  <c r="AB159" i="2"/>
  <c r="AC159" i="2"/>
  <c r="AD159" i="2"/>
  <c r="W160" i="2"/>
  <c r="X160" i="2"/>
  <c r="Y160" i="2"/>
  <c r="Z160" i="2"/>
  <c r="AA160" i="2"/>
  <c r="AB160" i="2"/>
  <c r="AC160" i="2"/>
  <c r="AD160" i="2"/>
  <c r="W161" i="2"/>
  <c r="X161" i="2"/>
  <c r="Y161" i="2"/>
  <c r="Z161" i="2"/>
  <c r="AA161" i="2"/>
  <c r="AB161" i="2"/>
  <c r="AC161" i="2"/>
  <c r="AD161" i="2"/>
  <c r="W162" i="2"/>
  <c r="X162" i="2"/>
  <c r="Y162" i="2"/>
  <c r="Z162" i="2"/>
  <c r="AA162" i="2"/>
  <c r="AB162" i="2"/>
  <c r="AC162" i="2"/>
  <c r="AD162" i="2"/>
  <c r="W163" i="2"/>
  <c r="X163" i="2"/>
  <c r="Y163" i="2"/>
  <c r="Z163" i="2"/>
  <c r="AA163" i="2"/>
  <c r="AB163" i="2"/>
  <c r="AC163" i="2"/>
  <c r="AD163" i="2"/>
  <c r="W164" i="2"/>
  <c r="X164" i="2"/>
  <c r="Y164" i="2"/>
  <c r="Z164" i="2"/>
  <c r="AA164" i="2"/>
  <c r="AB164" i="2"/>
  <c r="AC164" i="2"/>
  <c r="AD164" i="2"/>
  <c r="W165" i="2"/>
  <c r="X165" i="2"/>
  <c r="Y165" i="2"/>
  <c r="Z165" i="2"/>
  <c r="AA165" i="2"/>
  <c r="AB165" i="2"/>
  <c r="AC165" i="2"/>
  <c r="AD165" i="2"/>
  <c r="W166" i="2"/>
  <c r="X166" i="2"/>
  <c r="Y166" i="2"/>
  <c r="Z166" i="2"/>
  <c r="AA166" i="2"/>
  <c r="AB166" i="2"/>
  <c r="AC166" i="2"/>
  <c r="AD166" i="2"/>
  <c r="W167" i="2"/>
  <c r="X167" i="2"/>
  <c r="Y167" i="2"/>
  <c r="Z167" i="2"/>
  <c r="AA167" i="2"/>
  <c r="AB167" i="2"/>
  <c r="AC167" i="2"/>
  <c r="AD167" i="2"/>
  <c r="W168" i="2"/>
  <c r="X168" i="2"/>
  <c r="Y168" i="2"/>
  <c r="Z168" i="2"/>
  <c r="AA168" i="2"/>
  <c r="AB168" i="2"/>
  <c r="AC168" i="2"/>
  <c r="AD168" i="2"/>
  <c r="W169" i="2"/>
  <c r="X169" i="2"/>
  <c r="Y169" i="2"/>
  <c r="Z169" i="2"/>
  <c r="AA169" i="2"/>
  <c r="AB169" i="2"/>
  <c r="AC169" i="2"/>
  <c r="AD169" i="2"/>
  <c r="W170" i="2"/>
  <c r="X170" i="2"/>
  <c r="Y170" i="2"/>
  <c r="Z170" i="2"/>
  <c r="AA170" i="2"/>
  <c r="AB170" i="2"/>
  <c r="AC170" i="2"/>
  <c r="AD170" i="2"/>
  <c r="W172" i="2"/>
  <c r="X172" i="2"/>
  <c r="Y172" i="2"/>
  <c r="Z172" i="2"/>
  <c r="AA172" i="2"/>
  <c r="AB172" i="2"/>
  <c r="AC172" i="2"/>
  <c r="AD172" i="2"/>
  <c r="W173" i="2"/>
  <c r="X173" i="2"/>
  <c r="Y173" i="2"/>
  <c r="Z173" i="2"/>
  <c r="AA173" i="2"/>
  <c r="AB173" i="2"/>
  <c r="AC173" i="2"/>
  <c r="AD173" i="2"/>
  <c r="W174" i="2"/>
  <c r="X174" i="2"/>
  <c r="Y174" i="2"/>
  <c r="Z174" i="2"/>
  <c r="AA174" i="2"/>
  <c r="AB174" i="2"/>
  <c r="AC174" i="2"/>
  <c r="AD174" i="2"/>
  <c r="W175" i="2"/>
  <c r="X175" i="2"/>
  <c r="Y175" i="2"/>
  <c r="Z175" i="2"/>
  <c r="AA175" i="2"/>
  <c r="AB175" i="2"/>
  <c r="AC175" i="2"/>
  <c r="AD175" i="2"/>
  <c r="W176" i="2"/>
  <c r="X176" i="2"/>
  <c r="Y176" i="2"/>
  <c r="Z176" i="2"/>
  <c r="AA176" i="2"/>
  <c r="AB176" i="2"/>
  <c r="AC176" i="2"/>
  <c r="AD176" i="2"/>
  <c r="W177" i="2"/>
  <c r="X177" i="2"/>
  <c r="Y177" i="2"/>
  <c r="Z177" i="2"/>
  <c r="AA177" i="2"/>
  <c r="AB177" i="2"/>
  <c r="AC177" i="2"/>
  <c r="AD177" i="2"/>
  <c r="W178" i="2"/>
  <c r="X178" i="2"/>
  <c r="Y178" i="2"/>
  <c r="Z178" i="2"/>
  <c r="AA178" i="2"/>
  <c r="AB178" i="2"/>
  <c r="AC178" i="2"/>
  <c r="AD178" i="2"/>
  <c r="W179" i="2"/>
  <c r="X179" i="2"/>
  <c r="Y179" i="2"/>
  <c r="Z179" i="2"/>
  <c r="AA179" i="2"/>
  <c r="AB179" i="2"/>
  <c r="AC179" i="2"/>
  <c r="AD179" i="2"/>
  <c r="W180" i="2"/>
  <c r="X180" i="2"/>
  <c r="Y180" i="2"/>
  <c r="Z180" i="2"/>
  <c r="AA180" i="2"/>
  <c r="AB180" i="2"/>
  <c r="AC180" i="2"/>
  <c r="AD180" i="2"/>
  <c r="W181" i="2"/>
  <c r="X181" i="2"/>
  <c r="Y181" i="2"/>
  <c r="Z181" i="2"/>
  <c r="AA181" i="2"/>
  <c r="AB181" i="2"/>
  <c r="AC181" i="2"/>
  <c r="AD181" i="2"/>
  <c r="W182" i="2"/>
  <c r="X182" i="2"/>
  <c r="Y182" i="2"/>
  <c r="Z182" i="2"/>
  <c r="AA182" i="2"/>
  <c r="AB182" i="2"/>
  <c r="AC182" i="2"/>
  <c r="AD182" i="2"/>
  <c r="W183" i="2"/>
  <c r="X183" i="2"/>
  <c r="Y183" i="2"/>
  <c r="Z183" i="2"/>
  <c r="AA183" i="2"/>
  <c r="AB183" i="2"/>
  <c r="AC183" i="2"/>
  <c r="AD183" i="2"/>
  <c r="W184" i="2"/>
  <c r="X184" i="2"/>
  <c r="Y184" i="2"/>
  <c r="Z184" i="2"/>
  <c r="AA184" i="2"/>
  <c r="AB184" i="2"/>
  <c r="AC184" i="2"/>
  <c r="AD184" i="2"/>
  <c r="W185" i="2"/>
  <c r="X185" i="2"/>
  <c r="Y185" i="2"/>
  <c r="Z185" i="2"/>
  <c r="AA185" i="2"/>
  <c r="AB185" i="2"/>
  <c r="AC185" i="2"/>
  <c r="AD185" i="2"/>
  <c r="W186" i="2"/>
  <c r="X186" i="2"/>
  <c r="Y186" i="2"/>
  <c r="Z186" i="2"/>
  <c r="AA186" i="2"/>
  <c r="AB186" i="2"/>
  <c r="AC186" i="2"/>
  <c r="AD186" i="2"/>
  <c r="W188" i="2"/>
  <c r="X188" i="2"/>
  <c r="Y188" i="2"/>
  <c r="Z188" i="2"/>
  <c r="AA188" i="2"/>
  <c r="AB188" i="2"/>
  <c r="AC188" i="2"/>
  <c r="AD188" i="2"/>
  <c r="W189" i="2"/>
  <c r="X189" i="2"/>
  <c r="Y189" i="2"/>
  <c r="Z189" i="2"/>
  <c r="AA189" i="2"/>
  <c r="AB189" i="2"/>
  <c r="AC189" i="2"/>
  <c r="AD189" i="2"/>
  <c r="W190" i="2"/>
  <c r="X190" i="2"/>
  <c r="Y190" i="2"/>
  <c r="Z190" i="2"/>
  <c r="AA190" i="2"/>
  <c r="AB190" i="2"/>
  <c r="AC190" i="2"/>
  <c r="AD190" i="2"/>
  <c r="W191" i="2"/>
  <c r="X191" i="2"/>
  <c r="Y191" i="2"/>
  <c r="Z191" i="2"/>
  <c r="AA191" i="2"/>
  <c r="AB191" i="2"/>
  <c r="AC191" i="2"/>
  <c r="AD191" i="2"/>
  <c r="W192" i="2"/>
  <c r="X192" i="2"/>
  <c r="Y192" i="2"/>
  <c r="Z192" i="2"/>
  <c r="AA192" i="2"/>
  <c r="AB192" i="2"/>
  <c r="AC192" i="2"/>
  <c r="AD192" i="2"/>
  <c r="W193" i="2"/>
  <c r="X193" i="2"/>
  <c r="Y193" i="2"/>
  <c r="Z193" i="2"/>
  <c r="AA193" i="2"/>
  <c r="AB193" i="2"/>
  <c r="AC193" i="2"/>
  <c r="AD193" i="2"/>
  <c r="W194" i="2"/>
  <c r="X194" i="2"/>
  <c r="Y194" i="2"/>
  <c r="Z194" i="2"/>
  <c r="AA194" i="2"/>
  <c r="AB194" i="2"/>
  <c r="AC194" i="2"/>
  <c r="AD194" i="2"/>
  <c r="W195" i="2"/>
  <c r="X195" i="2"/>
  <c r="Y195" i="2"/>
  <c r="Z195" i="2"/>
  <c r="AA195" i="2"/>
  <c r="AB195" i="2"/>
  <c r="AC195" i="2"/>
  <c r="AD195" i="2"/>
  <c r="W196" i="2"/>
  <c r="X196" i="2"/>
  <c r="Y196" i="2"/>
  <c r="Z196" i="2"/>
  <c r="AA196" i="2"/>
  <c r="AB196" i="2"/>
  <c r="AC196" i="2"/>
  <c r="AD196" i="2"/>
  <c r="W197" i="2"/>
  <c r="X197" i="2"/>
  <c r="Y197" i="2"/>
  <c r="Z197" i="2"/>
  <c r="AA197" i="2"/>
  <c r="AB197" i="2"/>
  <c r="AC197" i="2"/>
  <c r="AD197" i="2"/>
  <c r="W198" i="2"/>
  <c r="X198" i="2"/>
  <c r="Y198" i="2"/>
  <c r="Z198" i="2"/>
  <c r="AA198" i="2"/>
  <c r="AB198" i="2"/>
  <c r="AC198" i="2"/>
  <c r="AD198" i="2"/>
  <c r="W199" i="2"/>
  <c r="X199" i="2"/>
  <c r="Y199" i="2"/>
  <c r="Z199" i="2"/>
  <c r="AA199" i="2"/>
  <c r="AB199" i="2"/>
  <c r="AC199" i="2"/>
  <c r="AD199" i="2"/>
  <c r="W200" i="2"/>
  <c r="X200" i="2"/>
  <c r="Y200" i="2"/>
  <c r="Z200" i="2"/>
  <c r="AA200" i="2"/>
  <c r="AB200" i="2"/>
  <c r="AC200" i="2"/>
  <c r="AD200" i="2"/>
  <c r="W201" i="2"/>
  <c r="X201" i="2"/>
  <c r="Y201" i="2"/>
  <c r="Z201" i="2"/>
  <c r="AA201" i="2"/>
  <c r="AB201" i="2"/>
  <c r="AC201" i="2"/>
  <c r="AD201" i="2"/>
  <c r="W202" i="2"/>
  <c r="X202" i="2"/>
  <c r="Y202" i="2"/>
  <c r="Z202" i="2"/>
  <c r="AA202" i="2"/>
  <c r="AB202" i="2"/>
  <c r="AC202" i="2"/>
  <c r="AD202" i="2"/>
  <c r="W203" i="2"/>
  <c r="X203" i="2"/>
  <c r="Y203" i="2"/>
  <c r="Z203" i="2"/>
  <c r="AA203" i="2"/>
  <c r="AB203" i="2"/>
  <c r="AC203" i="2"/>
  <c r="AD203" i="2"/>
  <c r="W204" i="2"/>
  <c r="X204" i="2"/>
  <c r="Y204" i="2"/>
  <c r="Z204" i="2"/>
  <c r="AA204" i="2"/>
  <c r="AB204" i="2"/>
  <c r="AC204" i="2"/>
  <c r="AD204" i="2"/>
  <c r="W205" i="2"/>
  <c r="X205" i="2"/>
  <c r="Y205" i="2"/>
  <c r="Z205" i="2"/>
  <c r="AA205" i="2"/>
  <c r="AB205" i="2"/>
  <c r="AC205" i="2"/>
  <c r="AD205" i="2"/>
  <c r="W206" i="2"/>
  <c r="X206" i="2"/>
  <c r="Y206" i="2"/>
  <c r="Z206" i="2"/>
  <c r="AA206" i="2"/>
  <c r="AB206" i="2"/>
  <c r="AC206" i="2"/>
  <c r="AD206" i="2"/>
  <c r="W207" i="2"/>
  <c r="X207" i="2"/>
  <c r="Y207" i="2"/>
  <c r="Z207" i="2"/>
  <c r="AA207" i="2"/>
  <c r="AB207" i="2"/>
  <c r="AC207" i="2"/>
  <c r="AD207" i="2"/>
  <c r="W208" i="2"/>
  <c r="X208" i="2"/>
  <c r="Y208" i="2"/>
  <c r="Z208" i="2"/>
  <c r="AA208" i="2"/>
  <c r="AB208" i="2"/>
  <c r="AC208" i="2"/>
  <c r="AD208" i="2"/>
  <c r="W209" i="2"/>
  <c r="X209" i="2"/>
  <c r="Y209" i="2"/>
  <c r="Z209" i="2"/>
  <c r="AA209" i="2"/>
  <c r="AB209" i="2"/>
  <c r="AC209" i="2"/>
  <c r="AD209" i="2"/>
  <c r="W210" i="2"/>
  <c r="X210" i="2"/>
  <c r="Y210" i="2"/>
  <c r="Z210" i="2"/>
  <c r="AA210" i="2"/>
  <c r="AB210" i="2"/>
  <c r="AC210" i="2"/>
  <c r="AD210" i="2"/>
  <c r="W211" i="2"/>
  <c r="X211" i="2"/>
  <c r="Y211" i="2"/>
  <c r="Z211" i="2"/>
  <c r="AA211" i="2"/>
  <c r="AB211" i="2"/>
  <c r="AC211" i="2"/>
  <c r="AD211" i="2"/>
  <c r="W212" i="2"/>
  <c r="X212" i="2"/>
  <c r="Y212" i="2"/>
  <c r="Z212" i="2"/>
  <c r="AA212" i="2"/>
  <c r="AB212" i="2"/>
  <c r="AC212" i="2"/>
  <c r="AD212" i="2"/>
  <c r="W213" i="2"/>
  <c r="X213" i="2"/>
  <c r="Y213" i="2"/>
  <c r="Z213" i="2"/>
  <c r="AA213" i="2"/>
  <c r="AB213" i="2"/>
  <c r="AC213" i="2"/>
  <c r="AD213" i="2"/>
  <c r="W214" i="2"/>
  <c r="X214" i="2"/>
  <c r="Y214" i="2"/>
  <c r="Z214" i="2"/>
  <c r="AA214" i="2"/>
  <c r="AB214" i="2"/>
  <c r="AC214" i="2"/>
  <c r="AD214" i="2"/>
  <c r="W215" i="2"/>
  <c r="X215" i="2"/>
  <c r="Y215" i="2"/>
  <c r="Z215" i="2"/>
  <c r="AA215" i="2"/>
  <c r="AB215" i="2"/>
  <c r="AC215" i="2"/>
  <c r="AD215" i="2"/>
  <c r="W216" i="2"/>
  <c r="X216" i="2"/>
  <c r="Y216" i="2"/>
  <c r="Z216" i="2"/>
  <c r="AA216" i="2"/>
  <c r="AB216" i="2"/>
  <c r="AC216" i="2"/>
  <c r="AD216" i="2"/>
  <c r="W217" i="2"/>
  <c r="X217" i="2"/>
  <c r="Y217" i="2"/>
  <c r="Z217" i="2"/>
  <c r="AA217" i="2"/>
  <c r="AB217" i="2"/>
  <c r="AC217" i="2"/>
  <c r="AD217" i="2"/>
  <c r="W218" i="2"/>
  <c r="X218" i="2"/>
  <c r="Y218" i="2"/>
  <c r="Z218" i="2"/>
  <c r="AA218" i="2"/>
  <c r="AB218" i="2"/>
  <c r="AC218" i="2"/>
  <c r="AD218" i="2"/>
  <c r="W219" i="2"/>
  <c r="X219" i="2"/>
  <c r="Y219" i="2"/>
  <c r="Z219" i="2"/>
  <c r="AA219" i="2"/>
  <c r="AB219" i="2"/>
  <c r="AC219" i="2"/>
  <c r="AD219" i="2"/>
  <c r="W220" i="2"/>
  <c r="X220" i="2"/>
  <c r="Y220" i="2"/>
  <c r="Z220" i="2"/>
  <c r="AA220" i="2"/>
  <c r="AB220" i="2"/>
  <c r="AC220" i="2"/>
  <c r="AD220" i="2"/>
  <c r="W221" i="2"/>
  <c r="X221" i="2"/>
  <c r="Y221" i="2"/>
  <c r="Z221" i="2"/>
  <c r="AA221" i="2"/>
  <c r="AB221" i="2"/>
  <c r="AC221" i="2"/>
  <c r="AD221" i="2"/>
  <c r="W222" i="2"/>
  <c r="X222" i="2"/>
  <c r="Y222" i="2"/>
  <c r="Z222" i="2"/>
  <c r="AA222" i="2"/>
  <c r="AB222" i="2"/>
  <c r="AC222" i="2"/>
  <c r="AD222" i="2"/>
  <c r="W223" i="2"/>
  <c r="X223" i="2"/>
  <c r="Y223" i="2"/>
  <c r="Z223" i="2"/>
  <c r="AA223" i="2"/>
  <c r="AB223" i="2"/>
  <c r="AC223" i="2"/>
  <c r="AD223" i="2"/>
  <c r="W224" i="2"/>
  <c r="X224" i="2"/>
  <c r="Y224" i="2"/>
  <c r="Z224" i="2"/>
  <c r="AA224" i="2"/>
  <c r="AB224" i="2"/>
  <c r="AC224" i="2"/>
  <c r="AD224" i="2"/>
  <c r="W225" i="2"/>
  <c r="X225" i="2"/>
  <c r="Y225" i="2"/>
  <c r="Z225" i="2"/>
  <c r="AA225" i="2"/>
  <c r="AB225" i="2"/>
  <c r="AC225" i="2"/>
  <c r="AD225" i="2"/>
  <c r="W226" i="2"/>
  <c r="X226" i="2"/>
  <c r="Y226" i="2"/>
  <c r="Z226" i="2"/>
  <c r="AA226" i="2"/>
  <c r="AB226" i="2"/>
  <c r="AC226" i="2"/>
  <c r="AD226" i="2"/>
  <c r="W227" i="2"/>
  <c r="X227" i="2"/>
  <c r="Y227" i="2"/>
  <c r="Z227" i="2"/>
  <c r="AA227" i="2"/>
  <c r="AB227" i="2"/>
  <c r="AC227" i="2"/>
  <c r="AD227" i="2"/>
  <c r="W228" i="2"/>
  <c r="X228" i="2"/>
  <c r="Y228" i="2"/>
  <c r="Z228" i="2"/>
  <c r="AA228" i="2"/>
  <c r="AB228" i="2"/>
  <c r="AC228" i="2"/>
  <c r="AD228" i="2"/>
  <c r="W229" i="2"/>
  <c r="X229" i="2"/>
  <c r="Y229" i="2"/>
  <c r="Z229" i="2"/>
  <c r="AA229" i="2"/>
  <c r="AB229" i="2"/>
  <c r="AC229" i="2"/>
  <c r="AD229" i="2"/>
  <c r="W230" i="2"/>
  <c r="X230" i="2"/>
  <c r="Y230" i="2"/>
  <c r="Z230" i="2"/>
  <c r="AA230" i="2"/>
  <c r="AB230" i="2"/>
  <c r="AC230" i="2"/>
  <c r="AD230" i="2"/>
  <c r="W231" i="2"/>
  <c r="X231" i="2"/>
  <c r="Y231" i="2"/>
  <c r="Z231" i="2"/>
  <c r="AA231" i="2"/>
  <c r="AB231" i="2"/>
  <c r="AC231" i="2"/>
  <c r="AD231" i="2"/>
  <c r="W232" i="2"/>
  <c r="X232" i="2"/>
  <c r="Y232" i="2"/>
  <c r="Z232" i="2"/>
  <c r="AA232" i="2"/>
  <c r="AB232" i="2"/>
  <c r="AC232" i="2"/>
  <c r="AD232" i="2"/>
  <c r="W233" i="2"/>
  <c r="X233" i="2"/>
  <c r="Y233" i="2"/>
  <c r="Z233" i="2"/>
  <c r="AA233" i="2"/>
  <c r="AB233" i="2"/>
  <c r="AC233" i="2"/>
  <c r="AD233" i="2"/>
  <c r="W234" i="2"/>
  <c r="X234" i="2"/>
  <c r="Y234" i="2"/>
  <c r="Z234" i="2"/>
  <c r="AA234" i="2"/>
  <c r="AB234" i="2"/>
  <c r="AC234" i="2"/>
  <c r="AD234" i="2"/>
  <c r="W235" i="2"/>
  <c r="X235" i="2"/>
  <c r="Y235" i="2"/>
  <c r="Z235" i="2"/>
  <c r="AA235" i="2"/>
  <c r="AB235" i="2"/>
  <c r="AC235" i="2"/>
  <c r="AD235" i="2"/>
  <c r="W236" i="2"/>
  <c r="X236" i="2"/>
  <c r="Y236" i="2"/>
  <c r="Z236" i="2"/>
  <c r="AA236" i="2"/>
  <c r="AB236" i="2"/>
  <c r="AC236" i="2"/>
  <c r="AD236" i="2"/>
  <c r="W237" i="2"/>
  <c r="X237" i="2"/>
  <c r="Y237" i="2"/>
  <c r="Z237" i="2"/>
  <c r="AA237" i="2"/>
  <c r="AB237" i="2"/>
  <c r="AC237" i="2"/>
  <c r="AD237" i="2"/>
  <c r="W238" i="2"/>
  <c r="X238" i="2"/>
  <c r="Y238" i="2"/>
  <c r="Z238" i="2"/>
  <c r="AA238" i="2"/>
  <c r="AB238" i="2"/>
  <c r="AC238" i="2"/>
  <c r="AD238" i="2"/>
  <c r="W239" i="2"/>
  <c r="X239" i="2"/>
  <c r="Y239" i="2"/>
  <c r="Z239" i="2"/>
  <c r="AA239" i="2"/>
  <c r="AB239" i="2"/>
  <c r="AC239" i="2"/>
  <c r="AD239" i="2"/>
  <c r="W240" i="2"/>
  <c r="X240" i="2"/>
  <c r="Y240" i="2"/>
  <c r="Z240" i="2"/>
  <c r="AA240" i="2"/>
  <c r="AB240" i="2"/>
  <c r="AC240" i="2"/>
  <c r="AD240" i="2"/>
  <c r="W241" i="2"/>
  <c r="X241" i="2"/>
  <c r="Y241" i="2"/>
  <c r="Z241" i="2"/>
  <c r="AA241" i="2"/>
  <c r="AB241" i="2"/>
  <c r="AC241" i="2"/>
  <c r="AD241" i="2"/>
  <c r="W242" i="2"/>
  <c r="X242" i="2"/>
  <c r="Y242" i="2"/>
  <c r="Z242" i="2"/>
  <c r="AA242" i="2"/>
  <c r="AB242" i="2"/>
  <c r="AC242" i="2"/>
  <c r="AD242" i="2"/>
  <c r="W243" i="2"/>
  <c r="X243" i="2"/>
  <c r="Y243" i="2"/>
  <c r="Z243" i="2"/>
  <c r="AA243" i="2"/>
  <c r="AB243" i="2"/>
  <c r="AC243" i="2"/>
  <c r="AD243" i="2"/>
  <c r="W244" i="2"/>
  <c r="X244" i="2"/>
  <c r="Y244" i="2"/>
  <c r="Z244" i="2"/>
  <c r="AA244" i="2"/>
  <c r="AB244" i="2"/>
  <c r="AC244" i="2"/>
  <c r="AD244" i="2"/>
  <c r="W245" i="2"/>
  <c r="X245" i="2"/>
  <c r="Y245" i="2"/>
  <c r="Z245" i="2"/>
  <c r="AA245" i="2"/>
  <c r="AB245" i="2"/>
  <c r="AC245" i="2"/>
  <c r="AD245" i="2"/>
  <c r="W246" i="2"/>
  <c r="X246" i="2"/>
  <c r="Y246" i="2"/>
  <c r="Z246" i="2"/>
  <c r="AA246" i="2"/>
  <c r="AB246" i="2"/>
  <c r="AC246" i="2"/>
  <c r="AD246" i="2"/>
  <c r="W248" i="2"/>
  <c r="X248" i="2"/>
  <c r="Y248" i="2"/>
  <c r="Z248" i="2"/>
  <c r="AA248" i="2"/>
  <c r="AB248" i="2"/>
  <c r="AC248" i="2"/>
  <c r="AD248" i="2"/>
  <c r="W249" i="2"/>
  <c r="X249" i="2"/>
  <c r="Y249" i="2"/>
  <c r="Z249" i="2"/>
  <c r="AA249" i="2"/>
  <c r="AB249" i="2"/>
  <c r="AC249" i="2"/>
  <c r="AD249" i="2"/>
  <c r="W250" i="2"/>
  <c r="X250" i="2"/>
  <c r="Y250" i="2"/>
  <c r="Z250" i="2"/>
  <c r="AA250" i="2"/>
  <c r="AB250" i="2"/>
  <c r="AC250" i="2"/>
  <c r="AD250" i="2"/>
  <c r="W251" i="2"/>
  <c r="X251" i="2"/>
  <c r="Y251" i="2"/>
  <c r="Z251" i="2"/>
  <c r="AA251" i="2"/>
  <c r="AB251" i="2"/>
  <c r="AC251" i="2"/>
  <c r="AD251" i="2"/>
  <c r="W252" i="2"/>
  <c r="X252" i="2"/>
  <c r="Y252" i="2"/>
  <c r="Z252" i="2"/>
  <c r="AA252" i="2"/>
  <c r="AB252" i="2"/>
  <c r="AC252" i="2"/>
  <c r="AD252" i="2"/>
  <c r="W253" i="2"/>
  <c r="X253" i="2"/>
  <c r="Y253" i="2"/>
  <c r="Z253" i="2"/>
  <c r="AA253" i="2"/>
  <c r="AB253" i="2"/>
  <c r="AC253" i="2"/>
  <c r="AD253" i="2"/>
  <c r="W254" i="2"/>
  <c r="X254" i="2"/>
  <c r="Y254" i="2"/>
  <c r="Z254" i="2"/>
  <c r="AA254" i="2"/>
  <c r="AB254" i="2"/>
  <c r="AC254" i="2"/>
  <c r="AD254" i="2"/>
  <c r="W255" i="2"/>
  <c r="X255" i="2"/>
  <c r="Y255" i="2"/>
  <c r="Z255" i="2"/>
  <c r="AA255" i="2"/>
  <c r="AB255" i="2"/>
  <c r="AC255" i="2"/>
  <c r="AD255" i="2"/>
  <c r="W256" i="2"/>
  <c r="X256" i="2"/>
  <c r="Y256" i="2"/>
  <c r="Z256" i="2"/>
  <c r="AA256" i="2"/>
  <c r="AB256" i="2"/>
  <c r="AC256" i="2"/>
  <c r="AD256" i="2"/>
  <c r="W257" i="2"/>
  <c r="X257" i="2"/>
  <c r="Y257" i="2"/>
  <c r="Z257" i="2"/>
  <c r="AA257" i="2"/>
  <c r="AB257" i="2"/>
  <c r="AC257" i="2"/>
  <c r="AD257" i="2"/>
  <c r="W258" i="2"/>
  <c r="X258" i="2"/>
  <c r="Y258" i="2"/>
  <c r="Z258" i="2"/>
  <c r="AA258" i="2"/>
  <c r="AB258" i="2"/>
  <c r="AC258" i="2"/>
  <c r="AD258" i="2"/>
  <c r="W259" i="2"/>
  <c r="X259" i="2"/>
  <c r="Y259" i="2"/>
  <c r="Z259" i="2"/>
  <c r="AA259" i="2"/>
  <c r="AB259" i="2"/>
  <c r="AC259" i="2"/>
  <c r="AD259" i="2"/>
  <c r="W260" i="2"/>
  <c r="X260" i="2"/>
  <c r="Y260" i="2"/>
  <c r="Z260" i="2"/>
  <c r="AA260" i="2"/>
  <c r="AB260" i="2"/>
  <c r="AC260" i="2"/>
  <c r="AD260" i="2"/>
  <c r="W261" i="2"/>
  <c r="X261" i="2"/>
  <c r="Y261" i="2"/>
  <c r="Z261" i="2"/>
  <c r="AA261" i="2"/>
  <c r="AB261" i="2"/>
  <c r="AC261" i="2"/>
  <c r="AD261" i="2"/>
  <c r="W262" i="2"/>
  <c r="X262" i="2"/>
  <c r="Y262" i="2"/>
  <c r="Z262" i="2"/>
  <c r="AA262" i="2"/>
  <c r="AB262" i="2"/>
  <c r="AC262" i="2"/>
  <c r="AD262" i="2"/>
  <c r="W263" i="2"/>
  <c r="X263" i="2"/>
  <c r="Y263" i="2"/>
  <c r="Z263" i="2"/>
  <c r="AA263" i="2"/>
  <c r="AB263" i="2"/>
  <c r="AC263" i="2"/>
  <c r="AD263" i="2"/>
  <c r="W264" i="2"/>
  <c r="X264" i="2"/>
  <c r="Y264" i="2"/>
  <c r="Z264" i="2"/>
  <c r="AA264" i="2"/>
  <c r="AB264" i="2"/>
  <c r="AC264" i="2"/>
  <c r="AD264" i="2"/>
  <c r="W265" i="2"/>
  <c r="X265" i="2"/>
  <c r="Y265" i="2"/>
  <c r="Z265" i="2"/>
  <c r="AA265" i="2"/>
  <c r="AB265" i="2"/>
  <c r="AC265" i="2"/>
  <c r="AD265" i="2"/>
  <c r="W266" i="2"/>
  <c r="X266" i="2"/>
  <c r="Y266" i="2"/>
  <c r="Z266" i="2"/>
  <c r="AA266" i="2"/>
  <c r="AB266" i="2"/>
  <c r="AC266" i="2"/>
  <c r="AD266" i="2"/>
  <c r="W267" i="2"/>
  <c r="X267" i="2"/>
  <c r="Y267" i="2"/>
  <c r="Z267" i="2"/>
  <c r="AA267" i="2"/>
  <c r="AB267" i="2"/>
  <c r="AC267" i="2"/>
  <c r="AD267" i="2"/>
  <c r="W268" i="2"/>
  <c r="X268" i="2"/>
  <c r="Y268" i="2"/>
  <c r="Z268" i="2"/>
  <c r="AA268" i="2"/>
  <c r="AB268" i="2"/>
  <c r="AC268" i="2"/>
  <c r="AD268" i="2"/>
  <c r="W269" i="2"/>
  <c r="X269" i="2"/>
  <c r="Y269" i="2"/>
  <c r="Z269" i="2"/>
  <c r="AA269" i="2"/>
  <c r="AB269" i="2"/>
  <c r="AC269" i="2"/>
  <c r="AD269" i="2"/>
  <c r="W270" i="2"/>
  <c r="X270" i="2"/>
  <c r="Y270" i="2"/>
  <c r="Z270" i="2"/>
  <c r="AA270" i="2"/>
  <c r="AB270" i="2"/>
  <c r="AC270" i="2"/>
  <c r="AD270" i="2"/>
  <c r="W271" i="2"/>
  <c r="X271" i="2"/>
  <c r="Y271" i="2"/>
  <c r="Z271" i="2"/>
  <c r="AA271" i="2"/>
  <c r="AB271" i="2"/>
  <c r="AC271" i="2"/>
  <c r="AD271" i="2"/>
  <c r="W272" i="2"/>
  <c r="X272" i="2"/>
  <c r="Y272" i="2"/>
  <c r="Z272" i="2"/>
  <c r="AA272" i="2"/>
  <c r="AB272" i="2"/>
  <c r="AC272" i="2"/>
  <c r="AD272" i="2"/>
  <c r="W273" i="2"/>
  <c r="X273" i="2"/>
  <c r="Y273" i="2"/>
  <c r="Z273" i="2"/>
  <c r="AA273" i="2"/>
  <c r="AB273" i="2"/>
  <c r="AC273" i="2"/>
  <c r="AD273" i="2"/>
  <c r="W274" i="2"/>
  <c r="X274" i="2"/>
  <c r="Y274" i="2"/>
  <c r="Z274" i="2"/>
  <c r="AA274" i="2"/>
  <c r="AB274" i="2"/>
  <c r="AC274" i="2"/>
  <c r="AD274" i="2"/>
  <c r="W275" i="2"/>
  <c r="X275" i="2"/>
  <c r="Y275" i="2"/>
  <c r="Z275" i="2"/>
  <c r="AA275" i="2"/>
  <c r="AB275" i="2"/>
  <c r="AC275" i="2"/>
  <c r="AD275" i="2"/>
  <c r="W276" i="2"/>
  <c r="X276" i="2"/>
  <c r="Y276" i="2"/>
  <c r="Z276" i="2"/>
  <c r="AA276" i="2"/>
  <c r="AB276" i="2"/>
  <c r="AC276" i="2"/>
  <c r="AD276" i="2"/>
  <c r="W277" i="2"/>
  <c r="X277" i="2"/>
  <c r="Y277" i="2"/>
  <c r="Z277" i="2"/>
  <c r="AA277" i="2"/>
  <c r="AB277" i="2"/>
  <c r="AC277" i="2"/>
  <c r="AD277" i="2"/>
  <c r="W278" i="2"/>
  <c r="X278" i="2"/>
  <c r="Y278" i="2"/>
  <c r="Z278" i="2"/>
  <c r="AA278" i="2"/>
  <c r="AB278" i="2"/>
  <c r="AC278" i="2"/>
  <c r="AD278" i="2"/>
  <c r="W279" i="2"/>
  <c r="X279" i="2"/>
  <c r="Y279" i="2"/>
  <c r="Z279" i="2"/>
  <c r="AA279" i="2"/>
  <c r="AB279" i="2"/>
  <c r="AC279" i="2"/>
  <c r="AD279" i="2"/>
  <c r="W280" i="2"/>
  <c r="X280" i="2"/>
  <c r="Y280" i="2"/>
  <c r="Z280" i="2"/>
  <c r="AA280" i="2"/>
  <c r="AB280" i="2"/>
  <c r="AC280" i="2"/>
  <c r="AD280" i="2"/>
  <c r="W281" i="2"/>
  <c r="X281" i="2"/>
  <c r="Y281" i="2"/>
  <c r="Z281" i="2"/>
  <c r="AA281" i="2"/>
  <c r="AB281" i="2"/>
  <c r="AC281" i="2"/>
  <c r="AD281" i="2"/>
  <c r="W282" i="2"/>
  <c r="X282" i="2"/>
  <c r="Y282" i="2"/>
  <c r="Z282" i="2"/>
  <c r="AA282" i="2"/>
  <c r="AB282" i="2"/>
  <c r="AC282" i="2"/>
  <c r="AD282" i="2"/>
  <c r="W283" i="2"/>
  <c r="X283" i="2"/>
  <c r="Y283" i="2"/>
  <c r="Z283" i="2"/>
  <c r="AA283" i="2"/>
  <c r="AB283" i="2"/>
  <c r="AC283" i="2"/>
  <c r="AD283" i="2"/>
  <c r="W284" i="2"/>
  <c r="X284" i="2"/>
  <c r="Y284" i="2"/>
  <c r="Z284" i="2"/>
  <c r="AA284" i="2"/>
  <c r="AB284" i="2"/>
  <c r="AC284" i="2"/>
  <c r="AD284" i="2"/>
  <c r="W285" i="2"/>
  <c r="X285" i="2"/>
  <c r="Y285" i="2"/>
  <c r="Z285" i="2"/>
  <c r="AA285" i="2"/>
  <c r="AB285" i="2"/>
  <c r="AC285" i="2"/>
  <c r="AD285" i="2"/>
  <c r="W286" i="2"/>
  <c r="X286" i="2"/>
  <c r="Y286" i="2"/>
  <c r="Z286" i="2"/>
  <c r="AA286" i="2"/>
  <c r="AB286" i="2"/>
  <c r="AC286" i="2"/>
  <c r="AD286" i="2"/>
  <c r="W292" i="2"/>
  <c r="X292" i="2"/>
  <c r="Y292" i="2"/>
  <c r="Z292" i="2"/>
  <c r="AA292" i="2"/>
  <c r="AB292" i="2"/>
  <c r="AC292" i="2"/>
  <c r="AD292" i="2"/>
  <c r="W293" i="2"/>
  <c r="X293" i="2"/>
  <c r="Y293" i="2"/>
  <c r="Z293" i="2"/>
  <c r="AA293" i="2"/>
  <c r="AB293" i="2"/>
  <c r="AC293" i="2"/>
  <c r="AD293" i="2"/>
  <c r="W294" i="2"/>
  <c r="X294" i="2"/>
  <c r="Y294" i="2"/>
  <c r="Z294" i="2"/>
  <c r="AA294" i="2"/>
  <c r="AB294" i="2"/>
  <c r="AC294" i="2"/>
  <c r="AD294" i="2"/>
  <c r="W295" i="2"/>
  <c r="X295" i="2"/>
  <c r="Y295" i="2"/>
  <c r="Z295" i="2"/>
  <c r="AA295" i="2"/>
  <c r="AB295" i="2"/>
  <c r="AC295" i="2"/>
  <c r="AD295" i="2"/>
  <c r="W296" i="2"/>
  <c r="X296" i="2"/>
  <c r="Y296" i="2"/>
  <c r="Z296" i="2"/>
  <c r="AA296" i="2"/>
  <c r="AB296" i="2"/>
  <c r="AC296" i="2"/>
  <c r="AD296" i="2"/>
  <c r="W297" i="2"/>
  <c r="X297" i="2"/>
  <c r="Y297" i="2"/>
  <c r="Z297" i="2"/>
  <c r="AA297" i="2"/>
  <c r="AB297" i="2"/>
  <c r="AC297" i="2"/>
  <c r="AD297" i="2"/>
  <c r="W298" i="2"/>
  <c r="X298" i="2"/>
  <c r="Y298" i="2"/>
  <c r="Z298" i="2"/>
  <c r="AA298" i="2"/>
  <c r="AB298" i="2"/>
  <c r="AC298" i="2"/>
  <c r="AD298" i="2"/>
  <c r="W299" i="2"/>
  <c r="X299" i="2"/>
  <c r="Y299" i="2"/>
  <c r="Z299" i="2"/>
  <c r="AA299" i="2"/>
  <c r="AB299" i="2"/>
  <c r="AC299" i="2"/>
  <c r="AD299" i="2"/>
  <c r="W300" i="2"/>
  <c r="X300" i="2"/>
  <c r="Y300" i="2"/>
  <c r="Z300" i="2"/>
  <c r="AA300" i="2"/>
  <c r="AB300" i="2"/>
  <c r="AC300" i="2"/>
  <c r="AD300" i="2"/>
  <c r="W301" i="2"/>
  <c r="X301" i="2"/>
  <c r="Y301" i="2"/>
  <c r="Z301" i="2"/>
  <c r="AA301" i="2"/>
  <c r="AB301" i="2"/>
  <c r="AC301" i="2"/>
  <c r="AD301" i="2"/>
  <c r="W302" i="2"/>
  <c r="X302" i="2"/>
  <c r="Y302" i="2"/>
  <c r="Z302" i="2"/>
  <c r="AA302" i="2"/>
  <c r="AB302" i="2"/>
  <c r="AC302" i="2"/>
  <c r="AD302" i="2"/>
  <c r="W303" i="2"/>
  <c r="X303" i="2"/>
  <c r="Y303" i="2"/>
  <c r="Z303" i="2"/>
  <c r="AA303" i="2"/>
  <c r="AB303" i="2"/>
  <c r="AC303" i="2"/>
  <c r="AD303" i="2"/>
  <c r="W304" i="2"/>
  <c r="X304" i="2"/>
  <c r="Y304" i="2"/>
  <c r="Z304" i="2"/>
  <c r="AA304" i="2"/>
  <c r="AB304" i="2"/>
  <c r="AC304" i="2"/>
  <c r="AD304" i="2"/>
  <c r="W305" i="2"/>
  <c r="X305" i="2"/>
  <c r="Y305" i="2"/>
  <c r="Z305" i="2"/>
  <c r="AA305" i="2"/>
  <c r="AB305" i="2"/>
  <c r="AC305" i="2"/>
  <c r="AD305" i="2"/>
  <c r="W306" i="2"/>
  <c r="X306" i="2"/>
  <c r="Y306" i="2"/>
  <c r="Z306" i="2"/>
  <c r="AA306" i="2"/>
  <c r="AB306" i="2"/>
  <c r="AC306" i="2"/>
  <c r="AD306" i="2"/>
  <c r="W307" i="2"/>
  <c r="X307" i="2"/>
  <c r="Y307" i="2"/>
  <c r="Z307" i="2"/>
  <c r="AA307" i="2"/>
  <c r="AB307" i="2"/>
  <c r="AC307" i="2"/>
  <c r="AD307" i="2"/>
  <c r="W308" i="2"/>
  <c r="X308" i="2"/>
  <c r="Y308" i="2"/>
  <c r="Z308" i="2"/>
  <c r="AA308" i="2"/>
  <c r="AB308" i="2"/>
  <c r="AC308" i="2"/>
  <c r="AD308" i="2"/>
  <c r="W309" i="2"/>
  <c r="X309" i="2"/>
  <c r="Y309" i="2"/>
  <c r="Z309" i="2"/>
  <c r="AA309" i="2"/>
  <c r="AB309" i="2"/>
  <c r="AC309" i="2"/>
  <c r="AD309" i="2"/>
  <c r="W310" i="2"/>
  <c r="X310" i="2"/>
  <c r="Y310" i="2"/>
  <c r="Z310" i="2"/>
  <c r="AA310" i="2"/>
  <c r="AB310" i="2"/>
  <c r="AC310" i="2"/>
  <c r="AD310" i="2"/>
  <c r="W311" i="2"/>
  <c r="X311" i="2"/>
  <c r="Y311" i="2"/>
  <c r="Z311" i="2"/>
  <c r="AA311" i="2"/>
  <c r="AB311" i="2"/>
  <c r="AC311" i="2"/>
  <c r="AD311" i="2"/>
  <c r="W312" i="2"/>
  <c r="X312" i="2"/>
  <c r="Y312" i="2"/>
  <c r="Z312" i="2"/>
  <c r="AA312" i="2"/>
  <c r="AB312" i="2"/>
  <c r="AC312" i="2"/>
  <c r="AD312" i="2"/>
  <c r="W313" i="2"/>
  <c r="X313" i="2"/>
  <c r="Y313" i="2"/>
  <c r="Z313" i="2"/>
  <c r="AA313" i="2"/>
  <c r="AB313" i="2"/>
  <c r="AC313" i="2"/>
  <c r="AD313" i="2"/>
  <c r="W314" i="2"/>
  <c r="X314" i="2"/>
  <c r="Y314" i="2"/>
  <c r="Z314" i="2"/>
  <c r="AA314" i="2"/>
  <c r="AB314" i="2"/>
  <c r="AC314" i="2"/>
  <c r="AD314" i="2"/>
  <c r="W315" i="2"/>
  <c r="X315" i="2"/>
  <c r="Y315" i="2"/>
  <c r="Z315" i="2"/>
  <c r="AA315" i="2"/>
  <c r="AB315" i="2"/>
  <c r="AC315" i="2"/>
  <c r="AD315" i="2"/>
  <c r="W316" i="2"/>
  <c r="X316" i="2"/>
  <c r="Y316" i="2"/>
  <c r="Z316" i="2"/>
  <c r="AA316" i="2"/>
  <c r="AB316" i="2"/>
  <c r="AC316" i="2"/>
  <c r="AD316" i="2"/>
  <c r="W317" i="2"/>
  <c r="X317" i="2"/>
  <c r="Y317" i="2"/>
  <c r="Z317" i="2"/>
  <c r="AA317" i="2"/>
  <c r="AB317" i="2"/>
  <c r="AC317" i="2"/>
  <c r="AD317" i="2"/>
  <c r="W318" i="2"/>
  <c r="X318" i="2"/>
  <c r="Y318" i="2"/>
  <c r="Z318" i="2"/>
  <c r="AA318" i="2"/>
  <c r="AB318" i="2"/>
  <c r="AC318" i="2"/>
  <c r="AD318" i="2"/>
  <c r="W319" i="2"/>
  <c r="X319" i="2"/>
  <c r="Y319" i="2"/>
  <c r="Z319" i="2"/>
  <c r="AA319" i="2"/>
  <c r="AB319" i="2"/>
  <c r="AC319" i="2"/>
  <c r="AD319" i="2"/>
  <c r="W320" i="2"/>
  <c r="X320" i="2"/>
  <c r="Y320" i="2"/>
  <c r="Z320" i="2"/>
  <c r="AA320" i="2"/>
  <c r="AB320" i="2"/>
  <c r="AC320" i="2"/>
  <c r="AD320" i="2"/>
  <c r="W321" i="2"/>
  <c r="X321" i="2"/>
  <c r="Y321" i="2"/>
  <c r="Z321" i="2"/>
  <c r="AA321" i="2"/>
  <c r="AB321" i="2"/>
  <c r="AC321" i="2"/>
  <c r="AD321" i="2"/>
  <c r="W322" i="2"/>
  <c r="X322" i="2"/>
  <c r="Y322" i="2"/>
  <c r="Z322" i="2"/>
  <c r="AA322" i="2"/>
  <c r="AB322" i="2"/>
  <c r="AC322" i="2"/>
  <c r="AD322" i="2"/>
  <c r="W323" i="2"/>
  <c r="X323" i="2"/>
  <c r="Y323" i="2"/>
  <c r="Z323" i="2"/>
  <c r="AA323" i="2"/>
  <c r="AB323" i="2"/>
  <c r="AC323" i="2"/>
  <c r="AD323" i="2"/>
  <c r="W324" i="2"/>
  <c r="X324" i="2"/>
  <c r="Y324" i="2"/>
  <c r="Z324" i="2"/>
  <c r="AA324" i="2"/>
  <c r="AB324" i="2"/>
  <c r="AC324" i="2"/>
  <c r="AD324" i="2"/>
  <c r="W325" i="2"/>
  <c r="X325" i="2"/>
  <c r="Y325" i="2"/>
  <c r="Z325" i="2"/>
  <c r="AA325" i="2"/>
  <c r="AB325" i="2"/>
  <c r="AC325" i="2"/>
  <c r="AD325" i="2"/>
  <c r="W326" i="2"/>
  <c r="X326" i="2"/>
  <c r="Y326" i="2"/>
  <c r="Z326" i="2"/>
  <c r="AA326" i="2"/>
  <c r="AB326" i="2"/>
  <c r="AC326" i="2"/>
  <c r="AD326" i="2"/>
  <c r="W327" i="2"/>
  <c r="X327" i="2"/>
  <c r="Y327" i="2"/>
  <c r="Z327" i="2"/>
  <c r="AA327" i="2"/>
  <c r="AB327" i="2"/>
  <c r="AC327" i="2"/>
  <c r="AD327" i="2"/>
  <c r="W328" i="2"/>
  <c r="X328" i="2"/>
  <c r="Y328" i="2"/>
  <c r="Z328" i="2"/>
  <c r="AA328" i="2"/>
  <c r="AB328" i="2"/>
  <c r="AC328" i="2"/>
  <c r="AD328" i="2"/>
  <c r="W329" i="2"/>
  <c r="X329" i="2"/>
  <c r="Y329" i="2"/>
  <c r="Z329" i="2"/>
  <c r="AA329" i="2"/>
  <c r="AB329" i="2"/>
  <c r="AC329" i="2"/>
  <c r="AD329" i="2"/>
  <c r="W330" i="2"/>
  <c r="X330" i="2"/>
  <c r="Y330" i="2"/>
  <c r="Z330" i="2"/>
  <c r="AA330" i="2"/>
  <c r="AB330" i="2"/>
  <c r="AC330" i="2"/>
  <c r="AD330" i="2"/>
  <c r="W331" i="2"/>
  <c r="X331" i="2"/>
  <c r="Y331" i="2"/>
  <c r="Z331" i="2"/>
  <c r="AA331" i="2"/>
  <c r="AB331" i="2"/>
  <c r="AC331" i="2"/>
  <c r="AD331" i="2"/>
  <c r="W332" i="2"/>
  <c r="X332" i="2"/>
  <c r="Y332" i="2"/>
  <c r="Z332" i="2"/>
  <c r="AA332" i="2"/>
  <c r="AB332" i="2"/>
  <c r="AC332" i="2"/>
  <c r="AD332" i="2"/>
  <c r="W333" i="2"/>
  <c r="X333" i="2"/>
  <c r="Y333" i="2"/>
  <c r="Z333" i="2"/>
  <c r="AA333" i="2"/>
  <c r="AB333" i="2"/>
  <c r="AC333" i="2"/>
  <c r="AD333" i="2"/>
  <c r="W334" i="2"/>
  <c r="X334" i="2"/>
  <c r="Y334" i="2"/>
  <c r="Z334" i="2"/>
  <c r="AA334" i="2"/>
  <c r="AB334" i="2"/>
  <c r="AC334" i="2"/>
  <c r="AD334" i="2"/>
  <c r="W335" i="2"/>
  <c r="X335" i="2"/>
  <c r="Y335" i="2"/>
  <c r="Z335" i="2"/>
  <c r="AA335" i="2"/>
  <c r="AB335" i="2"/>
  <c r="AC335" i="2"/>
  <c r="AD335" i="2"/>
  <c r="W336" i="2"/>
  <c r="X336" i="2"/>
  <c r="Y336" i="2"/>
  <c r="Z336" i="2"/>
  <c r="AA336" i="2"/>
  <c r="AB336" i="2"/>
  <c r="AC336" i="2"/>
  <c r="AD336" i="2"/>
  <c r="W337" i="2"/>
  <c r="X337" i="2"/>
  <c r="Y337" i="2"/>
  <c r="Z337" i="2"/>
  <c r="AA337" i="2"/>
  <c r="AB337" i="2"/>
  <c r="AC337" i="2"/>
  <c r="AD337" i="2"/>
  <c r="W338" i="2"/>
  <c r="X338" i="2"/>
  <c r="Y338" i="2"/>
  <c r="Z338" i="2"/>
  <c r="AA338" i="2"/>
  <c r="AB338" i="2"/>
  <c r="AC338" i="2"/>
  <c r="AD338" i="2"/>
  <c r="W339" i="2"/>
  <c r="X339" i="2"/>
  <c r="Y339" i="2"/>
  <c r="Z339" i="2"/>
  <c r="AA339" i="2"/>
  <c r="AB339" i="2"/>
  <c r="AC339" i="2"/>
  <c r="AD339" i="2"/>
  <c r="W340" i="2"/>
  <c r="X340" i="2"/>
  <c r="Y340" i="2"/>
  <c r="Z340" i="2"/>
  <c r="AA340" i="2"/>
  <c r="AB340" i="2"/>
  <c r="AC340" i="2"/>
  <c r="AD340" i="2"/>
  <c r="W341" i="2"/>
  <c r="X341" i="2"/>
  <c r="Y341" i="2"/>
  <c r="Z341" i="2"/>
  <c r="AA341" i="2"/>
  <c r="AB341" i="2"/>
  <c r="AC341" i="2"/>
  <c r="AD341" i="2"/>
  <c r="W342" i="2"/>
  <c r="X342" i="2"/>
  <c r="Y342" i="2"/>
  <c r="Z342" i="2"/>
  <c r="AA342" i="2"/>
  <c r="AB342" i="2"/>
  <c r="AC342" i="2"/>
  <c r="AD342" i="2"/>
  <c r="W343" i="2"/>
  <c r="X343" i="2"/>
  <c r="Y343" i="2"/>
  <c r="Z343" i="2"/>
  <c r="AA343" i="2"/>
  <c r="AB343" i="2"/>
  <c r="AC343" i="2"/>
  <c r="AD343" i="2"/>
  <c r="W344" i="2"/>
  <c r="X344" i="2"/>
  <c r="Y344" i="2"/>
  <c r="Z344" i="2"/>
  <c r="AA344" i="2"/>
  <c r="AB344" i="2"/>
  <c r="AC344" i="2"/>
  <c r="AD344" i="2"/>
  <c r="W345" i="2"/>
  <c r="X345" i="2"/>
  <c r="Y345" i="2"/>
  <c r="Z345" i="2"/>
  <c r="AA345" i="2"/>
  <c r="AB345" i="2"/>
  <c r="AC345" i="2"/>
  <c r="AD345" i="2"/>
  <c r="W346" i="2"/>
  <c r="X346" i="2"/>
  <c r="Y346" i="2"/>
  <c r="Z346" i="2"/>
  <c r="AA346" i="2"/>
  <c r="AB346" i="2"/>
  <c r="AC346" i="2"/>
  <c r="AD346" i="2"/>
  <c r="W347" i="2"/>
  <c r="X347" i="2"/>
  <c r="Y347" i="2"/>
  <c r="Z347" i="2"/>
  <c r="AA347" i="2"/>
  <c r="AB347" i="2"/>
  <c r="AC347" i="2"/>
  <c r="AD347" i="2"/>
  <c r="W348" i="2"/>
  <c r="X348" i="2"/>
  <c r="Y348" i="2"/>
  <c r="Z348" i="2"/>
  <c r="AA348" i="2"/>
  <c r="AB348" i="2"/>
  <c r="AC348" i="2"/>
  <c r="AD348" i="2"/>
  <c r="W349" i="2"/>
  <c r="X349" i="2"/>
  <c r="Y349" i="2"/>
  <c r="Z349" i="2"/>
  <c r="AA349" i="2"/>
  <c r="AB349" i="2"/>
  <c r="AC349" i="2"/>
  <c r="AD349" i="2"/>
  <c r="W350" i="2"/>
  <c r="X350" i="2"/>
  <c r="Y350" i="2"/>
  <c r="Z350" i="2"/>
  <c r="AA350" i="2"/>
  <c r="AB350" i="2"/>
  <c r="AC350" i="2"/>
  <c r="AD350" i="2"/>
  <c r="W351" i="2"/>
  <c r="X351" i="2"/>
  <c r="Y351" i="2"/>
  <c r="Z351" i="2"/>
  <c r="AA351" i="2"/>
  <c r="AB351" i="2"/>
  <c r="AC351" i="2"/>
  <c r="AD351" i="2"/>
  <c r="W352" i="2"/>
  <c r="X352" i="2"/>
  <c r="Y352" i="2"/>
  <c r="Z352" i="2"/>
  <c r="AA352" i="2"/>
  <c r="AB352" i="2"/>
  <c r="AC352" i="2"/>
  <c r="AD352" i="2"/>
  <c r="W353" i="2"/>
  <c r="X353" i="2"/>
  <c r="Y353" i="2"/>
  <c r="Z353" i="2"/>
  <c r="AA353" i="2"/>
  <c r="AB353" i="2"/>
  <c r="AC353" i="2"/>
  <c r="AD353" i="2"/>
  <c r="W354" i="2"/>
  <c r="X354" i="2"/>
  <c r="Y354" i="2"/>
  <c r="Z354" i="2"/>
  <c r="AA354" i="2"/>
  <c r="AB354" i="2"/>
  <c r="AC354" i="2"/>
  <c r="AD354" i="2"/>
  <c r="W355" i="2"/>
  <c r="X355" i="2"/>
  <c r="Y355" i="2"/>
  <c r="Z355" i="2"/>
  <c r="AA355" i="2"/>
  <c r="AB355" i="2"/>
  <c r="AC355" i="2"/>
  <c r="AD355" i="2"/>
  <c r="W356" i="2"/>
  <c r="X356" i="2"/>
  <c r="Y356" i="2"/>
  <c r="Z356" i="2"/>
  <c r="AA356" i="2"/>
  <c r="AB356" i="2"/>
  <c r="AC356" i="2"/>
  <c r="AD356" i="2"/>
  <c r="W357" i="2"/>
  <c r="X357" i="2"/>
  <c r="Y357" i="2"/>
  <c r="Z357" i="2"/>
  <c r="AA357" i="2"/>
  <c r="AB357" i="2"/>
  <c r="AC357" i="2"/>
  <c r="AD357" i="2"/>
  <c r="W358" i="2"/>
  <c r="X358" i="2"/>
  <c r="Y358" i="2"/>
  <c r="Z358" i="2"/>
  <c r="AA358" i="2"/>
  <c r="AB358" i="2"/>
  <c r="AC358" i="2"/>
  <c r="AD358" i="2"/>
  <c r="W359" i="2"/>
  <c r="X359" i="2"/>
  <c r="Y359" i="2"/>
  <c r="Z359" i="2"/>
  <c r="AA359" i="2"/>
  <c r="AB359" i="2"/>
  <c r="AC359" i="2"/>
  <c r="AD359" i="2"/>
  <c r="W360" i="2"/>
  <c r="X360" i="2"/>
  <c r="Y360" i="2"/>
  <c r="Z360" i="2"/>
  <c r="AA360" i="2"/>
  <c r="AB360" i="2"/>
  <c r="AC360" i="2"/>
  <c r="AD360" i="2"/>
  <c r="W361" i="2"/>
  <c r="X361" i="2"/>
  <c r="Y361" i="2"/>
  <c r="Z361" i="2"/>
  <c r="AA361" i="2"/>
  <c r="AB361" i="2"/>
  <c r="AC361" i="2"/>
  <c r="AD361" i="2"/>
  <c r="W362" i="2"/>
  <c r="X362" i="2"/>
  <c r="Y362" i="2"/>
  <c r="Z362" i="2"/>
  <c r="AA362" i="2"/>
  <c r="AB362" i="2"/>
  <c r="AC362" i="2"/>
  <c r="AD362" i="2"/>
  <c r="W363" i="2"/>
  <c r="X363" i="2"/>
  <c r="Y363" i="2"/>
  <c r="Z363" i="2"/>
  <c r="AA363" i="2"/>
  <c r="AB363" i="2"/>
  <c r="AC363" i="2"/>
  <c r="AD363" i="2"/>
  <c r="W364" i="2"/>
  <c r="X364" i="2"/>
  <c r="Y364" i="2"/>
  <c r="Z364" i="2"/>
  <c r="AA364" i="2"/>
  <c r="AB364" i="2"/>
  <c r="AC364" i="2"/>
  <c r="AD364" i="2"/>
  <c r="W365" i="2"/>
  <c r="X365" i="2"/>
  <c r="Y365" i="2"/>
  <c r="Z365" i="2"/>
  <c r="AA365" i="2"/>
  <c r="AB365" i="2"/>
  <c r="AC365" i="2"/>
  <c r="AD365" i="2"/>
  <c r="W366" i="2"/>
  <c r="X366" i="2"/>
  <c r="Y366" i="2"/>
  <c r="Z366" i="2"/>
  <c r="AA366" i="2"/>
  <c r="AB366" i="2"/>
  <c r="AC366" i="2"/>
  <c r="AD366" i="2"/>
  <c r="W367" i="2"/>
  <c r="X367" i="2"/>
  <c r="Y367" i="2"/>
  <c r="Z367" i="2"/>
  <c r="AA367" i="2"/>
  <c r="AB367" i="2"/>
  <c r="AC367" i="2"/>
  <c r="AD367" i="2"/>
  <c r="W368" i="2"/>
  <c r="X368" i="2"/>
  <c r="Y368" i="2"/>
  <c r="Z368" i="2"/>
  <c r="AA368" i="2"/>
  <c r="AB368" i="2"/>
  <c r="AC368" i="2"/>
  <c r="AD368" i="2"/>
  <c r="W369" i="2"/>
  <c r="X369" i="2"/>
  <c r="Y369" i="2"/>
  <c r="Z369" i="2"/>
  <c r="AA369" i="2"/>
  <c r="AB369" i="2"/>
  <c r="AC369" i="2"/>
  <c r="AD369" i="2"/>
  <c r="W370" i="2"/>
  <c r="X370" i="2"/>
  <c r="Y370" i="2"/>
  <c r="Z370" i="2"/>
  <c r="AA370" i="2"/>
  <c r="AB370" i="2"/>
  <c r="AC370" i="2"/>
  <c r="AD370" i="2"/>
  <c r="W371" i="2"/>
  <c r="X371" i="2"/>
  <c r="Y371" i="2"/>
  <c r="Z371" i="2"/>
  <c r="AA371" i="2"/>
  <c r="AB371" i="2"/>
  <c r="AC371" i="2"/>
  <c r="AD371" i="2"/>
  <c r="W372" i="2"/>
  <c r="X372" i="2"/>
  <c r="Y372" i="2"/>
  <c r="Z372" i="2"/>
  <c r="AA372" i="2"/>
  <c r="AB372" i="2"/>
  <c r="AC372" i="2"/>
  <c r="AD372" i="2"/>
  <c r="W373" i="2"/>
  <c r="X373" i="2"/>
  <c r="Y373" i="2"/>
  <c r="Z373" i="2"/>
  <c r="AA373" i="2"/>
  <c r="AB373" i="2"/>
  <c r="AC373" i="2"/>
  <c r="AD373" i="2"/>
  <c r="W374" i="2"/>
  <c r="X374" i="2"/>
  <c r="Y374" i="2"/>
  <c r="Z374" i="2"/>
  <c r="AA374" i="2"/>
  <c r="AB374" i="2"/>
  <c r="AC374" i="2"/>
  <c r="AD374" i="2"/>
  <c r="W375" i="2"/>
  <c r="X375" i="2"/>
  <c r="Y375" i="2"/>
  <c r="Z375" i="2"/>
  <c r="AA375" i="2"/>
  <c r="AB375" i="2"/>
  <c r="AC375" i="2"/>
  <c r="AD375" i="2"/>
  <c r="W376" i="2"/>
  <c r="X376" i="2"/>
  <c r="Y376" i="2"/>
  <c r="Z376" i="2"/>
  <c r="AA376" i="2"/>
  <c r="AB376" i="2"/>
  <c r="AC376" i="2"/>
  <c r="AD376" i="2"/>
  <c r="W377" i="2"/>
  <c r="X377" i="2"/>
  <c r="Y377" i="2"/>
  <c r="Z377" i="2"/>
  <c r="AA377" i="2"/>
  <c r="AB377" i="2"/>
  <c r="AC377" i="2"/>
  <c r="AD377" i="2"/>
  <c r="W378" i="2"/>
  <c r="X378" i="2"/>
  <c r="Y378" i="2"/>
  <c r="Z378" i="2"/>
  <c r="AA378" i="2"/>
  <c r="AB378" i="2"/>
  <c r="AC378" i="2"/>
  <c r="AD378" i="2"/>
  <c r="W379" i="2"/>
  <c r="X379" i="2"/>
  <c r="Y379" i="2"/>
  <c r="Z379" i="2"/>
  <c r="AA379" i="2"/>
  <c r="AB379" i="2"/>
  <c r="AC379" i="2"/>
  <c r="AD379" i="2"/>
  <c r="W380" i="2"/>
  <c r="X380" i="2"/>
  <c r="Y380" i="2"/>
  <c r="Z380" i="2"/>
  <c r="AA380" i="2"/>
  <c r="AB380" i="2"/>
  <c r="AC380" i="2"/>
  <c r="AD380" i="2"/>
  <c r="W381" i="2"/>
  <c r="X381" i="2"/>
  <c r="Y381" i="2"/>
  <c r="Z381" i="2"/>
  <c r="AA381" i="2"/>
  <c r="AB381" i="2"/>
  <c r="AC381" i="2"/>
  <c r="AD381" i="2"/>
  <c r="W382" i="2"/>
  <c r="X382" i="2"/>
  <c r="Y382" i="2"/>
  <c r="Z382" i="2"/>
  <c r="AA382" i="2"/>
  <c r="AB382" i="2"/>
  <c r="AC382" i="2"/>
  <c r="AD382" i="2"/>
  <c r="W383" i="2"/>
  <c r="X383" i="2"/>
  <c r="Y383" i="2"/>
  <c r="Z383" i="2"/>
  <c r="AA383" i="2"/>
  <c r="AB383" i="2"/>
  <c r="AC383" i="2"/>
  <c r="AD383" i="2"/>
  <c r="W384" i="2"/>
  <c r="X384" i="2"/>
  <c r="Y384" i="2"/>
  <c r="Z384" i="2"/>
  <c r="AA384" i="2"/>
  <c r="AB384" i="2"/>
  <c r="AC384" i="2"/>
  <c r="AD384" i="2"/>
  <c r="W385" i="2"/>
  <c r="X385" i="2"/>
  <c r="Y385" i="2"/>
  <c r="Z385" i="2"/>
  <c r="AA385" i="2"/>
  <c r="AB385" i="2"/>
  <c r="AC385" i="2"/>
  <c r="AD385" i="2"/>
  <c r="W386" i="2"/>
  <c r="X386" i="2"/>
  <c r="Y386" i="2"/>
  <c r="Z386" i="2"/>
  <c r="AA386" i="2"/>
  <c r="AB386" i="2"/>
  <c r="AC386" i="2"/>
  <c r="AD386" i="2"/>
  <c r="W387" i="2"/>
  <c r="X387" i="2"/>
  <c r="Y387" i="2"/>
  <c r="Z387" i="2"/>
  <c r="AA387" i="2"/>
  <c r="AB387" i="2"/>
  <c r="AC387" i="2"/>
  <c r="AD387" i="2"/>
  <c r="W388" i="2"/>
  <c r="X388" i="2"/>
  <c r="Y388" i="2"/>
  <c r="Z388" i="2"/>
  <c r="AA388" i="2"/>
  <c r="AB388" i="2"/>
  <c r="AC388" i="2"/>
  <c r="AD388" i="2"/>
  <c r="W389" i="2"/>
  <c r="X389" i="2"/>
  <c r="Y389" i="2"/>
  <c r="Z389" i="2"/>
  <c r="AA389" i="2"/>
  <c r="AB389" i="2"/>
  <c r="AC389" i="2"/>
  <c r="AD389" i="2"/>
  <c r="W390" i="2"/>
  <c r="X390" i="2"/>
  <c r="Y390" i="2"/>
  <c r="Z390" i="2"/>
  <c r="AA390" i="2"/>
  <c r="AB390" i="2"/>
  <c r="AC390" i="2"/>
  <c r="AD390" i="2"/>
  <c r="W391" i="2"/>
  <c r="X391" i="2"/>
  <c r="Y391" i="2"/>
  <c r="Z391" i="2"/>
  <c r="AA391" i="2"/>
  <c r="AB391" i="2"/>
  <c r="AC391" i="2"/>
  <c r="AD391" i="2"/>
  <c r="W392" i="2"/>
  <c r="X392" i="2"/>
  <c r="Y392" i="2"/>
  <c r="Z392" i="2"/>
  <c r="AA392" i="2"/>
  <c r="AB392" i="2"/>
  <c r="AC392" i="2"/>
  <c r="AD392" i="2"/>
  <c r="W393" i="2"/>
  <c r="X393" i="2"/>
  <c r="Y393" i="2"/>
  <c r="Z393" i="2"/>
  <c r="AA393" i="2"/>
  <c r="AB393" i="2"/>
  <c r="AC393" i="2"/>
  <c r="AD393" i="2"/>
  <c r="W394" i="2"/>
  <c r="X394" i="2"/>
  <c r="Y394" i="2"/>
  <c r="Z394" i="2"/>
  <c r="AA394" i="2"/>
  <c r="AB394" i="2"/>
  <c r="AC394" i="2"/>
  <c r="AD394" i="2"/>
  <c r="W395" i="2"/>
  <c r="X395" i="2"/>
  <c r="Y395" i="2"/>
  <c r="Z395" i="2"/>
  <c r="AA395" i="2"/>
  <c r="AB395" i="2"/>
  <c r="AC395" i="2"/>
  <c r="AD395" i="2"/>
  <c r="W396" i="2"/>
  <c r="X396" i="2"/>
  <c r="Y396" i="2"/>
  <c r="Z396" i="2"/>
  <c r="AA396" i="2"/>
  <c r="AB396" i="2"/>
  <c r="AC396" i="2"/>
  <c r="AD396" i="2"/>
  <c r="W397" i="2"/>
  <c r="X397" i="2"/>
  <c r="Y397" i="2"/>
  <c r="Z397" i="2"/>
  <c r="AA397" i="2"/>
  <c r="AB397" i="2"/>
  <c r="AC397" i="2"/>
  <c r="AD397" i="2"/>
  <c r="W398" i="2"/>
  <c r="X398" i="2"/>
  <c r="Y398" i="2"/>
  <c r="Z398" i="2"/>
  <c r="AA398" i="2"/>
  <c r="AB398" i="2"/>
  <c r="AC398" i="2"/>
  <c r="AD398" i="2"/>
  <c r="W399" i="2"/>
  <c r="X399" i="2"/>
  <c r="Y399" i="2"/>
  <c r="Z399" i="2"/>
  <c r="AA399" i="2"/>
  <c r="AB399" i="2"/>
  <c r="AC399" i="2"/>
  <c r="AD399" i="2"/>
  <c r="W400" i="2"/>
  <c r="X400" i="2"/>
  <c r="Y400" i="2"/>
  <c r="Z400" i="2"/>
  <c r="AA400" i="2"/>
  <c r="AB400" i="2"/>
  <c r="AC400" i="2"/>
  <c r="AD400" i="2"/>
  <c r="W401" i="2"/>
  <c r="X401" i="2"/>
  <c r="Y401" i="2"/>
  <c r="Z401" i="2"/>
  <c r="AA401" i="2"/>
  <c r="AB401" i="2"/>
  <c r="AC401" i="2"/>
  <c r="AD401" i="2"/>
  <c r="W402" i="2"/>
  <c r="X402" i="2"/>
  <c r="Y402" i="2"/>
  <c r="Z402" i="2"/>
  <c r="AA402" i="2"/>
  <c r="AB402" i="2"/>
  <c r="AC402" i="2"/>
  <c r="AD402" i="2"/>
  <c r="W403" i="2"/>
  <c r="X403" i="2"/>
  <c r="Y403" i="2"/>
  <c r="Z403" i="2"/>
  <c r="AA403" i="2"/>
  <c r="AB403" i="2"/>
  <c r="AC403" i="2"/>
  <c r="AD403" i="2"/>
  <c r="W404" i="2"/>
  <c r="X404" i="2"/>
  <c r="Y404" i="2"/>
  <c r="Z404" i="2"/>
  <c r="AA404" i="2"/>
  <c r="AB404" i="2"/>
  <c r="AC404" i="2"/>
  <c r="AD404" i="2"/>
  <c r="W405" i="2"/>
  <c r="X405" i="2"/>
  <c r="Y405" i="2"/>
  <c r="Z405" i="2"/>
  <c r="AA405" i="2"/>
  <c r="AB405" i="2"/>
  <c r="AC405" i="2"/>
  <c r="AD405" i="2"/>
  <c r="W406" i="2"/>
  <c r="X406" i="2"/>
  <c r="Y406" i="2"/>
  <c r="Z406" i="2"/>
  <c r="AA406" i="2"/>
  <c r="AB406" i="2"/>
  <c r="AC406" i="2"/>
  <c r="AD406" i="2"/>
  <c r="W407" i="2"/>
  <c r="X407" i="2"/>
  <c r="Y407" i="2"/>
  <c r="Z407" i="2"/>
  <c r="AA407" i="2"/>
  <c r="AB407" i="2"/>
  <c r="AC407" i="2"/>
  <c r="AD407" i="2"/>
  <c r="W408" i="2"/>
  <c r="X408" i="2"/>
  <c r="Y408" i="2"/>
  <c r="Z408" i="2"/>
  <c r="AA408" i="2"/>
  <c r="AB408" i="2"/>
  <c r="AC408" i="2"/>
  <c r="AD408" i="2"/>
  <c r="W409" i="2"/>
  <c r="X409" i="2"/>
  <c r="Y409" i="2"/>
  <c r="Z409" i="2"/>
  <c r="AA409" i="2"/>
  <c r="AB409" i="2"/>
  <c r="AC409" i="2"/>
  <c r="AD409" i="2"/>
  <c r="W410" i="2"/>
  <c r="X410" i="2"/>
  <c r="Y410" i="2"/>
  <c r="Z410" i="2"/>
  <c r="AA410" i="2"/>
  <c r="AB410" i="2"/>
  <c r="AC410" i="2"/>
  <c r="AD410" i="2"/>
  <c r="W411" i="2"/>
  <c r="X411" i="2"/>
  <c r="Y411" i="2"/>
  <c r="Z411" i="2"/>
  <c r="AA411" i="2"/>
  <c r="AB411" i="2"/>
  <c r="AC411" i="2"/>
  <c r="AD411" i="2"/>
  <c r="W412" i="2"/>
  <c r="X412" i="2"/>
  <c r="Y412" i="2"/>
  <c r="Z412" i="2"/>
  <c r="AA412" i="2"/>
  <c r="AB412" i="2"/>
  <c r="AC412" i="2"/>
  <c r="AD412" i="2"/>
  <c r="W413" i="2"/>
  <c r="X413" i="2"/>
  <c r="Y413" i="2"/>
  <c r="Z413" i="2"/>
  <c r="AA413" i="2"/>
  <c r="AB413" i="2"/>
  <c r="AC413" i="2"/>
  <c r="AD413" i="2"/>
  <c r="W414" i="2"/>
  <c r="X414" i="2"/>
  <c r="Y414" i="2"/>
  <c r="Z414" i="2"/>
  <c r="AA414" i="2"/>
  <c r="AB414" i="2"/>
  <c r="AC414" i="2"/>
  <c r="AD414" i="2"/>
  <c r="W415" i="2"/>
  <c r="X415" i="2"/>
  <c r="Y415" i="2"/>
  <c r="Z415" i="2"/>
  <c r="AA415" i="2"/>
  <c r="AB415" i="2"/>
  <c r="AC415" i="2"/>
  <c r="AD415" i="2"/>
  <c r="W416" i="2"/>
  <c r="X416" i="2"/>
  <c r="Y416" i="2"/>
  <c r="Z416" i="2"/>
  <c r="AA416" i="2"/>
  <c r="AB416" i="2"/>
  <c r="AC416" i="2"/>
  <c r="AD416" i="2"/>
  <c r="W417" i="2"/>
  <c r="X417" i="2"/>
  <c r="Y417" i="2"/>
  <c r="Z417" i="2"/>
  <c r="AA417" i="2"/>
  <c r="AB417" i="2"/>
  <c r="AC417" i="2"/>
  <c r="AD417" i="2"/>
  <c r="W418" i="2"/>
  <c r="X418" i="2"/>
  <c r="Y418" i="2"/>
  <c r="Z418" i="2"/>
  <c r="AA418" i="2"/>
  <c r="AB418" i="2"/>
  <c r="AC418" i="2"/>
  <c r="AD418" i="2"/>
  <c r="W419" i="2"/>
  <c r="X419" i="2"/>
  <c r="Y419" i="2"/>
  <c r="Z419" i="2"/>
  <c r="AA419" i="2"/>
  <c r="AB419" i="2"/>
  <c r="AC419" i="2"/>
  <c r="AD419" i="2"/>
  <c r="W420" i="2"/>
  <c r="X420" i="2"/>
  <c r="Y420" i="2"/>
  <c r="Z420" i="2"/>
  <c r="AA420" i="2"/>
  <c r="AB420" i="2"/>
  <c r="AC420" i="2"/>
  <c r="AD420" i="2"/>
  <c r="W421" i="2"/>
  <c r="X421" i="2"/>
  <c r="Y421" i="2"/>
  <c r="Z421" i="2"/>
  <c r="AA421" i="2"/>
  <c r="AB421" i="2"/>
  <c r="AC421" i="2"/>
  <c r="AD421" i="2"/>
  <c r="W422" i="2"/>
  <c r="X422" i="2"/>
  <c r="Y422" i="2"/>
  <c r="Z422" i="2"/>
  <c r="AA422" i="2"/>
  <c r="AB422" i="2"/>
  <c r="AC422" i="2"/>
  <c r="AD422" i="2"/>
  <c r="W423" i="2"/>
  <c r="X423" i="2"/>
  <c r="Y423" i="2"/>
  <c r="Z423" i="2"/>
  <c r="AA423" i="2"/>
  <c r="AB423" i="2"/>
  <c r="AC423" i="2"/>
  <c r="AD423" i="2"/>
  <c r="W424" i="2"/>
  <c r="X424" i="2"/>
  <c r="Y424" i="2"/>
  <c r="Z424" i="2"/>
  <c r="AA424" i="2"/>
  <c r="AB424" i="2"/>
  <c r="AC424" i="2"/>
  <c r="AD424" i="2"/>
  <c r="W425" i="2"/>
  <c r="X425" i="2"/>
  <c r="Y425" i="2"/>
  <c r="Z425" i="2"/>
  <c r="AA425" i="2"/>
  <c r="AB425" i="2"/>
  <c r="AC425" i="2"/>
  <c r="AD425" i="2"/>
  <c r="W426" i="2"/>
  <c r="X426" i="2"/>
  <c r="Y426" i="2"/>
  <c r="Z426" i="2"/>
  <c r="AA426" i="2"/>
  <c r="AB426" i="2"/>
  <c r="AC426" i="2"/>
  <c r="AD426" i="2"/>
  <c r="W427" i="2"/>
  <c r="X427" i="2"/>
  <c r="Y427" i="2"/>
  <c r="Z427" i="2"/>
  <c r="AA427" i="2"/>
  <c r="AB427" i="2"/>
  <c r="AC427" i="2"/>
  <c r="AD427" i="2"/>
  <c r="W428" i="2"/>
  <c r="X428" i="2"/>
  <c r="Y428" i="2"/>
  <c r="Z428" i="2"/>
  <c r="AA428" i="2"/>
  <c r="AB428" i="2"/>
  <c r="AC428" i="2"/>
  <c r="AD428" i="2"/>
  <c r="W429" i="2"/>
  <c r="X429" i="2"/>
  <c r="Y429" i="2"/>
  <c r="Z429" i="2"/>
  <c r="AA429" i="2"/>
  <c r="AB429" i="2"/>
  <c r="AC429" i="2"/>
  <c r="AD429" i="2"/>
  <c r="W430" i="2"/>
  <c r="X430" i="2"/>
  <c r="Y430" i="2"/>
  <c r="Z430" i="2"/>
  <c r="AA430" i="2"/>
  <c r="AB430" i="2"/>
  <c r="AC430" i="2"/>
  <c r="AD430" i="2"/>
  <c r="W431" i="2"/>
  <c r="X431" i="2"/>
  <c r="Y431" i="2"/>
  <c r="Z431" i="2"/>
  <c r="AA431" i="2"/>
  <c r="AB431" i="2"/>
  <c r="AC431" i="2"/>
  <c r="AD431" i="2"/>
  <c r="W432" i="2"/>
  <c r="X432" i="2"/>
  <c r="Y432" i="2"/>
  <c r="Z432" i="2"/>
  <c r="AA432" i="2"/>
  <c r="AB432" i="2"/>
  <c r="AC432" i="2"/>
  <c r="AD432" i="2"/>
  <c r="W433" i="2"/>
  <c r="X433" i="2"/>
  <c r="Y433" i="2"/>
  <c r="Z433" i="2"/>
  <c r="AA433" i="2"/>
  <c r="AB433" i="2"/>
  <c r="AC433" i="2"/>
  <c r="AD433" i="2"/>
  <c r="W434" i="2"/>
  <c r="X434" i="2"/>
  <c r="Y434" i="2"/>
  <c r="Z434" i="2"/>
  <c r="AA434" i="2"/>
  <c r="AB434" i="2"/>
  <c r="AC434" i="2"/>
  <c r="AD434" i="2"/>
  <c r="W435" i="2"/>
  <c r="X435" i="2"/>
  <c r="Y435" i="2"/>
  <c r="Z435" i="2"/>
  <c r="AA435" i="2"/>
  <c r="AB435" i="2"/>
  <c r="AC435" i="2"/>
  <c r="AD435" i="2"/>
  <c r="W436" i="2"/>
  <c r="X436" i="2"/>
  <c r="Y436" i="2"/>
  <c r="Z436" i="2"/>
  <c r="AA436" i="2"/>
  <c r="AB436" i="2"/>
  <c r="AC436" i="2"/>
  <c r="AD436" i="2"/>
  <c r="W437" i="2"/>
  <c r="X437" i="2"/>
  <c r="Y437" i="2"/>
  <c r="Z437" i="2"/>
  <c r="AA437" i="2"/>
  <c r="AB437" i="2"/>
  <c r="AC437" i="2"/>
  <c r="AD437" i="2"/>
  <c r="W438" i="2"/>
  <c r="X438" i="2"/>
  <c r="Y438" i="2"/>
  <c r="Z438" i="2"/>
  <c r="AA438" i="2"/>
  <c r="AB438" i="2"/>
  <c r="AC438" i="2"/>
  <c r="AD438" i="2"/>
  <c r="W439" i="2"/>
  <c r="X439" i="2"/>
  <c r="Y439" i="2"/>
  <c r="Z439" i="2"/>
  <c r="AA439" i="2"/>
  <c r="AB439" i="2"/>
  <c r="AC439" i="2"/>
  <c r="AD439" i="2"/>
  <c r="W440" i="2"/>
  <c r="X440" i="2"/>
  <c r="Y440" i="2"/>
  <c r="Z440" i="2"/>
  <c r="AA440" i="2"/>
  <c r="AB440" i="2"/>
  <c r="AC440" i="2"/>
  <c r="AD440" i="2"/>
  <c r="W441" i="2"/>
  <c r="X441" i="2"/>
  <c r="Y441" i="2"/>
  <c r="Z441" i="2"/>
  <c r="AA441" i="2"/>
  <c r="AB441" i="2"/>
  <c r="AC441" i="2"/>
  <c r="AD441" i="2"/>
  <c r="W442" i="2"/>
  <c r="X442" i="2"/>
  <c r="Y442" i="2"/>
  <c r="Z442" i="2"/>
  <c r="AA442" i="2"/>
  <c r="AB442" i="2"/>
  <c r="AC442" i="2"/>
  <c r="AD442" i="2"/>
  <c r="W443" i="2"/>
  <c r="X443" i="2"/>
  <c r="Y443" i="2"/>
  <c r="Z443" i="2"/>
  <c r="AA443" i="2"/>
  <c r="AB443" i="2"/>
  <c r="AC443" i="2"/>
  <c r="AD443" i="2"/>
  <c r="W444" i="2"/>
  <c r="X444" i="2"/>
  <c r="Y444" i="2"/>
  <c r="Z444" i="2"/>
  <c r="AA444" i="2"/>
  <c r="AB444" i="2"/>
  <c r="AC444" i="2"/>
  <c r="AD444" i="2"/>
  <c r="W445" i="2"/>
  <c r="X445" i="2"/>
  <c r="Y445" i="2"/>
  <c r="Z445" i="2"/>
  <c r="AA445" i="2"/>
  <c r="AB445" i="2"/>
  <c r="AC445" i="2"/>
  <c r="AD445" i="2"/>
  <c r="W446" i="2"/>
  <c r="X446" i="2"/>
  <c r="Y446" i="2"/>
  <c r="Z446" i="2"/>
  <c r="AA446" i="2"/>
  <c r="AB446" i="2"/>
  <c r="AC446" i="2"/>
  <c r="AD446" i="2"/>
  <c r="W447" i="2"/>
  <c r="X447" i="2"/>
  <c r="Y447" i="2"/>
  <c r="Z447" i="2"/>
  <c r="AA447" i="2"/>
  <c r="AB447" i="2"/>
  <c r="AC447" i="2"/>
  <c r="AD447" i="2"/>
  <c r="W448" i="2"/>
  <c r="X448" i="2"/>
  <c r="Y448" i="2"/>
  <c r="Z448" i="2"/>
  <c r="AA448" i="2"/>
  <c r="AB448" i="2"/>
  <c r="AC448" i="2"/>
  <c r="AD448" i="2"/>
  <c r="W449" i="2"/>
  <c r="X449" i="2"/>
  <c r="Y449" i="2"/>
  <c r="Z449" i="2"/>
  <c r="AA449" i="2"/>
  <c r="AB449" i="2"/>
  <c r="AC449" i="2"/>
  <c r="AD449" i="2"/>
  <c r="W450" i="2"/>
  <c r="X450" i="2"/>
  <c r="Y450" i="2"/>
  <c r="Z450" i="2"/>
  <c r="AA450" i="2"/>
  <c r="AB450" i="2"/>
  <c r="AC450" i="2"/>
  <c r="AD450" i="2"/>
  <c r="W451" i="2"/>
  <c r="X451" i="2"/>
  <c r="Y451" i="2"/>
  <c r="Z451" i="2"/>
  <c r="AA451" i="2"/>
  <c r="AB451" i="2"/>
  <c r="AC451" i="2"/>
  <c r="AD451" i="2"/>
  <c r="W452" i="2"/>
  <c r="X452" i="2"/>
  <c r="Y452" i="2"/>
  <c r="Z452" i="2"/>
  <c r="AA452" i="2"/>
  <c r="AB452" i="2"/>
  <c r="AC452" i="2"/>
  <c r="AD452" i="2"/>
  <c r="W453" i="2"/>
  <c r="X453" i="2"/>
  <c r="Y453" i="2"/>
  <c r="Z453" i="2"/>
  <c r="AA453" i="2"/>
  <c r="AB453" i="2"/>
  <c r="AC453" i="2"/>
  <c r="AD453" i="2"/>
  <c r="W454" i="2"/>
  <c r="X454" i="2"/>
  <c r="Y454" i="2"/>
  <c r="Z454" i="2"/>
  <c r="AA454" i="2"/>
  <c r="AB454" i="2"/>
  <c r="AC454" i="2"/>
  <c r="AD454" i="2"/>
  <c r="W455" i="2"/>
  <c r="X455" i="2"/>
  <c r="Y455" i="2"/>
  <c r="Z455" i="2"/>
  <c r="AA455" i="2"/>
  <c r="AB455" i="2"/>
  <c r="AC455" i="2"/>
  <c r="AD455" i="2"/>
  <c r="W456" i="2"/>
  <c r="X456" i="2"/>
  <c r="Y456" i="2"/>
  <c r="Z456" i="2"/>
  <c r="AA456" i="2"/>
  <c r="AB456" i="2"/>
  <c r="AC456" i="2"/>
  <c r="AD456" i="2"/>
  <c r="W457" i="2"/>
  <c r="X457" i="2"/>
  <c r="Y457" i="2"/>
  <c r="Z457" i="2"/>
  <c r="AA457" i="2"/>
  <c r="AB457" i="2"/>
  <c r="AC457" i="2"/>
  <c r="AD457" i="2"/>
  <c r="W458" i="2"/>
  <c r="X458" i="2"/>
  <c r="Y458" i="2"/>
  <c r="Z458" i="2"/>
  <c r="AA458" i="2"/>
  <c r="AB458" i="2"/>
  <c r="AC458" i="2"/>
  <c r="AD458" i="2"/>
  <c r="W459" i="2"/>
  <c r="X459" i="2"/>
  <c r="Y459" i="2"/>
  <c r="Z459" i="2"/>
  <c r="AA459" i="2"/>
  <c r="AB459" i="2"/>
  <c r="AC459" i="2"/>
  <c r="AD459" i="2"/>
  <c r="W460" i="2"/>
  <c r="X460" i="2"/>
  <c r="Y460" i="2"/>
  <c r="Z460" i="2"/>
  <c r="AA460" i="2"/>
  <c r="AB460" i="2"/>
  <c r="AC460" i="2"/>
  <c r="AD460" i="2"/>
  <c r="W461" i="2"/>
  <c r="X461" i="2"/>
  <c r="Y461" i="2"/>
  <c r="Z461" i="2"/>
  <c r="AA461" i="2"/>
  <c r="AB461" i="2"/>
  <c r="AC461" i="2"/>
  <c r="AD461" i="2"/>
  <c r="W462" i="2"/>
  <c r="X462" i="2"/>
  <c r="Y462" i="2"/>
  <c r="Z462" i="2"/>
  <c r="AA462" i="2"/>
  <c r="AB462" i="2"/>
  <c r="AC462" i="2"/>
  <c r="AD462" i="2"/>
  <c r="W463" i="2"/>
  <c r="X463" i="2"/>
  <c r="Y463" i="2"/>
  <c r="Z463" i="2"/>
  <c r="AA463" i="2"/>
  <c r="AB463" i="2"/>
  <c r="AC463" i="2"/>
  <c r="AD463" i="2"/>
  <c r="W464" i="2"/>
  <c r="X464" i="2"/>
  <c r="Y464" i="2"/>
  <c r="Z464" i="2"/>
  <c r="AA464" i="2"/>
  <c r="AB464" i="2"/>
  <c r="AC464" i="2"/>
  <c r="AD464" i="2"/>
  <c r="W465" i="2"/>
  <c r="X465" i="2"/>
  <c r="Y465" i="2"/>
  <c r="Z465" i="2"/>
  <c r="AA465" i="2"/>
  <c r="AB465" i="2"/>
  <c r="AC465" i="2"/>
  <c r="AD465" i="2"/>
  <c r="W466" i="2"/>
  <c r="X466" i="2"/>
  <c r="Y466" i="2"/>
  <c r="Z466" i="2"/>
  <c r="AA466" i="2"/>
  <c r="AB466" i="2"/>
  <c r="AC466" i="2"/>
  <c r="AD466" i="2"/>
  <c r="W467" i="2"/>
  <c r="X467" i="2"/>
  <c r="Y467" i="2"/>
  <c r="Z467" i="2"/>
  <c r="AA467" i="2"/>
  <c r="AB467" i="2"/>
  <c r="AC467" i="2"/>
  <c r="AD467" i="2"/>
  <c r="W468" i="2"/>
  <c r="X468" i="2"/>
  <c r="Y468" i="2"/>
  <c r="Z468" i="2"/>
  <c r="AA468" i="2"/>
  <c r="AB468" i="2"/>
  <c r="AC468" i="2"/>
  <c r="AD468" i="2"/>
  <c r="W469" i="2"/>
  <c r="X469" i="2"/>
  <c r="Y469" i="2"/>
  <c r="Z469" i="2"/>
  <c r="AA469" i="2"/>
  <c r="AB469" i="2"/>
  <c r="AC469" i="2"/>
  <c r="AD469" i="2"/>
  <c r="W470" i="2"/>
  <c r="X470" i="2"/>
  <c r="Y470" i="2"/>
  <c r="Z470" i="2"/>
  <c r="AA470" i="2"/>
  <c r="AB470" i="2"/>
  <c r="AC470" i="2"/>
  <c r="AD470" i="2"/>
  <c r="W471" i="2"/>
  <c r="X471" i="2"/>
  <c r="Y471" i="2"/>
  <c r="Z471" i="2"/>
  <c r="AA471" i="2"/>
  <c r="AB471" i="2"/>
  <c r="AC471" i="2"/>
  <c r="AD471" i="2"/>
  <c r="W472" i="2"/>
  <c r="X472" i="2"/>
  <c r="Y472" i="2"/>
  <c r="Z472" i="2"/>
  <c r="AA472" i="2"/>
  <c r="AB472" i="2"/>
  <c r="AC472" i="2"/>
  <c r="AD472" i="2"/>
  <c r="W473" i="2"/>
  <c r="X473" i="2"/>
  <c r="Y473" i="2"/>
  <c r="Z473" i="2"/>
  <c r="AA473" i="2"/>
  <c r="AB473" i="2"/>
  <c r="AC473" i="2"/>
  <c r="AD473" i="2"/>
  <c r="W474" i="2"/>
  <c r="X474" i="2"/>
  <c r="Y474" i="2"/>
  <c r="Z474" i="2"/>
  <c r="AA474" i="2"/>
  <c r="AB474" i="2"/>
  <c r="AC474" i="2"/>
  <c r="AD474" i="2"/>
  <c r="W475" i="2"/>
  <c r="X475" i="2"/>
  <c r="Y475" i="2"/>
  <c r="Z475" i="2"/>
  <c r="AA475" i="2"/>
  <c r="AB475" i="2"/>
  <c r="AC475" i="2"/>
  <c r="AD475" i="2"/>
  <c r="W476" i="2"/>
  <c r="X476" i="2"/>
  <c r="Y476" i="2"/>
  <c r="Z476" i="2"/>
  <c r="AA476" i="2"/>
  <c r="AB476" i="2"/>
  <c r="AC476" i="2"/>
  <c r="AD476" i="2"/>
  <c r="W477" i="2"/>
  <c r="X477" i="2"/>
  <c r="Y477" i="2"/>
  <c r="Z477" i="2"/>
  <c r="AA477" i="2"/>
  <c r="AB477" i="2"/>
  <c r="AC477" i="2"/>
  <c r="AD477" i="2"/>
  <c r="W478" i="2"/>
  <c r="X478" i="2"/>
  <c r="Y478" i="2"/>
  <c r="Z478" i="2"/>
  <c r="AA478" i="2"/>
  <c r="AB478" i="2"/>
  <c r="AC478" i="2"/>
  <c r="AD478" i="2"/>
  <c r="W479" i="2"/>
  <c r="X479" i="2"/>
  <c r="Y479" i="2"/>
  <c r="Z479" i="2"/>
  <c r="AA479" i="2"/>
  <c r="AB479" i="2"/>
  <c r="AC479" i="2"/>
  <c r="AD479" i="2"/>
  <c r="W480" i="2"/>
  <c r="X480" i="2"/>
  <c r="Y480" i="2"/>
  <c r="Z480" i="2"/>
  <c r="AA480" i="2"/>
  <c r="AB480" i="2"/>
  <c r="AC480" i="2"/>
  <c r="AD480" i="2"/>
  <c r="W481" i="2"/>
  <c r="X481" i="2"/>
  <c r="Y481" i="2"/>
  <c r="Z481" i="2"/>
  <c r="AA481" i="2"/>
  <c r="AB481" i="2"/>
  <c r="AC481" i="2"/>
  <c r="AD481" i="2"/>
  <c r="W482" i="2"/>
  <c r="X482" i="2"/>
  <c r="Y482" i="2"/>
  <c r="Z482" i="2"/>
  <c r="AA482" i="2"/>
  <c r="AB482" i="2"/>
  <c r="AC482" i="2"/>
  <c r="AD482" i="2"/>
  <c r="W483" i="2"/>
  <c r="X483" i="2"/>
  <c r="Y483" i="2"/>
  <c r="Z483" i="2"/>
  <c r="AA483" i="2"/>
  <c r="AB483" i="2"/>
  <c r="AC483" i="2"/>
  <c r="AD483" i="2"/>
  <c r="W484" i="2"/>
  <c r="X484" i="2"/>
  <c r="Y484" i="2"/>
  <c r="Z484" i="2"/>
  <c r="AA484" i="2"/>
  <c r="AB484" i="2"/>
  <c r="AC484" i="2"/>
  <c r="AD484" i="2"/>
  <c r="W485" i="2"/>
  <c r="X485" i="2"/>
  <c r="Y485" i="2"/>
  <c r="Z485" i="2"/>
  <c r="AA485" i="2"/>
  <c r="AB485" i="2"/>
  <c r="AC485" i="2"/>
  <c r="AD485" i="2"/>
  <c r="W486" i="2"/>
  <c r="X486" i="2"/>
  <c r="Y486" i="2"/>
  <c r="Z486" i="2"/>
  <c r="AA486" i="2"/>
  <c r="AB486" i="2"/>
  <c r="AC486" i="2"/>
  <c r="AD486" i="2"/>
  <c r="W487" i="2"/>
  <c r="X487" i="2"/>
  <c r="Y487" i="2"/>
  <c r="Z487" i="2"/>
  <c r="AA487" i="2"/>
  <c r="AB487" i="2"/>
  <c r="AC487" i="2"/>
  <c r="AD487" i="2"/>
  <c r="W488" i="2"/>
  <c r="X488" i="2"/>
  <c r="Y488" i="2"/>
  <c r="Z488" i="2"/>
  <c r="AA488" i="2"/>
  <c r="AB488" i="2"/>
  <c r="AC488" i="2"/>
  <c r="AD488" i="2"/>
  <c r="W489" i="2"/>
  <c r="X489" i="2"/>
  <c r="Y489" i="2"/>
  <c r="Z489" i="2"/>
  <c r="AA489" i="2"/>
  <c r="AB489" i="2"/>
  <c r="AC489" i="2"/>
  <c r="AD489" i="2"/>
  <c r="W490" i="2"/>
  <c r="X490" i="2"/>
  <c r="Y490" i="2"/>
  <c r="Z490" i="2"/>
  <c r="AA490" i="2"/>
  <c r="AB490" i="2"/>
  <c r="AC490" i="2"/>
  <c r="AD490" i="2"/>
  <c r="W491" i="2"/>
  <c r="X491" i="2"/>
  <c r="Y491" i="2"/>
  <c r="Z491" i="2"/>
  <c r="AA491" i="2"/>
  <c r="AB491" i="2"/>
  <c r="AC491" i="2"/>
  <c r="AD491" i="2"/>
  <c r="W492" i="2"/>
  <c r="X492" i="2"/>
  <c r="Y492" i="2"/>
  <c r="Z492" i="2"/>
  <c r="AA492" i="2"/>
  <c r="AB492" i="2"/>
  <c r="AC492" i="2"/>
  <c r="AD492" i="2"/>
  <c r="W493" i="2"/>
  <c r="X493" i="2"/>
  <c r="Y493" i="2"/>
  <c r="Z493" i="2"/>
  <c r="AA493" i="2"/>
  <c r="AB493" i="2"/>
  <c r="AC493" i="2"/>
  <c r="AD493" i="2"/>
  <c r="W494" i="2"/>
  <c r="X494" i="2"/>
  <c r="Y494" i="2"/>
  <c r="Z494" i="2"/>
  <c r="AA494" i="2"/>
  <c r="AB494" i="2"/>
  <c r="AC494" i="2"/>
  <c r="AD494" i="2"/>
  <c r="W495" i="2"/>
  <c r="X495" i="2"/>
  <c r="Y495" i="2"/>
  <c r="Z495" i="2"/>
  <c r="AA495" i="2"/>
  <c r="AB495" i="2"/>
  <c r="AC495" i="2"/>
  <c r="AD495" i="2"/>
  <c r="W496" i="2"/>
  <c r="X496" i="2"/>
  <c r="Y496" i="2"/>
  <c r="Z496" i="2"/>
  <c r="AA496" i="2"/>
  <c r="AB496" i="2"/>
  <c r="AC496" i="2"/>
  <c r="AD496" i="2"/>
  <c r="W497" i="2"/>
  <c r="X497" i="2"/>
  <c r="Y497" i="2"/>
  <c r="Z497" i="2"/>
  <c r="AA497" i="2"/>
  <c r="AB497" i="2"/>
  <c r="AC497" i="2"/>
  <c r="AD497" i="2"/>
  <c r="W498" i="2"/>
  <c r="X498" i="2"/>
  <c r="Y498" i="2"/>
  <c r="Z498" i="2"/>
  <c r="AA498" i="2"/>
  <c r="AB498" i="2"/>
  <c r="AC498" i="2"/>
  <c r="AD498" i="2"/>
  <c r="W499" i="2"/>
  <c r="X499" i="2"/>
  <c r="Y499" i="2"/>
  <c r="Z499" i="2"/>
  <c r="AA499" i="2"/>
  <c r="AB499" i="2"/>
  <c r="AC499" i="2"/>
  <c r="AD499" i="2"/>
  <c r="W500" i="2"/>
  <c r="X500" i="2"/>
  <c r="Y500" i="2"/>
  <c r="Z500" i="2"/>
  <c r="AA500" i="2"/>
  <c r="AB500" i="2"/>
  <c r="AC500" i="2"/>
  <c r="AD500" i="2"/>
  <c r="W501" i="2"/>
  <c r="X501" i="2"/>
  <c r="Y501" i="2"/>
  <c r="Z501" i="2"/>
  <c r="AA501" i="2"/>
  <c r="AB501" i="2"/>
  <c r="AC501" i="2"/>
  <c r="AD501" i="2"/>
  <c r="W502" i="2"/>
  <c r="X502" i="2"/>
  <c r="Y502" i="2"/>
  <c r="Z502" i="2"/>
  <c r="AA502" i="2"/>
  <c r="AB502" i="2"/>
  <c r="AC502" i="2"/>
  <c r="AD502" i="2"/>
  <c r="W503" i="2"/>
  <c r="X503" i="2"/>
  <c r="Y503" i="2"/>
  <c r="Z503" i="2"/>
  <c r="AA503" i="2"/>
  <c r="AB503" i="2"/>
  <c r="AC503" i="2"/>
  <c r="AD503" i="2"/>
  <c r="W504" i="2"/>
  <c r="X504" i="2"/>
  <c r="Y504" i="2"/>
  <c r="Z504" i="2"/>
  <c r="AA504" i="2"/>
  <c r="AB504" i="2"/>
  <c r="AC504" i="2"/>
  <c r="AD504" i="2"/>
  <c r="W505" i="2"/>
  <c r="X505" i="2"/>
  <c r="Y505" i="2"/>
  <c r="Z505" i="2"/>
  <c r="AA505" i="2"/>
  <c r="AB505" i="2"/>
  <c r="AC505" i="2"/>
  <c r="AD505" i="2"/>
  <c r="W506" i="2"/>
  <c r="X506" i="2"/>
  <c r="Y506" i="2"/>
  <c r="Z506" i="2"/>
  <c r="AA506" i="2"/>
  <c r="AB506" i="2"/>
  <c r="AC506" i="2"/>
  <c r="AD506" i="2"/>
  <c r="W507" i="2"/>
  <c r="X507" i="2"/>
  <c r="Y507" i="2"/>
  <c r="Z507" i="2"/>
  <c r="AA507" i="2"/>
  <c r="AB507" i="2"/>
  <c r="AC507" i="2"/>
  <c r="AD507" i="2"/>
  <c r="W508" i="2"/>
  <c r="X508" i="2"/>
  <c r="Y508" i="2"/>
  <c r="Z508" i="2"/>
  <c r="AA508" i="2"/>
  <c r="AB508" i="2"/>
  <c r="AC508" i="2"/>
  <c r="AD508" i="2"/>
  <c r="W509" i="2"/>
  <c r="X509" i="2"/>
  <c r="Y509" i="2"/>
  <c r="Z509" i="2"/>
  <c r="AA509" i="2"/>
  <c r="AB509" i="2"/>
  <c r="AC509" i="2"/>
  <c r="AD509" i="2"/>
  <c r="W510" i="2"/>
  <c r="X510" i="2"/>
  <c r="Y510" i="2"/>
  <c r="Z510" i="2"/>
  <c r="AA510" i="2"/>
  <c r="AB510" i="2"/>
  <c r="AC510" i="2"/>
  <c r="AD510" i="2"/>
  <c r="W511" i="2"/>
  <c r="X511" i="2"/>
  <c r="Y511" i="2"/>
  <c r="Z511" i="2"/>
  <c r="AA511" i="2"/>
  <c r="AB511" i="2"/>
  <c r="AC511" i="2"/>
  <c r="AD511" i="2"/>
  <c r="W512" i="2"/>
  <c r="X512" i="2"/>
  <c r="Y512" i="2"/>
  <c r="Z512" i="2"/>
  <c r="AA512" i="2"/>
  <c r="AB512" i="2"/>
  <c r="AC512" i="2"/>
  <c r="AD512" i="2"/>
  <c r="W513" i="2"/>
  <c r="X513" i="2"/>
  <c r="Y513" i="2"/>
  <c r="Z513" i="2"/>
  <c r="AA513" i="2"/>
  <c r="AB513" i="2"/>
  <c r="AC513" i="2"/>
  <c r="AD513" i="2"/>
  <c r="W514" i="2"/>
  <c r="X514" i="2"/>
  <c r="Y514" i="2"/>
  <c r="Z514" i="2"/>
  <c r="AA514" i="2"/>
  <c r="AB514" i="2"/>
  <c r="AC514" i="2"/>
  <c r="AD514" i="2"/>
  <c r="W515" i="2"/>
  <c r="X515" i="2"/>
  <c r="Y515" i="2"/>
  <c r="Z515" i="2"/>
  <c r="AA515" i="2"/>
  <c r="AB515" i="2"/>
  <c r="AC515" i="2"/>
  <c r="AD515" i="2"/>
  <c r="W516" i="2"/>
  <c r="X516" i="2"/>
  <c r="Y516" i="2"/>
  <c r="Z516" i="2"/>
  <c r="AA516" i="2"/>
  <c r="AB516" i="2"/>
  <c r="AC516" i="2"/>
  <c r="AD516" i="2"/>
  <c r="W517" i="2"/>
  <c r="X517" i="2"/>
  <c r="Y517" i="2"/>
  <c r="Z517" i="2"/>
  <c r="AA517" i="2"/>
  <c r="AB517" i="2"/>
  <c r="AC517" i="2"/>
  <c r="AD517" i="2"/>
  <c r="W518" i="2"/>
  <c r="X518" i="2"/>
  <c r="Y518" i="2"/>
  <c r="Z518" i="2"/>
  <c r="AA518" i="2"/>
  <c r="AB518" i="2"/>
  <c r="AC518" i="2"/>
  <c r="AD518" i="2"/>
  <c r="W519" i="2"/>
  <c r="X519" i="2"/>
  <c r="Y519" i="2"/>
  <c r="Z519" i="2"/>
  <c r="AA519" i="2"/>
  <c r="AB519" i="2"/>
  <c r="AC519" i="2"/>
  <c r="AD519" i="2"/>
  <c r="W520" i="2"/>
  <c r="X520" i="2"/>
  <c r="Y520" i="2"/>
  <c r="Z520" i="2"/>
  <c r="AA520" i="2"/>
  <c r="AB520" i="2"/>
  <c r="AC520" i="2"/>
  <c r="AD520" i="2"/>
  <c r="W521" i="2"/>
  <c r="X521" i="2"/>
  <c r="Y521" i="2"/>
  <c r="Z521" i="2"/>
  <c r="AA521" i="2"/>
  <c r="AB521" i="2"/>
  <c r="AC521" i="2"/>
  <c r="AD521" i="2"/>
  <c r="W522" i="2"/>
  <c r="X522" i="2"/>
  <c r="Y522" i="2"/>
  <c r="Z522" i="2"/>
  <c r="AA522" i="2"/>
  <c r="AB522" i="2"/>
  <c r="AC522" i="2"/>
  <c r="AD522" i="2"/>
  <c r="W523" i="2"/>
  <c r="X523" i="2"/>
  <c r="Y523" i="2"/>
  <c r="Z523" i="2"/>
  <c r="AA523" i="2"/>
  <c r="AB523" i="2"/>
  <c r="AC523" i="2"/>
  <c r="AD523" i="2"/>
  <c r="W524" i="2"/>
  <c r="X524" i="2"/>
  <c r="Y524" i="2"/>
  <c r="Z524" i="2"/>
  <c r="AA524" i="2"/>
  <c r="AB524" i="2"/>
  <c r="AC524" i="2"/>
  <c r="AD524" i="2"/>
  <c r="W525" i="2"/>
  <c r="X525" i="2"/>
  <c r="Y525" i="2"/>
  <c r="Z525" i="2"/>
  <c r="AA525" i="2"/>
  <c r="AB525" i="2"/>
  <c r="AC525" i="2"/>
  <c r="AD525" i="2"/>
  <c r="W526" i="2"/>
  <c r="X526" i="2"/>
  <c r="Y526" i="2"/>
  <c r="Z526" i="2"/>
  <c r="AA526" i="2"/>
  <c r="AB526" i="2"/>
  <c r="AC526" i="2"/>
  <c r="AD526" i="2"/>
  <c r="W527" i="2"/>
  <c r="X527" i="2"/>
  <c r="Y527" i="2"/>
  <c r="Z527" i="2"/>
  <c r="AA527" i="2"/>
  <c r="AB527" i="2"/>
  <c r="AC527" i="2"/>
  <c r="AD527" i="2"/>
  <c r="W528" i="2"/>
  <c r="X528" i="2"/>
  <c r="Y528" i="2"/>
  <c r="Z528" i="2"/>
  <c r="AA528" i="2"/>
  <c r="AB528" i="2"/>
  <c r="AC528" i="2"/>
  <c r="AD528" i="2"/>
  <c r="W529" i="2"/>
  <c r="X529" i="2"/>
  <c r="Y529" i="2"/>
  <c r="Z529" i="2"/>
  <c r="AA529" i="2"/>
  <c r="AB529" i="2"/>
  <c r="AC529" i="2"/>
  <c r="AD529" i="2"/>
  <c r="W530" i="2"/>
  <c r="X530" i="2"/>
  <c r="Y530" i="2"/>
  <c r="Z530" i="2"/>
  <c r="AA530" i="2"/>
  <c r="AB530" i="2"/>
  <c r="AC530" i="2"/>
  <c r="AD530" i="2"/>
  <c r="W531" i="2"/>
  <c r="X531" i="2"/>
  <c r="Y531" i="2"/>
  <c r="Z531" i="2"/>
  <c r="AA531" i="2"/>
  <c r="AB531" i="2"/>
  <c r="AC531" i="2"/>
  <c r="AD531" i="2"/>
  <c r="W532" i="2"/>
  <c r="X532" i="2"/>
  <c r="Y532" i="2"/>
  <c r="Z532" i="2"/>
  <c r="AA532" i="2"/>
  <c r="AB532" i="2"/>
  <c r="AC532" i="2"/>
  <c r="AD532" i="2"/>
  <c r="W533" i="2"/>
  <c r="X533" i="2"/>
  <c r="Y533" i="2"/>
  <c r="Z533" i="2"/>
  <c r="AA533" i="2"/>
  <c r="AB533" i="2"/>
  <c r="AC533" i="2"/>
  <c r="AD533" i="2"/>
  <c r="W534" i="2"/>
  <c r="X534" i="2"/>
  <c r="Y534" i="2"/>
  <c r="Z534" i="2"/>
  <c r="AA534" i="2"/>
  <c r="AB534" i="2"/>
  <c r="AC534" i="2"/>
  <c r="AD534" i="2"/>
  <c r="W535" i="2"/>
  <c r="X535" i="2"/>
  <c r="Y535" i="2"/>
  <c r="Z535" i="2"/>
  <c r="AA535" i="2"/>
  <c r="AB535" i="2"/>
  <c r="AC535" i="2"/>
  <c r="AD535" i="2"/>
  <c r="W536" i="2"/>
  <c r="X536" i="2"/>
  <c r="Y536" i="2"/>
  <c r="Z536" i="2"/>
  <c r="AA536" i="2"/>
  <c r="AB536" i="2"/>
  <c r="AC536" i="2"/>
  <c r="AD536" i="2"/>
  <c r="W537" i="2"/>
  <c r="X537" i="2"/>
  <c r="Y537" i="2"/>
  <c r="Z537" i="2"/>
  <c r="AA537" i="2"/>
  <c r="AB537" i="2"/>
  <c r="AC537" i="2"/>
  <c r="AD537" i="2"/>
  <c r="W538" i="2"/>
  <c r="X538" i="2"/>
  <c r="Y538" i="2"/>
  <c r="Z538" i="2"/>
  <c r="AA538" i="2"/>
  <c r="AB538" i="2"/>
  <c r="AC538" i="2"/>
  <c r="AD538" i="2"/>
  <c r="W539" i="2"/>
  <c r="X539" i="2"/>
  <c r="Y539" i="2"/>
  <c r="Z539" i="2"/>
  <c r="AA539" i="2"/>
  <c r="AB539" i="2"/>
  <c r="AC539" i="2"/>
  <c r="AD539" i="2"/>
  <c r="W540" i="2"/>
  <c r="X540" i="2"/>
  <c r="Y540" i="2"/>
  <c r="Z540" i="2"/>
  <c r="AA540" i="2"/>
  <c r="AB540" i="2"/>
  <c r="AC540" i="2"/>
  <c r="AD540" i="2"/>
  <c r="W541" i="2"/>
  <c r="X541" i="2"/>
  <c r="Y541" i="2"/>
  <c r="Z541" i="2"/>
  <c r="AA541" i="2"/>
  <c r="AB541" i="2"/>
  <c r="AC541" i="2"/>
  <c r="AD541" i="2"/>
  <c r="W542" i="2"/>
  <c r="X542" i="2"/>
  <c r="Y542" i="2"/>
  <c r="Z542" i="2"/>
  <c r="AA542" i="2"/>
  <c r="AB542" i="2"/>
  <c r="AC542" i="2"/>
  <c r="AD542" i="2"/>
  <c r="W543" i="2"/>
  <c r="X543" i="2"/>
  <c r="Y543" i="2"/>
  <c r="Z543" i="2"/>
  <c r="AA543" i="2"/>
  <c r="AB543" i="2"/>
  <c r="AC543" i="2"/>
  <c r="AD543" i="2"/>
  <c r="W544" i="2"/>
  <c r="X544" i="2"/>
  <c r="Y544" i="2"/>
  <c r="Z544" i="2"/>
  <c r="AA544" i="2"/>
  <c r="AB544" i="2"/>
  <c r="AC544" i="2"/>
  <c r="AD544" i="2"/>
  <c r="W545" i="2"/>
  <c r="X545" i="2"/>
  <c r="Y545" i="2"/>
  <c r="Z545" i="2"/>
  <c r="AA545" i="2"/>
  <c r="AB545" i="2"/>
  <c r="AC545" i="2"/>
  <c r="AD545" i="2"/>
  <c r="W546" i="2"/>
  <c r="X546" i="2"/>
  <c r="Y546" i="2"/>
  <c r="Z546" i="2"/>
  <c r="AA546" i="2"/>
  <c r="AB546" i="2"/>
  <c r="AC546" i="2"/>
  <c r="AD546" i="2"/>
  <c r="W547" i="2"/>
  <c r="X547" i="2"/>
  <c r="Y547" i="2"/>
  <c r="Z547" i="2"/>
  <c r="AA547" i="2"/>
  <c r="AB547" i="2"/>
  <c r="AC547" i="2"/>
  <c r="AD547" i="2"/>
  <c r="W548" i="2"/>
  <c r="X548" i="2"/>
  <c r="Y548" i="2"/>
  <c r="Z548" i="2"/>
  <c r="AA548" i="2"/>
  <c r="AB548" i="2"/>
  <c r="AC548" i="2"/>
  <c r="AD548" i="2"/>
  <c r="W549" i="2"/>
  <c r="X549" i="2"/>
  <c r="Y549" i="2"/>
  <c r="Z549" i="2"/>
  <c r="AA549" i="2"/>
  <c r="AB549" i="2"/>
  <c r="AC549" i="2"/>
  <c r="AD549" i="2"/>
  <c r="W550" i="2"/>
  <c r="X550" i="2"/>
  <c r="Y550" i="2"/>
  <c r="Z550" i="2"/>
  <c r="AA550" i="2"/>
  <c r="AB550" i="2"/>
  <c r="AC550" i="2"/>
  <c r="AD550" i="2"/>
  <c r="W551" i="2"/>
  <c r="X551" i="2"/>
  <c r="Y551" i="2"/>
  <c r="Z551" i="2"/>
  <c r="AA551" i="2"/>
  <c r="AB551" i="2"/>
  <c r="AC551" i="2"/>
  <c r="AD551" i="2"/>
  <c r="W552" i="2"/>
  <c r="X552" i="2"/>
  <c r="Y552" i="2"/>
  <c r="Z552" i="2"/>
  <c r="AA552" i="2"/>
  <c r="AB552" i="2"/>
  <c r="AC552" i="2"/>
  <c r="AD552" i="2"/>
  <c r="W553" i="2"/>
  <c r="X553" i="2"/>
  <c r="Y553" i="2"/>
  <c r="Z553" i="2"/>
  <c r="AA553" i="2"/>
  <c r="AB553" i="2"/>
  <c r="AC553" i="2"/>
  <c r="AD553" i="2"/>
  <c r="W554" i="2"/>
  <c r="X554" i="2"/>
  <c r="Y554" i="2"/>
  <c r="Z554" i="2"/>
  <c r="AA554" i="2"/>
  <c r="AB554" i="2"/>
  <c r="AC554" i="2"/>
  <c r="AD554" i="2"/>
  <c r="W555" i="2"/>
  <c r="X555" i="2"/>
  <c r="Y555" i="2"/>
  <c r="Z555" i="2"/>
  <c r="AA555" i="2"/>
  <c r="AB555" i="2"/>
  <c r="AC555" i="2"/>
  <c r="AD555" i="2"/>
  <c r="W556" i="2"/>
  <c r="X556" i="2"/>
  <c r="Y556" i="2"/>
  <c r="Z556" i="2"/>
  <c r="AA556" i="2"/>
  <c r="AB556" i="2"/>
  <c r="AC556" i="2"/>
  <c r="AD556" i="2"/>
  <c r="W557" i="2"/>
  <c r="X557" i="2"/>
  <c r="Y557" i="2"/>
  <c r="Z557" i="2"/>
  <c r="AA557" i="2"/>
  <c r="AB557" i="2"/>
  <c r="AC557" i="2"/>
  <c r="AD557" i="2"/>
  <c r="W558" i="2"/>
  <c r="X558" i="2"/>
  <c r="Y558" i="2"/>
  <c r="Z558" i="2"/>
  <c r="AA558" i="2"/>
  <c r="AB558" i="2"/>
  <c r="AC558" i="2"/>
  <c r="AD558" i="2"/>
  <c r="W559" i="2"/>
  <c r="X559" i="2"/>
  <c r="Y559" i="2"/>
  <c r="Z559" i="2"/>
  <c r="AA559" i="2"/>
  <c r="AB559" i="2"/>
  <c r="AC559" i="2"/>
  <c r="AD559" i="2"/>
  <c r="W560" i="2"/>
  <c r="X560" i="2"/>
  <c r="Y560" i="2"/>
  <c r="Z560" i="2"/>
  <c r="AA560" i="2"/>
  <c r="AB560" i="2"/>
  <c r="AC560" i="2"/>
  <c r="AD560" i="2"/>
  <c r="W561" i="2"/>
  <c r="X561" i="2"/>
  <c r="Y561" i="2"/>
  <c r="Z561" i="2"/>
  <c r="AA561" i="2"/>
  <c r="AB561" i="2"/>
  <c r="AC561" i="2"/>
  <c r="AD561" i="2"/>
  <c r="W562" i="2"/>
  <c r="X562" i="2"/>
  <c r="Y562" i="2"/>
  <c r="Z562" i="2"/>
  <c r="AA562" i="2"/>
  <c r="AB562" i="2"/>
  <c r="AC562" i="2"/>
  <c r="AD562" i="2"/>
  <c r="W563" i="2"/>
  <c r="X563" i="2"/>
  <c r="Y563" i="2"/>
  <c r="Z563" i="2"/>
  <c r="AA563" i="2"/>
  <c r="AB563" i="2"/>
  <c r="AC563" i="2"/>
  <c r="AD563" i="2"/>
  <c r="W564" i="2"/>
  <c r="X564" i="2"/>
  <c r="Y564" i="2"/>
  <c r="Z564" i="2"/>
  <c r="AA564" i="2"/>
  <c r="AB564" i="2"/>
  <c r="AC564" i="2"/>
  <c r="AD564" i="2"/>
  <c r="W565" i="2"/>
  <c r="X565" i="2"/>
  <c r="Y565" i="2"/>
  <c r="Z565" i="2"/>
  <c r="AA565" i="2"/>
  <c r="AB565" i="2"/>
  <c r="AC565" i="2"/>
  <c r="AD565" i="2"/>
  <c r="W566" i="2"/>
  <c r="X566" i="2"/>
  <c r="Y566" i="2"/>
  <c r="Z566" i="2"/>
  <c r="AA566" i="2"/>
  <c r="AB566" i="2"/>
  <c r="AC566" i="2"/>
  <c r="AD566" i="2"/>
  <c r="W567" i="2"/>
  <c r="X567" i="2"/>
  <c r="Y567" i="2"/>
  <c r="Z567" i="2"/>
  <c r="AA567" i="2"/>
  <c r="AB567" i="2"/>
  <c r="AC567" i="2"/>
  <c r="AD567" i="2"/>
  <c r="W568" i="2"/>
  <c r="X568" i="2"/>
  <c r="Y568" i="2"/>
  <c r="Z568" i="2"/>
  <c r="AA568" i="2"/>
  <c r="AB568" i="2"/>
  <c r="AC568" i="2"/>
  <c r="AD568" i="2"/>
  <c r="W569" i="2"/>
  <c r="X569" i="2"/>
  <c r="Y569" i="2"/>
  <c r="Z569" i="2"/>
  <c r="AA569" i="2"/>
  <c r="AB569" i="2"/>
  <c r="AC569" i="2"/>
  <c r="AD569" i="2"/>
  <c r="W570" i="2"/>
  <c r="X570" i="2"/>
  <c r="Y570" i="2"/>
  <c r="Z570" i="2"/>
  <c r="AA570" i="2"/>
  <c r="AB570" i="2"/>
  <c r="AC570" i="2"/>
  <c r="AD570" i="2"/>
  <c r="W571" i="2"/>
  <c r="X571" i="2"/>
  <c r="Y571" i="2"/>
  <c r="Z571" i="2"/>
  <c r="AA571" i="2"/>
  <c r="AB571" i="2"/>
  <c r="AC571" i="2"/>
  <c r="AD571" i="2"/>
  <c r="W572" i="2"/>
  <c r="X572" i="2"/>
  <c r="Y572" i="2"/>
  <c r="Z572" i="2"/>
  <c r="AA572" i="2"/>
  <c r="AB572" i="2"/>
  <c r="AC572" i="2"/>
  <c r="AD572" i="2"/>
  <c r="W573" i="2"/>
  <c r="X573" i="2"/>
  <c r="Y573" i="2"/>
  <c r="Z573" i="2"/>
  <c r="AA573" i="2"/>
  <c r="AB573" i="2"/>
  <c r="AC573" i="2"/>
  <c r="AD573" i="2"/>
  <c r="W574" i="2"/>
  <c r="X574" i="2"/>
  <c r="Y574" i="2"/>
  <c r="Z574" i="2"/>
  <c r="AA574" i="2"/>
  <c r="AB574" i="2"/>
  <c r="AC574" i="2"/>
  <c r="AD574" i="2"/>
  <c r="W575" i="2"/>
  <c r="X575" i="2"/>
  <c r="Y575" i="2"/>
  <c r="Z575" i="2"/>
  <c r="AA575" i="2"/>
  <c r="AB575" i="2"/>
  <c r="AC575" i="2"/>
  <c r="AD575" i="2"/>
  <c r="W576" i="2"/>
  <c r="X576" i="2"/>
  <c r="Y576" i="2"/>
  <c r="Z576" i="2"/>
  <c r="AA576" i="2"/>
  <c r="AB576" i="2"/>
  <c r="AC576" i="2"/>
  <c r="AD576" i="2"/>
  <c r="W577" i="2"/>
  <c r="X577" i="2"/>
  <c r="Y577" i="2"/>
  <c r="Z577" i="2"/>
  <c r="AA577" i="2"/>
  <c r="AB577" i="2"/>
  <c r="AC577" i="2"/>
  <c r="AD577" i="2"/>
  <c r="W578" i="2"/>
  <c r="X578" i="2"/>
  <c r="Y578" i="2"/>
  <c r="Z578" i="2"/>
  <c r="AA578" i="2"/>
  <c r="AB578" i="2"/>
  <c r="AC578" i="2"/>
  <c r="AD578" i="2"/>
  <c r="W579" i="2"/>
  <c r="X579" i="2"/>
  <c r="Y579" i="2"/>
  <c r="Z579" i="2"/>
  <c r="AA579" i="2"/>
  <c r="AB579" i="2"/>
  <c r="AC579" i="2"/>
  <c r="AD579" i="2"/>
  <c r="W580" i="2"/>
  <c r="X580" i="2"/>
  <c r="Y580" i="2"/>
  <c r="Z580" i="2"/>
  <c r="AA580" i="2"/>
  <c r="AB580" i="2"/>
  <c r="AC580" i="2"/>
  <c r="AD580" i="2"/>
  <c r="W581" i="2"/>
  <c r="X581" i="2"/>
  <c r="Y581" i="2"/>
  <c r="Z581" i="2"/>
  <c r="AA581" i="2"/>
  <c r="AB581" i="2"/>
  <c r="AC581" i="2"/>
  <c r="AD581" i="2"/>
  <c r="W582" i="2"/>
  <c r="X582" i="2"/>
  <c r="Y582" i="2"/>
  <c r="Z582" i="2"/>
  <c r="AA582" i="2"/>
  <c r="AB582" i="2"/>
  <c r="AC582" i="2"/>
  <c r="AD582" i="2"/>
  <c r="W583" i="2"/>
  <c r="X583" i="2"/>
  <c r="Y583" i="2"/>
  <c r="Z583" i="2"/>
  <c r="AA583" i="2"/>
  <c r="AB583" i="2"/>
  <c r="AC583" i="2"/>
  <c r="AD583" i="2"/>
  <c r="W584" i="2"/>
  <c r="X584" i="2"/>
  <c r="Y584" i="2"/>
  <c r="Z584" i="2"/>
  <c r="AA584" i="2"/>
  <c r="AB584" i="2"/>
  <c r="AC584" i="2"/>
  <c r="AD584" i="2"/>
  <c r="W585" i="2"/>
  <c r="X585" i="2"/>
  <c r="Y585" i="2"/>
  <c r="Z585" i="2"/>
  <c r="AA585" i="2"/>
  <c r="AB585" i="2"/>
  <c r="AC585" i="2"/>
  <c r="AD585" i="2"/>
  <c r="W586" i="2"/>
  <c r="X586" i="2"/>
  <c r="Y586" i="2"/>
  <c r="Z586" i="2"/>
  <c r="AA586" i="2"/>
  <c r="AB586" i="2"/>
  <c r="AC586" i="2"/>
  <c r="AD586" i="2"/>
  <c r="W587" i="2"/>
  <c r="X587" i="2"/>
  <c r="Y587" i="2"/>
  <c r="Z587" i="2"/>
  <c r="AA587" i="2"/>
  <c r="AB587" i="2"/>
  <c r="AC587" i="2"/>
  <c r="AD587" i="2"/>
  <c r="W588" i="2"/>
  <c r="X588" i="2"/>
  <c r="Y588" i="2"/>
  <c r="Z588" i="2"/>
  <c r="AA588" i="2"/>
  <c r="AB588" i="2"/>
  <c r="AC588" i="2"/>
  <c r="AD588" i="2"/>
  <c r="W589" i="2"/>
  <c r="X589" i="2"/>
  <c r="Y589" i="2"/>
  <c r="Z589" i="2"/>
  <c r="AA589" i="2"/>
  <c r="AB589" i="2"/>
  <c r="AC589" i="2"/>
  <c r="AD589" i="2"/>
  <c r="W590" i="2"/>
  <c r="X590" i="2"/>
  <c r="Y590" i="2"/>
  <c r="Z590" i="2"/>
  <c r="AA590" i="2"/>
  <c r="AB590" i="2"/>
  <c r="AC590" i="2"/>
  <c r="AD590" i="2"/>
  <c r="W591" i="2"/>
  <c r="X591" i="2"/>
  <c r="Y591" i="2"/>
  <c r="Z591" i="2"/>
  <c r="AA591" i="2"/>
  <c r="AB591" i="2"/>
  <c r="AC591" i="2"/>
  <c r="AD591" i="2"/>
  <c r="W592" i="2"/>
  <c r="X592" i="2"/>
  <c r="Y592" i="2"/>
  <c r="Z592" i="2"/>
  <c r="AA592" i="2"/>
  <c r="AB592" i="2"/>
  <c r="AC592" i="2"/>
  <c r="AD592" i="2"/>
  <c r="W593" i="2"/>
  <c r="X593" i="2"/>
  <c r="Y593" i="2"/>
  <c r="Z593" i="2"/>
  <c r="AA593" i="2"/>
  <c r="AB593" i="2"/>
  <c r="AC593" i="2"/>
  <c r="AD593" i="2"/>
  <c r="W594" i="2"/>
  <c r="X594" i="2"/>
  <c r="Y594" i="2"/>
  <c r="Z594" i="2"/>
  <c r="AA594" i="2"/>
  <c r="AB594" i="2"/>
  <c r="AC594" i="2"/>
  <c r="AD594" i="2"/>
  <c r="W595" i="2"/>
  <c r="X595" i="2"/>
  <c r="Y595" i="2"/>
  <c r="Z595" i="2"/>
  <c r="AA595" i="2"/>
  <c r="AB595" i="2"/>
  <c r="AC595" i="2"/>
  <c r="AD595" i="2"/>
  <c r="W596" i="2"/>
  <c r="X596" i="2"/>
  <c r="Y596" i="2"/>
  <c r="Z596" i="2"/>
  <c r="AA596" i="2"/>
  <c r="AB596" i="2"/>
  <c r="AC596" i="2"/>
  <c r="AD596" i="2"/>
  <c r="W597" i="2"/>
  <c r="X597" i="2"/>
  <c r="Y597" i="2"/>
  <c r="Z597" i="2"/>
  <c r="AA597" i="2"/>
  <c r="AB597" i="2"/>
  <c r="AC597" i="2"/>
  <c r="AD597" i="2"/>
  <c r="W598" i="2"/>
  <c r="X598" i="2"/>
  <c r="Y598" i="2"/>
  <c r="Z598" i="2"/>
  <c r="AA598" i="2"/>
  <c r="AB598" i="2"/>
  <c r="AC598" i="2"/>
  <c r="AD598" i="2"/>
  <c r="W599" i="2"/>
  <c r="X599" i="2"/>
  <c r="Y599" i="2"/>
  <c r="Z599" i="2"/>
  <c r="AA599" i="2"/>
  <c r="AB599" i="2"/>
  <c r="AC599" i="2"/>
  <c r="AD599" i="2"/>
  <c r="W600" i="2"/>
  <c r="X600" i="2"/>
  <c r="Y600" i="2"/>
  <c r="Z600" i="2"/>
  <c r="AA600" i="2"/>
  <c r="AB600" i="2"/>
  <c r="AC600" i="2"/>
  <c r="AD600" i="2"/>
  <c r="W601" i="2"/>
  <c r="X601" i="2"/>
  <c r="Y601" i="2"/>
  <c r="Z601" i="2"/>
  <c r="AA601" i="2"/>
  <c r="AB601" i="2"/>
  <c r="AC601" i="2"/>
  <c r="AD601" i="2"/>
  <c r="W602" i="2"/>
  <c r="X602" i="2"/>
  <c r="Y602" i="2"/>
  <c r="Z602" i="2"/>
  <c r="AA602" i="2"/>
  <c r="AB602" i="2"/>
  <c r="AC602" i="2"/>
  <c r="AD602" i="2"/>
  <c r="W603" i="2"/>
  <c r="X603" i="2"/>
  <c r="Y603" i="2"/>
  <c r="Z603" i="2"/>
  <c r="AA603" i="2"/>
  <c r="AB603" i="2"/>
  <c r="AC603" i="2"/>
  <c r="AD603" i="2"/>
  <c r="W604" i="2"/>
  <c r="X604" i="2"/>
  <c r="Y604" i="2"/>
  <c r="Z604" i="2"/>
  <c r="AA604" i="2"/>
  <c r="AB604" i="2"/>
  <c r="AC604" i="2"/>
  <c r="AD604" i="2"/>
  <c r="W605" i="2"/>
  <c r="X605" i="2"/>
  <c r="Y605" i="2"/>
  <c r="Z605" i="2"/>
  <c r="AA605" i="2"/>
  <c r="AB605" i="2"/>
  <c r="AC605" i="2"/>
  <c r="AD605" i="2"/>
  <c r="W606" i="2"/>
  <c r="X606" i="2"/>
  <c r="Y606" i="2"/>
  <c r="Z606" i="2"/>
  <c r="AA606" i="2"/>
  <c r="AB606" i="2"/>
  <c r="AC606" i="2"/>
  <c r="AD606" i="2"/>
  <c r="W607" i="2"/>
  <c r="X607" i="2"/>
  <c r="Y607" i="2"/>
  <c r="Z607" i="2"/>
  <c r="AA607" i="2"/>
  <c r="AB607" i="2"/>
  <c r="AC607" i="2"/>
  <c r="AD607" i="2"/>
  <c r="W608" i="2"/>
  <c r="X608" i="2"/>
  <c r="Y608" i="2"/>
  <c r="Z608" i="2"/>
  <c r="AA608" i="2"/>
  <c r="AB608" i="2"/>
  <c r="AC608" i="2"/>
  <c r="AD608" i="2"/>
  <c r="W609" i="2"/>
  <c r="X609" i="2"/>
  <c r="Y609" i="2"/>
  <c r="Z609" i="2"/>
  <c r="AA609" i="2"/>
  <c r="AB609" i="2"/>
  <c r="AC609" i="2"/>
  <c r="AD609" i="2"/>
  <c r="W610" i="2"/>
  <c r="X610" i="2"/>
  <c r="Y610" i="2"/>
  <c r="Z610" i="2"/>
  <c r="AA610" i="2"/>
  <c r="AB610" i="2"/>
  <c r="AC610" i="2"/>
  <c r="AD610" i="2"/>
  <c r="W611" i="2"/>
  <c r="X611" i="2"/>
  <c r="Y611" i="2"/>
  <c r="Z611" i="2"/>
  <c r="AA611" i="2"/>
  <c r="AB611" i="2"/>
  <c r="AC611" i="2"/>
  <c r="AD611" i="2"/>
  <c r="W612" i="2"/>
  <c r="X612" i="2"/>
  <c r="Y612" i="2"/>
  <c r="Z612" i="2"/>
  <c r="AA612" i="2"/>
  <c r="AB612" i="2"/>
  <c r="AC612" i="2"/>
  <c r="AD612" i="2"/>
  <c r="W613" i="2"/>
  <c r="X613" i="2"/>
  <c r="Y613" i="2"/>
  <c r="Z613" i="2"/>
  <c r="AA613" i="2"/>
  <c r="AB613" i="2"/>
  <c r="AC613" i="2"/>
  <c r="AD613" i="2"/>
  <c r="W614" i="2"/>
  <c r="X614" i="2"/>
  <c r="Y614" i="2"/>
  <c r="Z614" i="2"/>
  <c r="AA614" i="2"/>
  <c r="AB614" i="2"/>
  <c r="AC614" i="2"/>
  <c r="AD614" i="2"/>
  <c r="W615" i="2"/>
  <c r="X615" i="2"/>
  <c r="Y615" i="2"/>
  <c r="Z615" i="2"/>
  <c r="AA615" i="2"/>
  <c r="AB615" i="2"/>
  <c r="AC615" i="2"/>
  <c r="AD615" i="2"/>
  <c r="W616" i="2"/>
  <c r="X616" i="2"/>
  <c r="Y616" i="2"/>
  <c r="Z616" i="2"/>
  <c r="AA616" i="2"/>
  <c r="AB616" i="2"/>
  <c r="AC616" i="2"/>
  <c r="AD616" i="2"/>
  <c r="W617" i="2"/>
  <c r="X617" i="2"/>
  <c r="Y617" i="2"/>
  <c r="Z617" i="2"/>
  <c r="AA617" i="2"/>
  <c r="AB617" i="2"/>
  <c r="AC617" i="2"/>
  <c r="AD617" i="2"/>
  <c r="W618" i="2"/>
  <c r="X618" i="2"/>
  <c r="Y618" i="2"/>
  <c r="Z618" i="2"/>
  <c r="AA618" i="2"/>
  <c r="AB618" i="2"/>
  <c r="AC618" i="2"/>
  <c r="AD618" i="2"/>
  <c r="W619" i="2"/>
  <c r="X619" i="2"/>
  <c r="Y619" i="2"/>
  <c r="Z619" i="2"/>
  <c r="AA619" i="2"/>
  <c r="AB619" i="2"/>
  <c r="AC619" i="2"/>
  <c r="AD619" i="2"/>
  <c r="W620" i="2"/>
  <c r="X620" i="2"/>
  <c r="Y620" i="2"/>
  <c r="Z620" i="2"/>
  <c r="AA620" i="2"/>
  <c r="AB620" i="2"/>
  <c r="AC620" i="2"/>
  <c r="AD620" i="2"/>
  <c r="W621" i="2"/>
  <c r="X621" i="2"/>
  <c r="Y621" i="2"/>
  <c r="Z621" i="2"/>
  <c r="AA621" i="2"/>
  <c r="AB621" i="2"/>
  <c r="AC621" i="2"/>
  <c r="AD621" i="2"/>
  <c r="W622" i="2"/>
  <c r="X622" i="2"/>
  <c r="Y622" i="2"/>
  <c r="Z622" i="2"/>
  <c r="AA622" i="2"/>
  <c r="AB622" i="2"/>
  <c r="AC622" i="2"/>
  <c r="AD622" i="2"/>
  <c r="W623" i="2"/>
  <c r="X623" i="2"/>
  <c r="Y623" i="2"/>
  <c r="Z623" i="2"/>
  <c r="AA623" i="2"/>
  <c r="AB623" i="2"/>
  <c r="AC623" i="2"/>
  <c r="AD623" i="2"/>
  <c r="W624" i="2"/>
  <c r="X624" i="2"/>
  <c r="Y624" i="2"/>
  <c r="Z624" i="2"/>
  <c r="AA624" i="2"/>
  <c r="AB624" i="2"/>
  <c r="AC624" i="2"/>
  <c r="AD624" i="2"/>
  <c r="W625" i="2"/>
  <c r="X625" i="2"/>
  <c r="Y625" i="2"/>
  <c r="Z625" i="2"/>
  <c r="AA625" i="2"/>
  <c r="AB625" i="2"/>
  <c r="AC625" i="2"/>
  <c r="AD625" i="2"/>
  <c r="W626" i="2"/>
  <c r="X626" i="2"/>
  <c r="Y626" i="2"/>
  <c r="Z626" i="2"/>
  <c r="AA626" i="2"/>
  <c r="AB626" i="2"/>
  <c r="AC626" i="2"/>
  <c r="AD626" i="2"/>
  <c r="W627" i="2"/>
  <c r="X627" i="2"/>
  <c r="Y627" i="2"/>
  <c r="Z627" i="2"/>
  <c r="AA627" i="2"/>
  <c r="AB627" i="2"/>
  <c r="AC627" i="2"/>
  <c r="AD627" i="2"/>
  <c r="W628" i="2"/>
  <c r="X628" i="2"/>
  <c r="Y628" i="2"/>
  <c r="Z628" i="2"/>
  <c r="AA628" i="2"/>
  <c r="AB628" i="2"/>
  <c r="AC628" i="2"/>
  <c r="AD628" i="2"/>
  <c r="W629" i="2"/>
  <c r="X629" i="2"/>
  <c r="Y629" i="2"/>
  <c r="Z629" i="2"/>
  <c r="AA629" i="2"/>
  <c r="AB629" i="2"/>
  <c r="AC629" i="2"/>
  <c r="AD629" i="2"/>
  <c r="W630" i="2"/>
  <c r="X630" i="2"/>
  <c r="Y630" i="2"/>
  <c r="Z630" i="2"/>
  <c r="AA630" i="2"/>
  <c r="AB630" i="2"/>
  <c r="AC630" i="2"/>
  <c r="AD630" i="2"/>
  <c r="W631" i="2"/>
  <c r="X631" i="2"/>
  <c r="Y631" i="2"/>
  <c r="Z631" i="2"/>
  <c r="AA631" i="2"/>
  <c r="AB631" i="2"/>
  <c r="AC631" i="2"/>
  <c r="AD631" i="2"/>
  <c r="W632" i="2"/>
  <c r="X632" i="2"/>
  <c r="Y632" i="2"/>
  <c r="Z632" i="2"/>
  <c r="AA632" i="2"/>
  <c r="AB632" i="2"/>
  <c r="AC632" i="2"/>
  <c r="AD632" i="2"/>
  <c r="W633" i="2"/>
  <c r="X633" i="2"/>
  <c r="Y633" i="2"/>
  <c r="Z633" i="2"/>
  <c r="AA633" i="2"/>
  <c r="AB633" i="2"/>
  <c r="AC633" i="2"/>
  <c r="AD633" i="2"/>
  <c r="W634" i="2"/>
  <c r="X634" i="2"/>
  <c r="Y634" i="2"/>
  <c r="Z634" i="2"/>
  <c r="AA634" i="2"/>
  <c r="AB634" i="2"/>
  <c r="AC634" i="2"/>
  <c r="AD634" i="2"/>
  <c r="W635" i="2"/>
  <c r="X635" i="2"/>
  <c r="Y635" i="2"/>
  <c r="Z635" i="2"/>
  <c r="AA635" i="2"/>
  <c r="AB635" i="2"/>
  <c r="AC635" i="2"/>
  <c r="AD635" i="2"/>
  <c r="W636" i="2"/>
  <c r="X636" i="2"/>
  <c r="Y636" i="2"/>
  <c r="Z636" i="2"/>
  <c r="AA636" i="2"/>
  <c r="AB636" i="2"/>
  <c r="AC636" i="2"/>
  <c r="AD636" i="2"/>
  <c r="W637" i="2"/>
  <c r="X637" i="2"/>
  <c r="Y637" i="2"/>
  <c r="Z637" i="2"/>
  <c r="AA637" i="2"/>
  <c r="AB637" i="2"/>
  <c r="AC637" i="2"/>
  <c r="AD637" i="2"/>
  <c r="W638" i="2"/>
  <c r="X638" i="2"/>
  <c r="Y638" i="2"/>
  <c r="Z638" i="2"/>
  <c r="AA638" i="2"/>
  <c r="AB638" i="2"/>
  <c r="AC638" i="2"/>
  <c r="AD638" i="2"/>
  <c r="W641" i="2"/>
  <c r="X641" i="2"/>
  <c r="Y641" i="2"/>
  <c r="Z641" i="2"/>
  <c r="AA641" i="2"/>
  <c r="AB641" i="2"/>
  <c r="AC641" i="2"/>
  <c r="AD641" i="2"/>
  <c r="W642" i="2"/>
  <c r="X642" i="2"/>
  <c r="Y642" i="2"/>
  <c r="Z642" i="2"/>
  <c r="AA642" i="2"/>
  <c r="AB642" i="2"/>
  <c r="AC642" i="2"/>
  <c r="AD642" i="2"/>
  <c r="W643" i="2"/>
  <c r="X643" i="2"/>
  <c r="Y643" i="2"/>
  <c r="Z643" i="2"/>
  <c r="AA643" i="2"/>
  <c r="AB643" i="2"/>
  <c r="AC643" i="2"/>
  <c r="AD643" i="2"/>
  <c r="W644" i="2"/>
  <c r="X644" i="2"/>
  <c r="Y644" i="2"/>
  <c r="Z644" i="2"/>
  <c r="AA644" i="2"/>
  <c r="AB644" i="2"/>
  <c r="AC644" i="2"/>
  <c r="AD644" i="2"/>
  <c r="W645" i="2"/>
  <c r="X645" i="2"/>
  <c r="Y645" i="2"/>
  <c r="Z645" i="2"/>
  <c r="AA645" i="2"/>
  <c r="AB645" i="2"/>
  <c r="AC645" i="2"/>
  <c r="AD645" i="2"/>
  <c r="W646" i="2"/>
  <c r="X646" i="2"/>
  <c r="Y646" i="2"/>
  <c r="Z646" i="2"/>
  <c r="AA646" i="2"/>
  <c r="AB646" i="2"/>
  <c r="AC646" i="2"/>
  <c r="AD646" i="2"/>
  <c r="W647" i="2"/>
  <c r="X647" i="2"/>
  <c r="Y647" i="2"/>
  <c r="Z647" i="2"/>
  <c r="AA647" i="2"/>
  <c r="AB647" i="2"/>
  <c r="AC647" i="2"/>
  <c r="AD647" i="2"/>
  <c r="W648" i="2"/>
  <c r="X648" i="2"/>
  <c r="Y648" i="2"/>
  <c r="Z648" i="2"/>
  <c r="AA648" i="2"/>
  <c r="AB648" i="2"/>
  <c r="AC648" i="2"/>
  <c r="AD648" i="2"/>
  <c r="W649" i="2"/>
  <c r="X649" i="2"/>
  <c r="Y649" i="2"/>
  <c r="Z649" i="2"/>
  <c r="AA649" i="2"/>
  <c r="AB649" i="2"/>
  <c r="AC649" i="2"/>
  <c r="AD649" i="2"/>
  <c r="W650" i="2"/>
  <c r="X650" i="2"/>
  <c r="Y650" i="2"/>
  <c r="Z650" i="2"/>
  <c r="AA650" i="2"/>
  <c r="AB650" i="2"/>
  <c r="AC650" i="2"/>
  <c r="AD650" i="2"/>
  <c r="W651" i="2"/>
  <c r="X651" i="2"/>
  <c r="Y651" i="2"/>
  <c r="Z651" i="2"/>
  <c r="AA651" i="2"/>
  <c r="AB651" i="2"/>
  <c r="AC651" i="2"/>
  <c r="AD651" i="2"/>
  <c r="W652" i="2"/>
  <c r="X652" i="2"/>
  <c r="Y652" i="2"/>
  <c r="Z652" i="2"/>
  <c r="AA652" i="2"/>
  <c r="AB652" i="2"/>
  <c r="AC652" i="2"/>
  <c r="AD652" i="2"/>
  <c r="W653" i="2"/>
  <c r="X653" i="2"/>
  <c r="Y653" i="2"/>
  <c r="Z653" i="2"/>
  <c r="AA653" i="2"/>
  <c r="AB653" i="2"/>
  <c r="AC653" i="2"/>
  <c r="AD653" i="2"/>
  <c r="W654" i="2"/>
  <c r="X654" i="2"/>
  <c r="Y654" i="2"/>
  <c r="Z654" i="2"/>
  <c r="AA654" i="2"/>
  <c r="AB654" i="2"/>
  <c r="AC654" i="2"/>
  <c r="AD654" i="2"/>
  <c r="W655" i="2"/>
  <c r="X655" i="2"/>
  <c r="Y655" i="2"/>
  <c r="Z655" i="2"/>
  <c r="AA655" i="2"/>
  <c r="AB655" i="2"/>
  <c r="AC655" i="2"/>
  <c r="AD655" i="2"/>
  <c r="W656" i="2"/>
  <c r="X656" i="2"/>
  <c r="Y656" i="2"/>
  <c r="Z656" i="2"/>
  <c r="AA656" i="2"/>
  <c r="AB656" i="2"/>
  <c r="AC656" i="2"/>
  <c r="AD656" i="2"/>
  <c r="W657" i="2"/>
  <c r="X657" i="2"/>
  <c r="Y657" i="2"/>
  <c r="Z657" i="2"/>
  <c r="AA657" i="2"/>
  <c r="AB657" i="2"/>
  <c r="AC657" i="2"/>
  <c r="AD657" i="2"/>
  <c r="W658" i="2"/>
  <c r="X658" i="2"/>
  <c r="Y658" i="2"/>
  <c r="Z658" i="2"/>
  <c r="AA658" i="2"/>
  <c r="AB658" i="2"/>
  <c r="AC658" i="2"/>
  <c r="AD658" i="2"/>
  <c r="W659" i="2"/>
  <c r="X659" i="2"/>
  <c r="Y659" i="2"/>
  <c r="Z659" i="2"/>
  <c r="AA659" i="2"/>
  <c r="AB659" i="2"/>
  <c r="AC659" i="2"/>
  <c r="AD659" i="2"/>
  <c r="W660" i="2"/>
  <c r="X660" i="2"/>
  <c r="Y660" i="2"/>
  <c r="Z660" i="2"/>
  <c r="AA660" i="2"/>
  <c r="AB660" i="2"/>
  <c r="AC660" i="2"/>
  <c r="AD660" i="2"/>
  <c r="W661" i="2"/>
  <c r="X661" i="2"/>
  <c r="Y661" i="2"/>
  <c r="Z661" i="2"/>
  <c r="AA661" i="2"/>
  <c r="AB661" i="2"/>
  <c r="AC661" i="2"/>
  <c r="AD661" i="2"/>
  <c r="W662" i="2"/>
  <c r="X662" i="2"/>
  <c r="Y662" i="2"/>
  <c r="Z662" i="2"/>
  <c r="AA662" i="2"/>
  <c r="AB662" i="2"/>
  <c r="AC662" i="2"/>
  <c r="AD662" i="2"/>
  <c r="W663" i="2"/>
  <c r="X663" i="2"/>
  <c r="Y663" i="2"/>
  <c r="Z663" i="2"/>
  <c r="AA663" i="2"/>
  <c r="AB663" i="2"/>
  <c r="AC663" i="2"/>
  <c r="AD663" i="2"/>
  <c r="W664" i="2"/>
  <c r="X664" i="2"/>
  <c r="Y664" i="2"/>
  <c r="Z664" i="2"/>
  <c r="AA664" i="2"/>
  <c r="AB664" i="2"/>
  <c r="AC664" i="2"/>
  <c r="AD664" i="2"/>
  <c r="W665" i="2"/>
  <c r="X665" i="2"/>
  <c r="Y665" i="2"/>
  <c r="Z665" i="2"/>
  <c r="AA665" i="2"/>
  <c r="AB665" i="2"/>
  <c r="AC665" i="2"/>
  <c r="AD665" i="2"/>
  <c r="W666" i="2"/>
  <c r="X666" i="2"/>
  <c r="Y666" i="2"/>
  <c r="Z666" i="2"/>
  <c r="AA666" i="2"/>
  <c r="AB666" i="2"/>
  <c r="AC666" i="2"/>
  <c r="AD666" i="2"/>
  <c r="W667" i="2"/>
  <c r="X667" i="2"/>
  <c r="Y667" i="2"/>
  <c r="Z667" i="2"/>
  <c r="AA667" i="2"/>
  <c r="AB667" i="2"/>
  <c r="AC667" i="2"/>
  <c r="AD667" i="2"/>
  <c r="W668" i="2"/>
  <c r="X668" i="2"/>
  <c r="Y668" i="2"/>
  <c r="Z668" i="2"/>
  <c r="AA668" i="2"/>
  <c r="AB668" i="2"/>
  <c r="AC668" i="2"/>
  <c r="AD668" i="2"/>
  <c r="W669" i="2"/>
  <c r="X669" i="2"/>
  <c r="Y669" i="2"/>
  <c r="Z669" i="2"/>
  <c r="AA669" i="2"/>
  <c r="AB669" i="2"/>
  <c r="AC669" i="2"/>
  <c r="AD669" i="2"/>
  <c r="W670" i="2"/>
  <c r="X670" i="2"/>
  <c r="Y670" i="2"/>
  <c r="Z670" i="2"/>
  <c r="AA670" i="2"/>
  <c r="AB670" i="2"/>
  <c r="AC670" i="2"/>
  <c r="AD670" i="2"/>
  <c r="W671" i="2"/>
  <c r="X671" i="2"/>
  <c r="Y671" i="2"/>
  <c r="Z671" i="2"/>
  <c r="AA671" i="2"/>
  <c r="AB671" i="2"/>
  <c r="AC671" i="2"/>
  <c r="AD671" i="2"/>
  <c r="W672" i="2"/>
  <c r="X672" i="2"/>
  <c r="Y672" i="2"/>
  <c r="Z672" i="2"/>
  <c r="AA672" i="2"/>
  <c r="AB672" i="2"/>
  <c r="AC672" i="2"/>
  <c r="AD672" i="2"/>
  <c r="W673" i="2"/>
  <c r="X673" i="2"/>
  <c r="Y673" i="2"/>
  <c r="Z673" i="2"/>
  <c r="AA673" i="2"/>
  <c r="AB673" i="2"/>
  <c r="AC673" i="2"/>
  <c r="AD673" i="2"/>
  <c r="W674" i="2"/>
  <c r="X674" i="2"/>
  <c r="Y674" i="2"/>
  <c r="Z674" i="2"/>
  <c r="AA674" i="2"/>
  <c r="AB674" i="2"/>
  <c r="AC674" i="2"/>
  <c r="AD674" i="2"/>
  <c r="W675" i="2"/>
  <c r="X675" i="2"/>
  <c r="Y675" i="2"/>
  <c r="Z675" i="2"/>
  <c r="AA675" i="2"/>
  <c r="AB675" i="2"/>
  <c r="AC675" i="2"/>
  <c r="AD675" i="2"/>
  <c r="W676" i="2"/>
  <c r="X676" i="2"/>
  <c r="Y676" i="2"/>
  <c r="Z676" i="2"/>
  <c r="AA676" i="2"/>
  <c r="AB676" i="2"/>
  <c r="AC676" i="2"/>
  <c r="AD676" i="2"/>
  <c r="W677" i="2"/>
  <c r="X677" i="2"/>
  <c r="Y677" i="2"/>
  <c r="Z677" i="2"/>
  <c r="AA677" i="2"/>
  <c r="AB677" i="2"/>
  <c r="AC677" i="2"/>
  <c r="AD677" i="2"/>
  <c r="W678" i="2"/>
  <c r="X678" i="2"/>
  <c r="Y678" i="2"/>
  <c r="Z678" i="2"/>
  <c r="AA678" i="2"/>
  <c r="AB678" i="2"/>
  <c r="AC678" i="2"/>
  <c r="AD678" i="2"/>
  <c r="W679" i="2"/>
  <c r="X679" i="2"/>
  <c r="Y679" i="2"/>
  <c r="Z679" i="2"/>
  <c r="AA679" i="2"/>
  <c r="AB679" i="2"/>
  <c r="AC679" i="2"/>
  <c r="AD679" i="2"/>
  <c r="W680" i="2"/>
  <c r="X680" i="2"/>
  <c r="Y680" i="2"/>
  <c r="Z680" i="2"/>
  <c r="AA680" i="2"/>
  <c r="AB680" i="2"/>
  <c r="AC680" i="2"/>
  <c r="AD680" i="2"/>
  <c r="W681" i="2"/>
  <c r="X681" i="2"/>
  <c r="Y681" i="2"/>
  <c r="Z681" i="2"/>
  <c r="AA681" i="2"/>
  <c r="AB681" i="2"/>
  <c r="AC681" i="2"/>
  <c r="AD681" i="2"/>
  <c r="W682" i="2"/>
  <c r="X682" i="2"/>
  <c r="Y682" i="2"/>
  <c r="Z682" i="2"/>
  <c r="AA682" i="2"/>
  <c r="AB682" i="2"/>
  <c r="AC682" i="2"/>
  <c r="AD682" i="2"/>
  <c r="W683" i="2"/>
  <c r="X683" i="2"/>
  <c r="Y683" i="2"/>
  <c r="Z683" i="2"/>
  <c r="AA683" i="2"/>
  <c r="AB683" i="2"/>
  <c r="AC683" i="2"/>
  <c r="AD683" i="2"/>
  <c r="W684" i="2"/>
  <c r="X684" i="2"/>
  <c r="Y684" i="2"/>
  <c r="Z684" i="2"/>
  <c r="AA684" i="2"/>
  <c r="AB684" i="2"/>
  <c r="AC684" i="2"/>
  <c r="AD684" i="2"/>
  <c r="W685" i="2"/>
  <c r="X685" i="2"/>
  <c r="Y685" i="2"/>
  <c r="Z685" i="2"/>
  <c r="AA685" i="2"/>
  <c r="AB685" i="2"/>
  <c r="AC685" i="2"/>
  <c r="AD685" i="2"/>
  <c r="W686" i="2"/>
  <c r="X686" i="2"/>
  <c r="Y686" i="2"/>
  <c r="Z686" i="2"/>
  <c r="AA686" i="2"/>
  <c r="AB686" i="2"/>
  <c r="AC686" i="2"/>
  <c r="AD686" i="2"/>
  <c r="W687" i="2"/>
  <c r="X687" i="2"/>
  <c r="Y687" i="2"/>
  <c r="Z687" i="2"/>
  <c r="AA687" i="2"/>
  <c r="AB687" i="2"/>
  <c r="AC687" i="2"/>
  <c r="AD687" i="2"/>
  <c r="W688" i="2"/>
  <c r="X688" i="2"/>
  <c r="Y688" i="2"/>
  <c r="Z688" i="2"/>
  <c r="AA688" i="2"/>
  <c r="AB688" i="2"/>
  <c r="AC688" i="2"/>
  <c r="AD688" i="2"/>
  <c r="W689" i="2"/>
  <c r="X689" i="2"/>
  <c r="Y689" i="2"/>
  <c r="Z689" i="2"/>
  <c r="AA689" i="2"/>
  <c r="AB689" i="2"/>
  <c r="AC689" i="2"/>
  <c r="AD689" i="2"/>
  <c r="W690" i="2"/>
  <c r="X690" i="2"/>
  <c r="Y690" i="2"/>
  <c r="Z690" i="2"/>
  <c r="AA690" i="2"/>
  <c r="AB690" i="2"/>
  <c r="AC690" i="2"/>
  <c r="AD690" i="2"/>
  <c r="W691" i="2"/>
  <c r="X691" i="2"/>
  <c r="Y691" i="2"/>
  <c r="Z691" i="2"/>
  <c r="AA691" i="2"/>
  <c r="AB691" i="2"/>
  <c r="AC691" i="2"/>
  <c r="AD691" i="2"/>
  <c r="W692" i="2"/>
  <c r="X692" i="2"/>
  <c r="Y692" i="2"/>
  <c r="Z692" i="2"/>
  <c r="AA692" i="2"/>
  <c r="AB692" i="2"/>
  <c r="AC692" i="2"/>
  <c r="AD692" i="2"/>
  <c r="W693" i="2"/>
  <c r="X693" i="2"/>
  <c r="Y693" i="2"/>
  <c r="Z693" i="2"/>
  <c r="AA693" i="2"/>
  <c r="AB693" i="2"/>
  <c r="AC693" i="2"/>
  <c r="AD693" i="2"/>
  <c r="W694" i="2"/>
  <c r="X694" i="2"/>
  <c r="Y694" i="2"/>
  <c r="Z694" i="2"/>
  <c r="AA694" i="2"/>
  <c r="AB694" i="2"/>
  <c r="AC694" i="2"/>
  <c r="AD694" i="2"/>
  <c r="W695" i="2"/>
  <c r="X695" i="2"/>
  <c r="Y695" i="2"/>
  <c r="Z695" i="2"/>
  <c r="AA695" i="2"/>
  <c r="AB695" i="2"/>
  <c r="AC695" i="2"/>
  <c r="AD695" i="2"/>
  <c r="W696" i="2"/>
  <c r="X696" i="2"/>
  <c r="Y696" i="2"/>
  <c r="Z696" i="2"/>
  <c r="AA696" i="2"/>
  <c r="AB696" i="2"/>
  <c r="AC696" i="2"/>
  <c r="AD696" i="2"/>
  <c r="W697" i="2"/>
  <c r="X697" i="2"/>
  <c r="Y697" i="2"/>
  <c r="Z697" i="2"/>
  <c r="AA697" i="2"/>
  <c r="AB697" i="2"/>
  <c r="AC697" i="2"/>
  <c r="AD697" i="2"/>
  <c r="W698" i="2"/>
  <c r="X698" i="2"/>
  <c r="Y698" i="2"/>
  <c r="Z698" i="2"/>
  <c r="AA698" i="2"/>
  <c r="AB698" i="2"/>
  <c r="AC698" i="2"/>
  <c r="AD698" i="2"/>
  <c r="W699" i="2"/>
  <c r="X699" i="2"/>
  <c r="Y699" i="2"/>
  <c r="Z699" i="2"/>
  <c r="AA699" i="2"/>
  <c r="AB699" i="2"/>
  <c r="AC699" i="2"/>
  <c r="AD699" i="2"/>
  <c r="W700" i="2"/>
  <c r="X700" i="2"/>
  <c r="Y700" i="2"/>
  <c r="Z700" i="2"/>
  <c r="AA700" i="2"/>
  <c r="AB700" i="2"/>
  <c r="AC700" i="2"/>
  <c r="AD700" i="2"/>
  <c r="W701" i="2"/>
  <c r="X701" i="2"/>
  <c r="Y701" i="2"/>
  <c r="Z701" i="2"/>
  <c r="AA701" i="2"/>
  <c r="AB701" i="2"/>
  <c r="AC701" i="2"/>
  <c r="AD701" i="2"/>
  <c r="W702" i="2"/>
  <c r="X702" i="2"/>
  <c r="Y702" i="2"/>
  <c r="Z702" i="2"/>
  <c r="AA702" i="2"/>
  <c r="AB702" i="2"/>
  <c r="AC702" i="2"/>
  <c r="AD702" i="2"/>
  <c r="W703" i="2"/>
  <c r="X703" i="2"/>
  <c r="Y703" i="2"/>
  <c r="Z703" i="2"/>
  <c r="AA703" i="2"/>
  <c r="AB703" i="2"/>
  <c r="AC703" i="2"/>
  <c r="AD703" i="2"/>
  <c r="W704" i="2"/>
  <c r="X704" i="2"/>
  <c r="Y704" i="2"/>
  <c r="Z704" i="2"/>
  <c r="AA704" i="2"/>
  <c r="AB704" i="2"/>
  <c r="AC704" i="2"/>
  <c r="AD704" i="2"/>
  <c r="W705" i="2"/>
  <c r="X705" i="2"/>
  <c r="Y705" i="2"/>
  <c r="Z705" i="2"/>
  <c r="AA705" i="2"/>
  <c r="AB705" i="2"/>
  <c r="AC705" i="2"/>
  <c r="AD705" i="2"/>
  <c r="W706" i="2"/>
  <c r="X706" i="2"/>
  <c r="Y706" i="2"/>
  <c r="Z706" i="2"/>
  <c r="AA706" i="2"/>
  <c r="AB706" i="2"/>
  <c r="AC706" i="2"/>
  <c r="AD706" i="2"/>
  <c r="W707" i="2"/>
  <c r="X707" i="2"/>
  <c r="Y707" i="2"/>
  <c r="Z707" i="2"/>
  <c r="AA707" i="2"/>
  <c r="AB707" i="2"/>
  <c r="AC707" i="2"/>
  <c r="AD707" i="2"/>
  <c r="W708" i="2"/>
  <c r="X708" i="2"/>
  <c r="Y708" i="2"/>
  <c r="Z708" i="2"/>
  <c r="AA708" i="2"/>
  <c r="AB708" i="2"/>
  <c r="AC708" i="2"/>
  <c r="AD708" i="2"/>
  <c r="W709" i="2"/>
  <c r="X709" i="2"/>
  <c r="Y709" i="2"/>
  <c r="Z709" i="2"/>
  <c r="AA709" i="2"/>
  <c r="AB709" i="2"/>
  <c r="AC709" i="2"/>
  <c r="AD709" i="2"/>
  <c r="W710" i="2"/>
  <c r="X710" i="2"/>
  <c r="Y710" i="2"/>
  <c r="Z710" i="2"/>
  <c r="AA710" i="2"/>
  <c r="AB710" i="2"/>
  <c r="AC710" i="2"/>
  <c r="AD710" i="2"/>
  <c r="W711" i="2"/>
  <c r="X711" i="2"/>
  <c r="Y711" i="2"/>
  <c r="Z711" i="2"/>
  <c r="AA711" i="2"/>
  <c r="AB711" i="2"/>
  <c r="AC711" i="2"/>
  <c r="AD711" i="2"/>
  <c r="W712" i="2"/>
  <c r="X712" i="2"/>
  <c r="Y712" i="2"/>
  <c r="Z712" i="2"/>
  <c r="AA712" i="2"/>
  <c r="AB712" i="2"/>
  <c r="AC712" i="2"/>
  <c r="AD712" i="2"/>
  <c r="W713" i="2"/>
  <c r="X713" i="2"/>
  <c r="Y713" i="2"/>
  <c r="Z713" i="2"/>
  <c r="AA713" i="2"/>
  <c r="AB713" i="2"/>
  <c r="AC713" i="2"/>
  <c r="AD713" i="2"/>
  <c r="W714" i="2"/>
  <c r="X714" i="2"/>
  <c r="Y714" i="2"/>
  <c r="Z714" i="2"/>
  <c r="AA714" i="2"/>
  <c r="AB714" i="2"/>
  <c r="AC714" i="2"/>
  <c r="AD714" i="2"/>
  <c r="W715" i="2"/>
  <c r="X715" i="2"/>
  <c r="Y715" i="2"/>
  <c r="Z715" i="2"/>
  <c r="AA715" i="2"/>
  <c r="AB715" i="2"/>
  <c r="AC715" i="2"/>
  <c r="AD715" i="2"/>
  <c r="W716" i="2"/>
  <c r="X716" i="2"/>
  <c r="Y716" i="2"/>
  <c r="Z716" i="2"/>
  <c r="AA716" i="2"/>
  <c r="AB716" i="2"/>
  <c r="AC716" i="2"/>
  <c r="AD716" i="2"/>
  <c r="W717" i="2"/>
  <c r="X717" i="2"/>
  <c r="Y717" i="2"/>
  <c r="Z717" i="2"/>
  <c r="AA717" i="2"/>
  <c r="AB717" i="2"/>
  <c r="AC717" i="2"/>
  <c r="AD717" i="2"/>
  <c r="W718" i="2"/>
  <c r="X718" i="2"/>
  <c r="Y718" i="2"/>
  <c r="Z718" i="2"/>
  <c r="AA718" i="2"/>
  <c r="AB718" i="2"/>
  <c r="AC718" i="2"/>
  <c r="AD718" i="2"/>
  <c r="W719" i="2"/>
  <c r="X719" i="2"/>
  <c r="Y719" i="2"/>
  <c r="Z719" i="2"/>
  <c r="AA719" i="2"/>
  <c r="AB719" i="2"/>
  <c r="AC719" i="2"/>
  <c r="AD719" i="2"/>
  <c r="W720" i="2"/>
  <c r="X720" i="2"/>
  <c r="Y720" i="2"/>
  <c r="Z720" i="2"/>
  <c r="AA720" i="2"/>
  <c r="AB720" i="2"/>
  <c r="AC720" i="2"/>
  <c r="AD720" i="2"/>
  <c r="W721" i="2"/>
  <c r="X721" i="2"/>
  <c r="Y721" i="2"/>
  <c r="Z721" i="2"/>
  <c r="AA721" i="2"/>
  <c r="AB721" i="2"/>
  <c r="AC721" i="2"/>
  <c r="AD721" i="2"/>
  <c r="W722" i="2"/>
  <c r="X722" i="2"/>
  <c r="Y722" i="2"/>
  <c r="Z722" i="2"/>
  <c r="AA722" i="2"/>
  <c r="AB722" i="2"/>
  <c r="AC722" i="2"/>
  <c r="AD722" i="2"/>
  <c r="W723" i="2"/>
  <c r="X723" i="2"/>
  <c r="Y723" i="2"/>
  <c r="Z723" i="2"/>
  <c r="AA723" i="2"/>
  <c r="AB723" i="2"/>
  <c r="AC723" i="2"/>
  <c r="AD723" i="2"/>
  <c r="W724" i="2"/>
  <c r="X724" i="2"/>
  <c r="Y724" i="2"/>
  <c r="Z724" i="2"/>
  <c r="AA724" i="2"/>
  <c r="AB724" i="2"/>
  <c r="AC724" i="2"/>
  <c r="AD724" i="2"/>
  <c r="W725" i="2"/>
  <c r="X725" i="2"/>
  <c r="Y725" i="2"/>
  <c r="Z725" i="2"/>
  <c r="AA725" i="2"/>
  <c r="AB725" i="2"/>
  <c r="AC725" i="2"/>
  <c r="AD725" i="2"/>
  <c r="W726" i="2"/>
  <c r="X726" i="2"/>
  <c r="Y726" i="2"/>
  <c r="Z726" i="2"/>
  <c r="AA726" i="2"/>
  <c r="AB726" i="2"/>
  <c r="AC726" i="2"/>
  <c r="AD726" i="2"/>
  <c r="W727" i="2"/>
  <c r="X727" i="2"/>
  <c r="Y727" i="2"/>
  <c r="Z727" i="2"/>
  <c r="AA727" i="2"/>
  <c r="AB727" i="2"/>
  <c r="AC727" i="2"/>
  <c r="AD727" i="2"/>
  <c r="W728" i="2"/>
  <c r="X728" i="2"/>
  <c r="Y728" i="2"/>
  <c r="Z728" i="2"/>
  <c r="AA728" i="2"/>
  <c r="AB728" i="2"/>
  <c r="AC728" i="2"/>
  <c r="AD728" i="2"/>
  <c r="W729" i="2"/>
  <c r="X729" i="2"/>
  <c r="Y729" i="2"/>
  <c r="Z729" i="2"/>
  <c r="AA729" i="2"/>
  <c r="AB729" i="2"/>
  <c r="AC729" i="2"/>
  <c r="AD729" i="2"/>
  <c r="W730" i="2"/>
  <c r="X730" i="2"/>
  <c r="Y730" i="2"/>
  <c r="Z730" i="2"/>
  <c r="AA730" i="2"/>
  <c r="AB730" i="2"/>
  <c r="AC730" i="2"/>
  <c r="AD730" i="2"/>
  <c r="W731" i="2"/>
  <c r="X731" i="2"/>
  <c r="Y731" i="2"/>
  <c r="Z731" i="2"/>
  <c r="AA731" i="2"/>
  <c r="AB731" i="2"/>
  <c r="AC731" i="2"/>
  <c r="AD731" i="2"/>
  <c r="W732" i="2"/>
  <c r="X732" i="2"/>
  <c r="Y732" i="2"/>
  <c r="Z732" i="2"/>
  <c r="AA732" i="2"/>
  <c r="AB732" i="2"/>
  <c r="AC732" i="2"/>
  <c r="AD732" i="2"/>
  <c r="W733" i="2"/>
  <c r="X733" i="2"/>
  <c r="Y733" i="2"/>
  <c r="Z733" i="2"/>
  <c r="AA733" i="2"/>
  <c r="AB733" i="2"/>
  <c r="AC733" i="2"/>
  <c r="AD733" i="2"/>
  <c r="W734" i="2"/>
  <c r="X734" i="2"/>
  <c r="Y734" i="2"/>
  <c r="Z734" i="2"/>
  <c r="AA734" i="2"/>
  <c r="AB734" i="2"/>
  <c r="AC734" i="2"/>
  <c r="AD734" i="2"/>
  <c r="W735" i="2"/>
  <c r="X735" i="2"/>
  <c r="Y735" i="2"/>
  <c r="Z735" i="2"/>
  <c r="AA735" i="2"/>
  <c r="AB735" i="2"/>
  <c r="AC735" i="2"/>
  <c r="AD735" i="2"/>
  <c r="W736" i="2"/>
  <c r="X736" i="2"/>
  <c r="Y736" i="2"/>
  <c r="Z736" i="2"/>
  <c r="AA736" i="2"/>
  <c r="AB736" i="2"/>
  <c r="AC736" i="2"/>
  <c r="AD736" i="2"/>
  <c r="W737" i="2"/>
  <c r="X737" i="2"/>
  <c r="Y737" i="2"/>
  <c r="Z737" i="2"/>
  <c r="AA737" i="2"/>
  <c r="AB737" i="2"/>
  <c r="AC737" i="2"/>
  <c r="AD737" i="2"/>
  <c r="W738" i="2"/>
  <c r="X738" i="2"/>
  <c r="Y738" i="2"/>
  <c r="Z738" i="2"/>
  <c r="AA738" i="2"/>
  <c r="AB738" i="2"/>
  <c r="AC738" i="2"/>
  <c r="AD738" i="2"/>
  <c r="W739" i="2"/>
  <c r="X739" i="2"/>
  <c r="Y739" i="2"/>
  <c r="Z739" i="2"/>
  <c r="AA739" i="2"/>
  <c r="AB739" i="2"/>
  <c r="AC739" i="2"/>
  <c r="AD739" i="2"/>
  <c r="W740" i="2"/>
  <c r="X740" i="2"/>
  <c r="Y740" i="2"/>
  <c r="Z740" i="2"/>
  <c r="AA740" i="2"/>
  <c r="AB740" i="2"/>
  <c r="AC740" i="2"/>
  <c r="AD740" i="2"/>
  <c r="W741" i="2"/>
  <c r="X741" i="2"/>
  <c r="Y741" i="2"/>
  <c r="Z741" i="2"/>
  <c r="AA741" i="2"/>
  <c r="AB741" i="2"/>
  <c r="AC741" i="2"/>
  <c r="AD741" i="2"/>
  <c r="W742" i="2"/>
  <c r="X742" i="2"/>
  <c r="Y742" i="2"/>
  <c r="Z742" i="2"/>
  <c r="AA742" i="2"/>
  <c r="AB742" i="2"/>
  <c r="AC742" i="2"/>
  <c r="AD742" i="2"/>
  <c r="W743" i="2"/>
  <c r="X743" i="2"/>
  <c r="Y743" i="2"/>
  <c r="Z743" i="2"/>
  <c r="AA743" i="2"/>
  <c r="AB743" i="2"/>
  <c r="AC743" i="2"/>
  <c r="AD743" i="2"/>
  <c r="W744" i="2"/>
  <c r="X744" i="2"/>
  <c r="Y744" i="2"/>
  <c r="Z744" i="2"/>
  <c r="AA744" i="2"/>
  <c r="AB744" i="2"/>
  <c r="AC744" i="2"/>
  <c r="AD744" i="2"/>
  <c r="W745" i="2"/>
  <c r="X745" i="2"/>
  <c r="Y745" i="2"/>
  <c r="Z745" i="2"/>
  <c r="AA745" i="2"/>
  <c r="AB745" i="2"/>
  <c r="AC745" i="2"/>
  <c r="AD745" i="2"/>
  <c r="W746" i="2"/>
  <c r="X746" i="2"/>
  <c r="Y746" i="2"/>
  <c r="Z746" i="2"/>
  <c r="AA746" i="2"/>
  <c r="AB746" i="2"/>
  <c r="AC746" i="2"/>
  <c r="AD746" i="2"/>
  <c r="W747" i="2"/>
  <c r="X747" i="2"/>
  <c r="Y747" i="2"/>
  <c r="Z747" i="2"/>
  <c r="AA747" i="2"/>
  <c r="AB747" i="2"/>
  <c r="AC747" i="2"/>
  <c r="AD747" i="2"/>
  <c r="W748" i="2"/>
  <c r="X748" i="2"/>
  <c r="Y748" i="2"/>
  <c r="Z748" i="2"/>
  <c r="AA748" i="2"/>
  <c r="AB748" i="2"/>
  <c r="AC748" i="2"/>
  <c r="AD748" i="2"/>
  <c r="W749" i="2"/>
  <c r="X749" i="2"/>
  <c r="Y749" i="2"/>
  <c r="Z749" i="2"/>
  <c r="AA749" i="2"/>
  <c r="AB749" i="2"/>
  <c r="AC749" i="2"/>
  <c r="AD749" i="2"/>
  <c r="W750" i="2"/>
  <c r="X750" i="2"/>
  <c r="Y750" i="2"/>
  <c r="Z750" i="2"/>
  <c r="AA750" i="2"/>
  <c r="AB750" i="2"/>
  <c r="AC750" i="2"/>
  <c r="AD750" i="2"/>
  <c r="W751" i="2"/>
  <c r="X751" i="2"/>
  <c r="Y751" i="2"/>
  <c r="Z751" i="2"/>
  <c r="AA751" i="2"/>
  <c r="AB751" i="2"/>
  <c r="AC751" i="2"/>
  <c r="AD751" i="2"/>
  <c r="W752" i="2"/>
  <c r="X752" i="2"/>
  <c r="Y752" i="2"/>
  <c r="Z752" i="2"/>
  <c r="AA752" i="2"/>
  <c r="AB752" i="2"/>
  <c r="AC752" i="2"/>
  <c r="AD752" i="2"/>
  <c r="W753" i="2"/>
  <c r="X753" i="2"/>
  <c r="Y753" i="2"/>
  <c r="Z753" i="2"/>
  <c r="AA753" i="2"/>
  <c r="AB753" i="2"/>
  <c r="AC753" i="2"/>
  <c r="AD753" i="2"/>
  <c r="W754" i="2"/>
  <c r="X754" i="2"/>
  <c r="Y754" i="2"/>
  <c r="Z754" i="2"/>
  <c r="AA754" i="2"/>
  <c r="AB754" i="2"/>
  <c r="AC754" i="2"/>
  <c r="AD754" i="2"/>
  <c r="W755" i="2"/>
  <c r="X755" i="2"/>
  <c r="Y755" i="2"/>
  <c r="Z755" i="2"/>
  <c r="AA755" i="2"/>
  <c r="AB755" i="2"/>
  <c r="AC755" i="2"/>
  <c r="AD755" i="2"/>
  <c r="W756" i="2"/>
  <c r="X756" i="2"/>
  <c r="Y756" i="2"/>
  <c r="Z756" i="2"/>
  <c r="AA756" i="2"/>
  <c r="AB756" i="2"/>
  <c r="AC756" i="2"/>
  <c r="AD756" i="2"/>
  <c r="W757" i="2"/>
  <c r="X757" i="2"/>
  <c r="Y757" i="2"/>
  <c r="Z757" i="2"/>
  <c r="AA757" i="2"/>
  <c r="AB757" i="2"/>
  <c r="AC757" i="2"/>
  <c r="AD757" i="2"/>
  <c r="W758" i="2"/>
  <c r="X758" i="2"/>
  <c r="Y758" i="2"/>
  <c r="Z758" i="2"/>
  <c r="AA758" i="2"/>
  <c r="AB758" i="2"/>
  <c r="AC758" i="2"/>
  <c r="AD758" i="2"/>
  <c r="W759" i="2"/>
  <c r="X759" i="2"/>
  <c r="Y759" i="2"/>
  <c r="Z759" i="2"/>
  <c r="AA759" i="2"/>
  <c r="AB759" i="2"/>
  <c r="AC759" i="2"/>
  <c r="AD759" i="2"/>
  <c r="W760" i="2"/>
  <c r="X760" i="2"/>
  <c r="Y760" i="2"/>
  <c r="Z760" i="2"/>
  <c r="AA760" i="2"/>
  <c r="AB760" i="2"/>
  <c r="AC760" i="2"/>
  <c r="AD760" i="2"/>
  <c r="W761" i="2"/>
  <c r="X761" i="2"/>
  <c r="Y761" i="2"/>
  <c r="Z761" i="2"/>
  <c r="AA761" i="2"/>
  <c r="AB761" i="2"/>
  <c r="AC761" i="2"/>
  <c r="AD761" i="2"/>
  <c r="W762" i="2"/>
  <c r="X762" i="2"/>
  <c r="Y762" i="2"/>
  <c r="Z762" i="2"/>
  <c r="AA762" i="2"/>
  <c r="AB762" i="2"/>
  <c r="AC762" i="2"/>
  <c r="AD762" i="2"/>
  <c r="W763" i="2"/>
  <c r="X763" i="2"/>
  <c r="Y763" i="2"/>
  <c r="Z763" i="2"/>
  <c r="AA763" i="2"/>
  <c r="AB763" i="2"/>
  <c r="AC763" i="2"/>
  <c r="AD763" i="2"/>
  <c r="W764" i="2"/>
  <c r="X764" i="2"/>
  <c r="Y764" i="2"/>
  <c r="Z764" i="2"/>
  <c r="AA764" i="2"/>
  <c r="AB764" i="2"/>
  <c r="AC764" i="2"/>
  <c r="AD764" i="2"/>
  <c r="W765" i="2"/>
  <c r="X765" i="2"/>
  <c r="Y765" i="2"/>
  <c r="Z765" i="2"/>
  <c r="AA765" i="2"/>
  <c r="AB765" i="2"/>
  <c r="AC765" i="2"/>
  <c r="AD765" i="2"/>
  <c r="W766" i="2"/>
  <c r="X766" i="2"/>
  <c r="Y766" i="2"/>
  <c r="Z766" i="2"/>
  <c r="AA766" i="2"/>
  <c r="AB766" i="2"/>
  <c r="AC766" i="2"/>
  <c r="AD766" i="2"/>
  <c r="W767" i="2"/>
  <c r="X767" i="2"/>
  <c r="Y767" i="2"/>
  <c r="Z767" i="2"/>
  <c r="AA767" i="2"/>
  <c r="AB767" i="2"/>
  <c r="AC767" i="2"/>
  <c r="AD767" i="2"/>
  <c r="W768" i="2"/>
  <c r="X768" i="2"/>
  <c r="Y768" i="2"/>
  <c r="Z768" i="2"/>
  <c r="AA768" i="2"/>
  <c r="AB768" i="2"/>
  <c r="AC768" i="2"/>
  <c r="AD768" i="2"/>
  <c r="W769" i="2"/>
  <c r="X769" i="2"/>
  <c r="Y769" i="2"/>
  <c r="Z769" i="2"/>
  <c r="AA769" i="2"/>
  <c r="AB769" i="2"/>
  <c r="AC769" i="2"/>
  <c r="AD769" i="2"/>
  <c r="W770" i="2"/>
  <c r="X770" i="2"/>
  <c r="Y770" i="2"/>
  <c r="Z770" i="2"/>
  <c r="AA770" i="2"/>
  <c r="AB770" i="2"/>
  <c r="AC770" i="2"/>
  <c r="AD770" i="2"/>
  <c r="W771" i="2"/>
  <c r="X771" i="2"/>
  <c r="Y771" i="2"/>
  <c r="Z771" i="2"/>
  <c r="AA771" i="2"/>
  <c r="AB771" i="2"/>
  <c r="AC771" i="2"/>
  <c r="AD771" i="2"/>
  <c r="AB4" i="2"/>
  <c r="AC4" i="2"/>
  <c r="AD4" i="2"/>
  <c r="X4" i="2"/>
  <c r="Y4" i="2"/>
  <c r="Z4" i="2"/>
  <c r="AA4" i="2"/>
  <c r="W4" i="2"/>
  <c r="C9" i="9"/>
  <c r="B9" i="9" s="1"/>
  <c r="C10" i="9"/>
  <c r="B10" i="9" s="1"/>
  <c r="C11" i="9"/>
  <c r="B11" i="9" s="1"/>
  <c r="C12" i="9"/>
  <c r="B12" i="9" s="1"/>
  <c r="C13" i="9"/>
  <c r="B13" i="9" s="1"/>
  <c r="C14" i="9"/>
  <c r="B14" i="9" s="1"/>
  <c r="C15" i="9"/>
  <c r="B15" i="9" s="1"/>
  <c r="C17" i="9"/>
  <c r="B17" i="9" s="1"/>
  <c r="C18" i="9"/>
  <c r="B18" i="9" s="1"/>
  <c r="C19" i="9"/>
  <c r="B19" i="9" s="1"/>
  <c r="C20" i="9"/>
  <c r="B20" i="9" s="1"/>
  <c r="C21" i="9"/>
  <c r="B21" i="9" s="1"/>
  <c r="C22" i="9"/>
  <c r="B22" i="9" s="1"/>
  <c r="C23" i="9"/>
  <c r="B23" i="9" s="1"/>
  <c r="C27" i="9"/>
  <c r="B27" i="9" s="1"/>
  <c r="C28" i="9"/>
  <c r="B28" i="9" s="1"/>
  <c r="C29" i="9"/>
  <c r="B29" i="9" s="1"/>
  <c r="C30" i="9"/>
  <c r="B30" i="9" s="1"/>
  <c r="C31" i="9"/>
  <c r="B31" i="9" s="1"/>
  <c r="C32" i="9"/>
  <c r="B32" i="9" s="1"/>
  <c r="C35" i="9"/>
  <c r="B35" i="9" s="1"/>
  <c r="C36" i="9"/>
  <c r="B36" i="9" s="1"/>
  <c r="C37" i="9"/>
  <c r="B37" i="9" s="1"/>
  <c r="C38" i="9"/>
  <c r="B38" i="9" s="1"/>
  <c r="C39" i="9"/>
  <c r="B39" i="9" s="1"/>
  <c r="C40" i="9"/>
  <c r="B40" i="9" s="1"/>
  <c r="C41" i="9"/>
  <c r="B41" i="9" s="1"/>
  <c r="C42" i="9"/>
  <c r="B42" i="9" s="1"/>
  <c r="C43" i="9"/>
  <c r="B43" i="9" s="1"/>
  <c r="C44" i="9"/>
  <c r="B44" i="9" s="1"/>
  <c r="C46" i="9"/>
  <c r="B46" i="9" s="1"/>
  <c r="C47" i="9"/>
  <c r="B47" i="9" s="1"/>
  <c r="C48" i="9"/>
  <c r="B48" i="9" s="1"/>
  <c r="C50" i="9"/>
  <c r="B50" i="9" s="1"/>
  <c r="C51" i="9"/>
  <c r="B51" i="9" s="1"/>
  <c r="C52" i="9"/>
  <c r="B52" i="9" s="1"/>
  <c r="C54" i="9"/>
  <c r="B54" i="9" s="1"/>
  <c r="C55" i="9"/>
  <c r="B55" i="9" s="1"/>
  <c r="C56" i="9"/>
  <c r="B56" i="9" s="1"/>
  <c r="C62" i="9"/>
  <c r="B62" i="9" s="1"/>
  <c r="C63" i="9"/>
  <c r="B63" i="9" s="1"/>
  <c r="C64" i="9"/>
  <c r="B64" i="9" s="1"/>
  <c r="C65" i="9"/>
  <c r="B65" i="9" s="1"/>
  <c r="C67" i="9"/>
  <c r="B67" i="9" s="1"/>
  <c r="C68" i="9"/>
  <c r="B68" i="9" s="1"/>
  <c r="C70" i="9"/>
  <c r="B70" i="9" s="1"/>
  <c r="C71" i="9"/>
  <c r="B71" i="9" s="1"/>
  <c r="C72" i="9"/>
  <c r="B72" i="9" s="1"/>
  <c r="C5" i="9"/>
  <c r="B5" i="9" s="1"/>
  <c r="C6" i="9"/>
  <c r="B6" i="9" s="1"/>
  <c r="C7" i="9"/>
  <c r="B7" i="9" s="1"/>
  <c r="C8" i="9"/>
  <c r="B8" i="9" s="1"/>
  <c r="C3" i="9"/>
  <c r="B3" i="9" s="1"/>
  <c r="C4" i="9"/>
  <c r="B4" i="9" s="1"/>
  <c r="AE89" i="2" l="1"/>
  <c r="R89" i="2"/>
  <c r="AE27" i="2"/>
  <c r="AE11" i="2"/>
  <c r="AE9" i="2"/>
  <c r="AE7" i="2"/>
  <c r="AE5" i="2"/>
  <c r="AE502" i="2"/>
  <c r="AE437" i="2"/>
  <c r="AE433" i="2"/>
  <c r="AE431" i="2"/>
  <c r="AE429" i="2"/>
  <c r="AE425" i="2"/>
  <c r="AE246" i="2"/>
  <c r="AE242" i="2"/>
  <c r="AE240" i="2"/>
  <c r="AE238" i="2"/>
  <c r="AE234" i="2"/>
  <c r="AE181" i="2"/>
  <c r="AE177" i="2"/>
  <c r="AE175" i="2"/>
  <c r="AE173" i="2"/>
  <c r="AE168" i="2"/>
  <c r="AE120" i="2"/>
  <c r="AE454" i="2"/>
  <c r="AE19" i="2"/>
  <c r="AE509" i="2"/>
  <c r="AE699" i="2"/>
  <c r="AE683" i="2"/>
  <c r="AE601" i="2"/>
  <c r="AE573" i="2"/>
  <c r="AE534" i="2"/>
  <c r="AE518" i="2"/>
  <c r="AE736" i="2"/>
  <c r="AE722" i="2"/>
  <c r="AE720" i="2"/>
  <c r="AE764" i="2"/>
  <c r="AE112" i="2"/>
  <c r="AE406" i="2"/>
  <c r="AE404" i="2"/>
  <c r="AE402" i="2"/>
  <c r="AE398" i="2"/>
  <c r="AE374" i="2"/>
  <c r="AE342" i="2"/>
  <c r="AE340" i="2"/>
  <c r="AE338" i="2"/>
  <c r="AE334" i="2"/>
  <c r="AE332" i="2"/>
  <c r="AE326" i="2"/>
  <c r="AE318" i="2"/>
  <c r="AE310" i="2"/>
  <c r="AE308" i="2"/>
  <c r="AE306" i="2"/>
  <c r="AE302" i="2"/>
  <c r="AE300" i="2"/>
  <c r="AE298" i="2"/>
  <c r="AE296" i="2"/>
  <c r="AE286" i="2"/>
  <c r="AE284" i="2"/>
  <c r="AE280" i="2"/>
  <c r="AE264" i="2"/>
  <c r="AE256" i="2"/>
  <c r="AE252" i="2"/>
  <c r="AE248" i="2"/>
  <c r="AE215" i="2"/>
  <c r="AE149" i="2"/>
  <c r="AE129" i="2"/>
  <c r="AE55" i="2"/>
  <c r="AE47" i="2"/>
  <c r="AE43" i="2"/>
  <c r="AE758" i="2"/>
  <c r="AE698" i="2"/>
  <c r="AE696" i="2"/>
  <c r="AE694" i="2"/>
  <c r="AE692" i="2"/>
  <c r="AE688" i="2"/>
  <c r="AE684" i="2"/>
  <c r="AE672" i="2"/>
  <c r="AE658" i="2"/>
  <c r="AE656" i="2"/>
  <c r="AE614" i="2"/>
  <c r="AE608" i="2"/>
  <c r="AE602" i="2"/>
  <c r="AE438" i="2"/>
  <c r="AE182" i="2"/>
  <c r="AE74" i="2"/>
  <c r="AE70" i="2"/>
  <c r="AE66" i="2"/>
  <c r="AE64" i="2"/>
  <c r="AE58" i="2"/>
  <c r="AE56" i="2"/>
  <c r="AE752" i="2"/>
  <c r="AE199" i="2"/>
  <c r="AE756" i="2"/>
  <c r="AE630" i="2"/>
  <c r="AE598" i="2"/>
  <c r="AE596" i="2"/>
  <c r="AE594" i="2"/>
  <c r="AE590" i="2"/>
  <c r="AE582" i="2"/>
  <c r="AE566" i="2"/>
  <c r="AE75" i="2"/>
  <c r="AE762" i="2"/>
  <c r="AE749" i="2"/>
  <c r="AE635" i="2"/>
  <c r="AE700" i="2"/>
  <c r="AE470" i="2"/>
  <c r="AE390" i="2"/>
  <c r="AE268" i="2"/>
  <c r="AE760" i="2"/>
  <c r="AE747" i="2"/>
  <c r="AE748" i="2"/>
  <c r="AE763" i="2"/>
  <c r="AE355" i="2"/>
  <c r="AE345" i="2"/>
  <c r="AE283" i="2"/>
  <c r="AE251" i="2"/>
  <c r="AE39" i="2"/>
  <c r="AE377" i="2"/>
  <c r="AE314" i="2"/>
  <c r="AE294" i="2"/>
  <c r="AE148" i="2"/>
  <c r="AE144" i="2"/>
  <c r="AE138" i="2"/>
  <c r="AE136" i="2"/>
  <c r="AE132" i="2"/>
  <c r="AE130" i="2"/>
  <c r="AE495" i="2"/>
  <c r="AE457" i="2"/>
  <c r="AE685" i="2"/>
  <c r="AE633" i="2"/>
  <c r="AE588" i="2"/>
  <c r="AE586" i="2"/>
  <c r="AE445" i="2"/>
  <c r="AE313" i="2"/>
  <c r="AE278" i="2"/>
  <c r="AE276" i="2"/>
  <c r="AE272" i="2"/>
  <c r="AE270" i="2"/>
  <c r="AE111" i="2"/>
  <c r="AE107" i="2"/>
  <c r="AE105" i="2"/>
  <c r="AE103" i="2"/>
  <c r="AE99" i="2"/>
  <c r="AE461" i="2"/>
  <c r="AE347" i="2"/>
  <c r="AE231" i="2"/>
  <c r="AE225" i="2"/>
  <c r="AE501" i="2"/>
  <c r="AE455" i="2"/>
  <c r="AE603" i="2"/>
  <c r="AE574" i="2"/>
  <c r="AE570" i="2"/>
  <c r="AE550" i="2"/>
  <c r="AE544" i="2"/>
  <c r="AE538" i="2"/>
  <c r="AE405" i="2"/>
  <c r="AE401" i="2"/>
  <c r="AE399" i="2"/>
  <c r="AE397" i="2"/>
  <c r="AE393" i="2"/>
  <c r="AE391" i="2"/>
  <c r="AE285" i="2"/>
  <c r="AE245" i="2"/>
  <c r="AE243" i="2"/>
  <c r="AE239" i="2"/>
  <c r="AE237" i="2"/>
  <c r="AE235" i="2"/>
  <c r="AE233" i="2"/>
  <c r="AE223" i="2"/>
  <c r="AE221" i="2"/>
  <c r="AE219" i="2"/>
  <c r="AE203" i="2"/>
  <c r="AE46" i="2"/>
  <c r="AE32" i="2"/>
  <c r="AE30" i="2"/>
  <c r="AE28" i="2"/>
  <c r="AE24" i="2"/>
  <c r="AE16" i="2"/>
  <c r="AE8" i="2"/>
  <c r="AE701" i="2"/>
  <c r="AE676" i="2"/>
  <c r="AE622" i="2"/>
  <c r="AE761" i="2"/>
  <c r="AE727" i="2"/>
  <c r="AE723" i="2"/>
  <c r="AE562" i="2"/>
  <c r="AE558" i="2"/>
  <c r="AE552" i="2"/>
  <c r="AE381" i="2"/>
  <c r="AE213" i="2"/>
  <c r="AE205" i="2"/>
  <c r="AE569" i="2"/>
  <c r="AE532" i="2"/>
  <c r="AE530" i="2"/>
  <c r="AE526" i="2"/>
  <c r="AE524" i="2"/>
  <c r="AE512" i="2"/>
  <c r="AE373" i="2"/>
  <c r="AE369" i="2"/>
  <c r="AE367" i="2"/>
  <c r="AE365" i="2"/>
  <c r="AE361" i="2"/>
  <c r="AE228" i="2"/>
  <c r="AE218" i="2"/>
  <c r="AE191" i="2"/>
  <c r="AE186" i="2"/>
  <c r="AE165" i="2"/>
  <c r="AE159" i="2"/>
  <c r="AE648" i="2"/>
  <c r="AE626" i="2"/>
  <c r="AE715" i="2"/>
  <c r="AE731" i="2"/>
  <c r="AE729" i="2"/>
  <c r="AE721" i="2"/>
  <c r="AE564" i="2"/>
  <c r="AE556" i="2"/>
  <c r="AE554" i="2"/>
  <c r="AE542" i="2"/>
  <c r="AE540" i="2"/>
  <c r="AE522" i="2"/>
  <c r="AE211" i="2"/>
  <c r="AE207" i="2"/>
  <c r="AE38" i="2"/>
  <c r="AE4" i="2"/>
  <c r="AE732" i="2"/>
  <c r="AE697" i="2"/>
  <c r="AE651" i="2"/>
  <c r="AE537" i="2"/>
  <c r="AE510" i="2"/>
  <c r="AE506" i="2"/>
  <c r="AE486" i="2"/>
  <c r="AE480" i="2"/>
  <c r="AE474" i="2"/>
  <c r="AE341" i="2"/>
  <c r="AE337" i="2"/>
  <c r="AE335" i="2"/>
  <c r="AE333" i="2"/>
  <c r="AE329" i="2"/>
  <c r="AE327" i="2"/>
  <c r="AE220" i="2"/>
  <c r="AE180" i="2"/>
  <c r="AE178" i="2"/>
  <c r="AE174" i="2"/>
  <c r="AE172" i="2"/>
  <c r="AE169" i="2"/>
  <c r="AE167" i="2"/>
  <c r="AE157" i="2"/>
  <c r="AE155" i="2"/>
  <c r="AE153" i="2"/>
  <c r="AE133" i="2"/>
  <c r="AE678" i="2"/>
  <c r="AE652" i="2"/>
  <c r="AE667" i="2"/>
  <c r="AE665" i="2"/>
  <c r="AE663" i="2"/>
  <c r="AE659" i="2"/>
  <c r="AE657" i="2"/>
  <c r="AE647" i="2"/>
  <c r="AE643" i="2"/>
  <c r="AE641" i="2"/>
  <c r="AE539" i="2"/>
  <c r="AE500" i="2"/>
  <c r="AE498" i="2"/>
  <c r="AE494" i="2"/>
  <c r="AE492" i="2"/>
  <c r="AE490" i="2"/>
  <c r="AE488" i="2"/>
  <c r="AE478" i="2"/>
  <c r="AE476" i="2"/>
  <c r="AE458" i="2"/>
  <c r="AE317" i="2"/>
  <c r="AE185" i="2"/>
  <c r="AE147" i="2"/>
  <c r="AE145" i="2"/>
  <c r="AE137" i="2"/>
  <c r="AE135" i="2"/>
  <c r="AE29" i="2"/>
  <c r="AE13" i="2"/>
  <c r="AE664" i="2"/>
  <c r="AE576" i="2"/>
  <c r="AE623" i="2"/>
  <c r="AE505" i="2"/>
  <c r="AE468" i="2"/>
  <c r="AE466" i="2"/>
  <c r="AE462" i="2"/>
  <c r="AE460" i="2"/>
  <c r="AE309" i="2"/>
  <c r="AE305" i="2"/>
  <c r="AE303" i="2"/>
  <c r="AE301" i="2"/>
  <c r="AE297" i="2"/>
  <c r="AE162" i="2"/>
  <c r="AE152" i="2"/>
  <c r="AE121" i="2"/>
  <c r="AE117" i="2"/>
  <c r="AE96" i="2"/>
  <c r="AE493" i="2"/>
  <c r="AE463" i="2"/>
  <c r="AE629" i="2"/>
  <c r="AE625" i="2"/>
  <c r="AE617" i="2"/>
  <c r="AE768" i="2"/>
  <c r="AE668" i="2"/>
  <c r="AE473" i="2"/>
  <c r="AE446" i="2"/>
  <c r="AE442" i="2"/>
  <c r="AE422" i="2"/>
  <c r="AE416" i="2"/>
  <c r="AE410" i="2"/>
  <c r="AE279" i="2"/>
  <c r="AE275" i="2"/>
  <c r="AE273" i="2"/>
  <c r="AE271" i="2"/>
  <c r="AE267" i="2"/>
  <c r="AE265" i="2"/>
  <c r="AE154" i="2"/>
  <c r="AE110" i="2"/>
  <c r="AE108" i="2"/>
  <c r="AE104" i="2"/>
  <c r="AE102" i="2"/>
  <c r="AE100" i="2"/>
  <c r="AE98" i="2"/>
  <c r="AE87" i="2"/>
  <c r="AE84" i="2"/>
  <c r="AE82" i="2"/>
  <c r="AE59" i="2"/>
  <c r="AE489" i="2"/>
  <c r="AE618" i="2"/>
  <c r="AE469" i="2"/>
  <c r="AE750" i="2"/>
  <c r="AE597" i="2"/>
  <c r="AE593" i="2"/>
  <c r="AE591" i="2"/>
  <c r="AE589" i="2"/>
  <c r="AE585" i="2"/>
  <c r="AE583" i="2"/>
  <c r="AE475" i="2"/>
  <c r="AE436" i="2"/>
  <c r="AE434" i="2"/>
  <c r="AE430" i="2"/>
  <c r="AE426" i="2"/>
  <c r="AE424" i="2"/>
  <c r="AE414" i="2"/>
  <c r="AE412" i="2"/>
  <c r="AE394" i="2"/>
  <c r="AE255" i="2"/>
  <c r="AE116" i="2"/>
  <c r="AE73" i="2"/>
  <c r="AE71" i="2"/>
  <c r="AE65" i="2"/>
  <c r="AE63" i="2"/>
  <c r="AE666" i="2"/>
  <c r="AE638" i="2"/>
  <c r="AE497" i="2"/>
  <c r="AE628" i="2"/>
  <c r="AE680" i="2"/>
  <c r="AE465" i="2"/>
  <c r="AE441" i="2"/>
  <c r="AE93" i="2"/>
  <c r="AE79" i="2"/>
  <c r="AE765" i="2"/>
  <c r="AE744" i="2"/>
  <c r="AE730" i="2"/>
  <c r="AE728" i="2"/>
  <c r="AE716" i="2"/>
  <c r="AE712" i="2"/>
  <c r="AE704" i="2"/>
  <c r="AE565" i="2"/>
  <c r="AE561" i="2"/>
  <c r="AE559" i="2"/>
  <c r="AE557" i="2"/>
  <c r="AE553" i="2"/>
  <c r="AE419" i="2"/>
  <c r="AE409" i="2"/>
  <c r="AE382" i="2"/>
  <c r="AE378" i="2"/>
  <c r="AE358" i="2"/>
  <c r="AE352" i="2"/>
  <c r="AE346" i="2"/>
  <c r="AE214" i="2"/>
  <c r="AE210" i="2"/>
  <c r="AE208" i="2"/>
  <c r="AE206" i="2"/>
  <c r="AE202" i="2"/>
  <c r="AE200" i="2"/>
  <c r="AE83" i="2"/>
  <c r="AE37" i="2"/>
  <c r="AE35" i="2"/>
  <c r="AE606" i="2"/>
  <c r="AE533" i="2"/>
  <c r="AE529" i="2"/>
  <c r="AE527" i="2"/>
  <c r="AE525" i="2"/>
  <c r="AE521" i="2"/>
  <c r="AE519" i="2"/>
  <c r="AE411" i="2"/>
  <c r="AE372" i="2"/>
  <c r="AE370" i="2"/>
  <c r="AE366" i="2"/>
  <c r="AE362" i="2"/>
  <c r="AE360" i="2"/>
  <c r="AE350" i="2"/>
  <c r="AE348" i="2"/>
  <c r="AE330" i="2"/>
  <c r="AE190" i="2"/>
  <c r="AE42" i="2"/>
  <c r="AE724" i="2"/>
  <c r="AE691" i="2"/>
  <c r="AE753" i="2"/>
  <c r="AE718" i="2"/>
  <c r="AE621" i="2"/>
  <c r="AE751" i="2"/>
  <c r="AE687" i="2"/>
  <c r="AE654" i="2"/>
  <c r="AE595" i="2"/>
  <c r="AE531" i="2"/>
  <c r="AE467" i="2"/>
  <c r="AE403" i="2"/>
  <c r="AE339" i="2"/>
  <c r="AE277" i="2"/>
  <c r="AE212" i="2"/>
  <c r="AE146" i="2"/>
  <c r="AE72" i="2"/>
  <c r="AE26" i="2"/>
  <c r="AE755" i="2"/>
  <c r="AE733" i="2"/>
  <c r="AE695" i="2"/>
  <c r="AE661" i="2"/>
  <c r="AE615" i="2"/>
  <c r="AE584" i="2"/>
  <c r="AE551" i="2"/>
  <c r="AE520" i="2"/>
  <c r="AE487" i="2"/>
  <c r="AE456" i="2"/>
  <c r="AE448" i="2"/>
  <c r="AE423" i="2"/>
  <c r="AE392" i="2"/>
  <c r="AE384" i="2"/>
  <c r="AE359" i="2"/>
  <c r="AE328" i="2"/>
  <c r="AE320" i="2"/>
  <c r="AE295" i="2"/>
  <c r="AE266" i="2"/>
  <c r="AE258" i="2"/>
  <c r="AE232" i="2"/>
  <c r="AE201" i="2"/>
  <c r="AE193" i="2"/>
  <c r="AE166" i="2"/>
  <c r="AE131" i="2"/>
  <c r="AE123" i="2"/>
  <c r="AE97" i="2"/>
  <c r="AE57" i="2"/>
  <c r="AE49" i="2"/>
  <c r="AE22" i="2"/>
  <c r="AE20" i="2"/>
  <c r="AE726" i="2"/>
  <c r="AE669" i="2"/>
  <c r="AE725" i="2"/>
  <c r="AE770" i="2"/>
  <c r="AE745" i="2"/>
  <c r="AE714" i="2"/>
  <c r="AE706" i="2"/>
  <c r="AE681" i="2"/>
  <c r="AE650" i="2"/>
  <c r="AE642" i="2"/>
  <c r="AE613" i="2"/>
  <c r="AE609" i="2"/>
  <c r="AE607" i="2"/>
  <c r="AE587" i="2"/>
  <c r="AE580" i="2"/>
  <c r="AE578" i="2"/>
  <c r="AE572" i="2"/>
  <c r="AE549" i="2"/>
  <c r="AE545" i="2"/>
  <c r="AE543" i="2"/>
  <c r="AE523" i="2"/>
  <c r="AE516" i="2"/>
  <c r="AE514" i="2"/>
  <c r="AE485" i="2"/>
  <c r="AE481" i="2"/>
  <c r="AE479" i="2"/>
  <c r="AE459" i="2"/>
  <c r="AE452" i="2"/>
  <c r="AE450" i="2"/>
  <c r="AE421" i="2"/>
  <c r="AE417" i="2"/>
  <c r="AE415" i="2"/>
  <c r="AE395" i="2"/>
  <c r="AE388" i="2"/>
  <c r="AE386" i="2"/>
  <c r="AE380" i="2"/>
  <c r="AE357" i="2"/>
  <c r="AE353" i="2"/>
  <c r="AE351" i="2"/>
  <c r="AE331" i="2"/>
  <c r="AE324" i="2"/>
  <c r="AE322" i="2"/>
  <c r="AE293" i="2"/>
  <c r="AE269" i="2"/>
  <c r="AE262" i="2"/>
  <c r="AE260" i="2"/>
  <c r="AE230" i="2"/>
  <c r="AE226" i="2"/>
  <c r="AE224" i="2"/>
  <c r="AE204" i="2"/>
  <c r="AE197" i="2"/>
  <c r="AE195" i="2"/>
  <c r="AE164" i="2"/>
  <c r="AE160" i="2"/>
  <c r="AE158" i="2"/>
  <c r="AE134" i="2"/>
  <c r="AE127" i="2"/>
  <c r="AE125" i="2"/>
  <c r="AE95" i="2"/>
  <c r="AE91" i="2"/>
  <c r="AE88" i="2"/>
  <c r="AE62" i="2"/>
  <c r="AE53" i="2"/>
  <c r="AE51" i="2"/>
  <c r="AE18" i="2"/>
  <c r="AE766" i="2"/>
  <c r="AE743" i="2"/>
  <c r="AE739" i="2"/>
  <c r="AE737" i="2"/>
  <c r="AE717" i="2"/>
  <c r="AE710" i="2"/>
  <c r="AE708" i="2"/>
  <c r="AE702" i="2"/>
  <c r="AE679" i="2"/>
  <c r="AE675" i="2"/>
  <c r="AE673" i="2"/>
  <c r="AE653" i="2"/>
  <c r="AE646" i="2"/>
  <c r="AE644" i="2"/>
  <c r="AE605" i="2"/>
  <c r="AE541" i="2"/>
  <c r="AE508" i="2"/>
  <c r="AE477" i="2"/>
  <c r="AE444" i="2"/>
  <c r="AE413" i="2"/>
  <c r="AE349" i="2"/>
  <c r="AE316" i="2"/>
  <c r="AE254" i="2"/>
  <c r="AE222" i="2"/>
  <c r="AE189" i="2"/>
  <c r="AE156" i="2"/>
  <c r="AE119" i="2"/>
  <c r="AE86" i="2"/>
  <c r="AE45" i="2"/>
  <c r="AE14" i="2"/>
  <c r="AE12" i="2"/>
  <c r="AE759" i="2"/>
  <c r="AE689" i="2"/>
  <c r="AE660" i="2"/>
  <c r="AE735" i="2"/>
  <c r="AE671" i="2"/>
  <c r="AE636" i="2"/>
  <c r="AE634" i="2"/>
  <c r="AE579" i="2"/>
  <c r="AE515" i="2"/>
  <c r="AE451" i="2"/>
  <c r="AE387" i="2"/>
  <c r="AE323" i="2"/>
  <c r="AE261" i="2"/>
  <c r="AE196" i="2"/>
  <c r="AE126" i="2"/>
  <c r="AE52" i="2"/>
  <c r="AE10" i="2"/>
  <c r="AE662" i="2"/>
  <c r="AE709" i="2"/>
  <c r="AE645" i="2"/>
  <c r="AE632" i="2"/>
  <c r="AE624" i="2"/>
  <c r="AE599" i="2"/>
  <c r="AE568" i="2"/>
  <c r="AE560" i="2"/>
  <c r="AE535" i="2"/>
  <c r="AE504" i="2"/>
  <c r="AE496" i="2"/>
  <c r="AE471" i="2"/>
  <c r="AE440" i="2"/>
  <c r="AE432" i="2"/>
  <c r="AE407" i="2"/>
  <c r="AE376" i="2"/>
  <c r="AE368" i="2"/>
  <c r="AE343" i="2"/>
  <c r="AE312" i="2"/>
  <c r="AE304" i="2"/>
  <c r="AE281" i="2"/>
  <c r="AE250" i="2"/>
  <c r="AE241" i="2"/>
  <c r="AE216" i="2"/>
  <c r="AE184" i="2"/>
  <c r="AE176" i="2"/>
  <c r="AE150" i="2"/>
  <c r="AE115" i="2"/>
  <c r="AE106" i="2"/>
  <c r="AE77" i="2"/>
  <c r="AE41" i="2"/>
  <c r="AE33" i="2"/>
  <c r="AE6" i="2"/>
  <c r="AE754" i="2"/>
  <c r="AE690" i="2"/>
  <c r="AE620" i="2"/>
  <c r="AE571" i="2"/>
  <c r="AE507" i="2"/>
  <c r="AE443" i="2"/>
  <c r="AE428" i="2"/>
  <c r="AE379" i="2"/>
  <c r="AE364" i="2"/>
  <c r="AE315" i="2"/>
  <c r="AE253" i="2"/>
  <c r="AE188" i="2"/>
  <c r="AE118" i="2"/>
  <c r="AE44" i="2"/>
  <c r="AE31" i="2"/>
  <c r="AE686" i="2"/>
  <c r="AE655" i="2"/>
  <c r="AE627" i="2"/>
  <c r="AE563" i="2"/>
  <c r="AE499" i="2"/>
  <c r="AE435" i="2"/>
  <c r="AE371" i="2"/>
  <c r="AE307" i="2"/>
  <c r="AE244" i="2"/>
  <c r="AE179" i="2"/>
  <c r="AE109" i="2"/>
  <c r="AE36" i="2"/>
  <c r="AE25" i="2"/>
  <c r="AE719" i="2"/>
  <c r="AE616" i="2"/>
  <c r="AE23" i="2"/>
  <c r="AE21" i="2"/>
  <c r="AE17" i="2"/>
  <c r="AE757" i="2"/>
  <c r="AE693" i="2"/>
  <c r="AE769" i="2"/>
  <c r="AE746" i="2"/>
  <c r="AE738" i="2"/>
  <c r="AE713" i="2"/>
  <c r="AE682" i="2"/>
  <c r="AE674" i="2"/>
  <c r="AE649" i="2"/>
  <c r="AE619" i="2"/>
  <c r="AE612" i="2"/>
  <c r="AE610" i="2"/>
  <c r="AE604" i="2"/>
  <c r="AE581" i="2"/>
  <c r="AE577" i="2"/>
  <c r="AE575" i="2"/>
  <c r="AE555" i="2"/>
  <c r="AE548" i="2"/>
  <c r="AE546" i="2"/>
  <c r="AE517" i="2"/>
  <c r="AE513" i="2"/>
  <c r="AE511" i="2"/>
  <c r="AE491" i="2"/>
  <c r="AE484" i="2"/>
  <c r="AE482" i="2"/>
  <c r="AE453" i="2"/>
  <c r="AE449" i="2"/>
  <c r="AE447" i="2"/>
  <c r="AE427" i="2"/>
  <c r="AE420" i="2"/>
  <c r="AE418" i="2"/>
  <c r="AE389" i="2"/>
  <c r="AE385" i="2"/>
  <c r="AE383" i="2"/>
  <c r="AE363" i="2"/>
  <c r="AE356" i="2"/>
  <c r="AE354" i="2"/>
  <c r="AE325" i="2"/>
  <c r="AE321" i="2"/>
  <c r="AE319" i="2"/>
  <c r="AE299" i="2"/>
  <c r="AE292" i="2"/>
  <c r="AE263" i="2"/>
  <c r="AE259" i="2"/>
  <c r="AE257" i="2"/>
  <c r="AE236" i="2"/>
  <c r="AE229" i="2"/>
  <c r="AE227" i="2"/>
  <c r="AE198" i="2"/>
  <c r="AE194" i="2"/>
  <c r="AE192" i="2"/>
  <c r="AE170" i="2"/>
  <c r="AE163" i="2"/>
  <c r="AE161" i="2"/>
  <c r="AE128" i="2"/>
  <c r="AE124" i="2"/>
  <c r="AE122" i="2"/>
  <c r="AE101" i="2"/>
  <c r="AE94" i="2"/>
  <c r="AE92" i="2"/>
  <c r="AE54" i="2"/>
  <c r="AE50" i="2"/>
  <c r="AE48" i="2"/>
  <c r="AE742" i="2"/>
  <c r="AE707" i="2"/>
  <c r="AE15" i="2"/>
  <c r="AE771" i="2"/>
  <c r="AE740" i="2"/>
  <c r="AE734" i="2"/>
  <c r="AE711" i="2"/>
  <c r="AE705" i="2"/>
  <c r="AE703" i="2"/>
  <c r="AE670" i="2"/>
  <c r="AE637" i="2"/>
  <c r="AE611" i="2"/>
  <c r="AE547" i="2"/>
  <c r="AE483" i="2"/>
  <c r="AE767" i="2"/>
  <c r="AE741" i="2"/>
  <c r="AE677" i="2"/>
  <c r="AE631" i="2"/>
  <c r="AE600" i="2"/>
  <c r="AE592" i="2"/>
  <c r="AE567" i="2"/>
  <c r="AE536" i="2"/>
  <c r="AE528" i="2"/>
  <c r="AE503" i="2"/>
  <c r="AE472" i="2"/>
  <c r="AE464" i="2"/>
  <c r="AE439" i="2"/>
  <c r="AE408" i="2"/>
  <c r="AE400" i="2"/>
  <c r="AE375" i="2"/>
  <c r="AE344" i="2"/>
  <c r="AE336" i="2"/>
  <c r="AE311" i="2"/>
  <c r="AE282" i="2"/>
  <c r="AE274" i="2"/>
  <c r="AE249" i="2"/>
  <c r="AE217" i="2"/>
  <c r="AE209" i="2"/>
  <c r="AE183" i="2"/>
  <c r="AE151" i="2"/>
  <c r="AE140" i="2"/>
  <c r="AE113" i="2"/>
  <c r="AE78" i="2"/>
  <c r="AE67" i="2"/>
  <c r="AE40" i="2"/>
  <c r="AE396" i="2"/>
  <c r="AE34" i="2"/>
  <c r="C57" i="9"/>
  <c r="B57" i="9" s="1"/>
  <c r="C58" i="9"/>
  <c r="B58" i="9" s="1"/>
  <c r="C59" i="9"/>
  <c r="B59" i="9" s="1"/>
  <c r="C60" i="9"/>
  <c r="B60" i="9" s="1"/>
  <c r="C6" i="1" l="1"/>
  <c r="H45" i="9" l="1"/>
  <c r="C45" i="9" s="1"/>
  <c r="B45" i="9" s="1"/>
  <c r="H53" i="9"/>
  <c r="C53" i="9" s="1"/>
  <c r="B53" i="9" s="1"/>
  <c r="H61" i="9"/>
  <c r="C61" i="9" s="1"/>
  <c r="B61" i="9" s="1"/>
  <c r="R4" i="2"/>
  <c r="R294" i="2"/>
  <c r="R66" i="2"/>
  <c r="R613" i="2"/>
  <c r="R389" i="2"/>
  <c r="R174" i="2"/>
  <c r="R137" i="2"/>
  <c r="R121" i="2"/>
  <c r="R104" i="2"/>
  <c r="R87" i="2"/>
  <c r="R65" i="2"/>
  <c r="R47" i="2"/>
  <c r="R31" i="2"/>
  <c r="R15" i="2"/>
  <c r="R648" i="2"/>
  <c r="R438" i="2"/>
  <c r="R224" i="2"/>
  <c r="R759" i="2"/>
  <c r="R533" i="2"/>
  <c r="R309" i="2"/>
  <c r="R726" i="2"/>
  <c r="R662" i="2"/>
  <c r="R628" i="2"/>
  <c r="R596" i="2"/>
  <c r="R564" i="2"/>
  <c r="R532" i="2"/>
  <c r="R516" i="2"/>
  <c r="R500" i="2"/>
  <c r="R484" i="2"/>
  <c r="R468" i="2"/>
  <c r="R452" i="2"/>
  <c r="R436" i="2"/>
  <c r="R420" i="2"/>
  <c r="R404" i="2"/>
  <c r="R388" i="2"/>
  <c r="R372" i="2"/>
  <c r="R356" i="2"/>
  <c r="R340" i="2"/>
  <c r="R324" i="2"/>
  <c r="R308" i="2"/>
  <c r="R292" i="2"/>
  <c r="R271" i="2"/>
  <c r="R255" i="2"/>
  <c r="R238" i="2"/>
  <c r="R222" i="2"/>
  <c r="R206" i="2"/>
  <c r="R190" i="2"/>
  <c r="R173" i="2"/>
  <c r="R156" i="2"/>
  <c r="R136" i="2"/>
  <c r="R120" i="2"/>
  <c r="R103" i="2"/>
  <c r="R86" i="2"/>
  <c r="R64" i="2"/>
  <c r="R46" i="2"/>
  <c r="R30" i="2"/>
  <c r="R14" i="2"/>
  <c r="R744" i="2"/>
  <c r="R534" i="2"/>
  <c r="R342" i="2"/>
  <c r="R105" i="2"/>
  <c r="R629" i="2"/>
  <c r="R405" i="2"/>
  <c r="R157" i="2"/>
  <c r="R678" i="2"/>
  <c r="R646" i="2"/>
  <c r="R612" i="2"/>
  <c r="R580" i="2"/>
  <c r="R548" i="2"/>
  <c r="R757" i="2"/>
  <c r="R741" i="2"/>
  <c r="R725" i="2"/>
  <c r="R709" i="2"/>
  <c r="R693" i="2"/>
  <c r="R677" i="2"/>
  <c r="R661" i="2"/>
  <c r="R645" i="2"/>
  <c r="R627" i="2"/>
  <c r="R611" i="2"/>
  <c r="R595" i="2"/>
  <c r="R579" i="2"/>
  <c r="R563" i="2"/>
  <c r="R547" i="2"/>
  <c r="R531" i="2"/>
  <c r="R515" i="2"/>
  <c r="R499" i="2"/>
  <c r="R483" i="2"/>
  <c r="R467" i="2"/>
  <c r="R451" i="2"/>
  <c r="R435" i="2"/>
  <c r="R419" i="2"/>
  <c r="R403" i="2"/>
  <c r="R387" i="2"/>
  <c r="R371" i="2"/>
  <c r="R355" i="2"/>
  <c r="R339" i="2"/>
  <c r="R323" i="2"/>
  <c r="R307" i="2"/>
  <c r="R286" i="2"/>
  <c r="R270" i="2"/>
  <c r="R254" i="2"/>
  <c r="R237" i="2"/>
  <c r="R221" i="2"/>
  <c r="R205" i="2"/>
  <c r="R189" i="2"/>
  <c r="R172" i="2"/>
  <c r="R155" i="2"/>
  <c r="R135" i="2"/>
  <c r="R119" i="2"/>
  <c r="R102" i="2"/>
  <c r="R84" i="2"/>
  <c r="R63" i="2"/>
  <c r="R45" i="2"/>
  <c r="R29" i="2"/>
  <c r="R13" i="2"/>
  <c r="R696" i="2"/>
  <c r="R486" i="2"/>
  <c r="R257" i="2"/>
  <c r="R32" i="2"/>
  <c r="R565" i="2"/>
  <c r="R373" i="2"/>
  <c r="R758" i="2"/>
  <c r="R676" i="2"/>
  <c r="R594" i="2"/>
  <c r="R546" i="2"/>
  <c r="R530" i="2"/>
  <c r="R514" i="2"/>
  <c r="R498" i="2"/>
  <c r="R482" i="2"/>
  <c r="R466" i="2"/>
  <c r="R450" i="2"/>
  <c r="R434" i="2"/>
  <c r="R418" i="2"/>
  <c r="R402" i="2"/>
  <c r="R386" i="2"/>
  <c r="R370" i="2"/>
  <c r="R354" i="2"/>
  <c r="R338" i="2"/>
  <c r="R322" i="2"/>
  <c r="R306" i="2"/>
  <c r="R285" i="2"/>
  <c r="R269" i="2"/>
  <c r="R253" i="2"/>
  <c r="R236" i="2"/>
  <c r="R220" i="2"/>
  <c r="R204" i="2"/>
  <c r="R188" i="2"/>
  <c r="R170" i="2"/>
  <c r="R154" i="2"/>
  <c r="R134" i="2"/>
  <c r="R118" i="2"/>
  <c r="R101" i="2"/>
  <c r="R83" i="2"/>
  <c r="R62" i="2"/>
  <c r="R44" i="2"/>
  <c r="R28" i="2"/>
  <c r="R12" i="2"/>
  <c r="R582" i="2"/>
  <c r="R374" i="2"/>
  <c r="R175" i="2"/>
  <c r="R711" i="2"/>
  <c r="R485" i="2"/>
  <c r="R256" i="2"/>
  <c r="R756" i="2"/>
  <c r="R644" i="2"/>
  <c r="R578" i="2"/>
  <c r="R755" i="2"/>
  <c r="R707" i="2"/>
  <c r="R659" i="2"/>
  <c r="R643" i="2"/>
  <c r="R625" i="2"/>
  <c r="R609" i="2"/>
  <c r="R593" i="2"/>
  <c r="R577" i="2"/>
  <c r="R561" i="2"/>
  <c r="R545" i="2"/>
  <c r="R529" i="2"/>
  <c r="R513" i="2"/>
  <c r="R497" i="2"/>
  <c r="R481" i="2"/>
  <c r="R465" i="2"/>
  <c r="R449" i="2"/>
  <c r="R433" i="2"/>
  <c r="R417" i="2"/>
  <c r="R401" i="2"/>
  <c r="R385" i="2"/>
  <c r="R369" i="2"/>
  <c r="R353" i="2"/>
  <c r="R337" i="2"/>
  <c r="R321" i="2"/>
  <c r="R305" i="2"/>
  <c r="R284" i="2"/>
  <c r="R268" i="2"/>
  <c r="R252" i="2"/>
  <c r="R235" i="2"/>
  <c r="R219" i="2"/>
  <c r="R203" i="2"/>
  <c r="R186" i="2"/>
  <c r="R169" i="2"/>
  <c r="R153" i="2"/>
  <c r="R133" i="2"/>
  <c r="R117" i="2"/>
  <c r="R100" i="2"/>
  <c r="R82" i="2"/>
  <c r="R59" i="2"/>
  <c r="R43" i="2"/>
  <c r="R27" i="2"/>
  <c r="R11" i="2"/>
  <c r="R566" i="2"/>
  <c r="R358" i="2"/>
  <c r="R138" i="2"/>
  <c r="R695" i="2"/>
  <c r="R469" i="2"/>
  <c r="R239" i="2"/>
  <c r="R740" i="2"/>
  <c r="R626" i="2"/>
  <c r="R562" i="2"/>
  <c r="R739" i="2"/>
  <c r="R691" i="2"/>
  <c r="R770" i="2"/>
  <c r="R754" i="2"/>
  <c r="R738" i="2"/>
  <c r="R722" i="2"/>
  <c r="R706" i="2"/>
  <c r="R690" i="2"/>
  <c r="R674" i="2"/>
  <c r="R658" i="2"/>
  <c r="R642" i="2"/>
  <c r="R624" i="2"/>
  <c r="R608" i="2"/>
  <c r="R592" i="2"/>
  <c r="R576" i="2"/>
  <c r="R560" i="2"/>
  <c r="R544" i="2"/>
  <c r="R528" i="2"/>
  <c r="R512" i="2"/>
  <c r="R496" i="2"/>
  <c r="R480" i="2"/>
  <c r="R464" i="2"/>
  <c r="R448" i="2"/>
  <c r="R432" i="2"/>
  <c r="R416" i="2"/>
  <c r="R400" i="2"/>
  <c r="R384" i="2"/>
  <c r="R368" i="2"/>
  <c r="R352" i="2"/>
  <c r="R336" i="2"/>
  <c r="R320" i="2"/>
  <c r="R304" i="2"/>
  <c r="R283" i="2"/>
  <c r="R267" i="2"/>
  <c r="R251" i="2"/>
  <c r="R234" i="2"/>
  <c r="R218" i="2"/>
  <c r="R202" i="2"/>
  <c r="R185" i="2"/>
  <c r="R168" i="2"/>
  <c r="R152" i="2"/>
  <c r="R132" i="2"/>
  <c r="R116" i="2"/>
  <c r="R99" i="2"/>
  <c r="R79" i="2"/>
  <c r="R58" i="2"/>
  <c r="R42" i="2"/>
  <c r="R26" i="2"/>
  <c r="R10" i="2"/>
  <c r="R598" i="2"/>
  <c r="R390" i="2"/>
  <c r="R158" i="2"/>
  <c r="R679" i="2"/>
  <c r="R453" i="2"/>
  <c r="R207" i="2"/>
  <c r="R708" i="2"/>
  <c r="R610" i="2"/>
  <c r="R771" i="2"/>
  <c r="R723" i="2"/>
  <c r="R675" i="2"/>
  <c r="R769" i="2"/>
  <c r="R753" i="2"/>
  <c r="R737" i="2"/>
  <c r="R721" i="2"/>
  <c r="R705" i="2"/>
  <c r="R689" i="2"/>
  <c r="R673" i="2"/>
  <c r="R657" i="2"/>
  <c r="R641" i="2"/>
  <c r="R623" i="2"/>
  <c r="R607" i="2"/>
  <c r="R591" i="2"/>
  <c r="R575" i="2"/>
  <c r="R559" i="2"/>
  <c r="R543" i="2"/>
  <c r="R527" i="2"/>
  <c r="R511" i="2"/>
  <c r="R495" i="2"/>
  <c r="R479" i="2"/>
  <c r="R463" i="2"/>
  <c r="R447" i="2"/>
  <c r="R431" i="2"/>
  <c r="R415" i="2"/>
  <c r="R399" i="2"/>
  <c r="R383" i="2"/>
  <c r="R367" i="2"/>
  <c r="R351" i="2"/>
  <c r="R335" i="2"/>
  <c r="R319" i="2"/>
  <c r="R303" i="2"/>
  <c r="R282" i="2"/>
  <c r="R266" i="2"/>
  <c r="R250" i="2"/>
  <c r="R233" i="2"/>
  <c r="R217" i="2"/>
  <c r="R201" i="2"/>
  <c r="R184" i="2"/>
  <c r="R167" i="2"/>
  <c r="R151" i="2"/>
  <c r="R131" i="2"/>
  <c r="R115" i="2"/>
  <c r="R98" i="2"/>
  <c r="R78" i="2"/>
  <c r="R57" i="2"/>
  <c r="R41" i="2"/>
  <c r="R25" i="2"/>
  <c r="R9" i="2"/>
  <c r="R647" i="2"/>
  <c r="R421" i="2"/>
  <c r="R191" i="2"/>
  <c r="R692" i="2"/>
  <c r="R720" i="2"/>
  <c r="R638" i="2"/>
  <c r="R574" i="2"/>
  <c r="R510" i="2"/>
  <c r="R494" i="2"/>
  <c r="R478" i="2"/>
  <c r="R462" i="2"/>
  <c r="R446" i="2"/>
  <c r="R430" i="2"/>
  <c r="R414" i="2"/>
  <c r="R398" i="2"/>
  <c r="R382" i="2"/>
  <c r="R366" i="2"/>
  <c r="R350" i="2"/>
  <c r="R334" i="2"/>
  <c r="R318" i="2"/>
  <c r="R302" i="2"/>
  <c r="R281" i="2"/>
  <c r="R265" i="2"/>
  <c r="R249" i="2"/>
  <c r="R232" i="2"/>
  <c r="R216" i="2"/>
  <c r="R200" i="2"/>
  <c r="R183" i="2"/>
  <c r="R166" i="2"/>
  <c r="R150" i="2"/>
  <c r="R130" i="2"/>
  <c r="R113" i="2"/>
  <c r="R97" i="2"/>
  <c r="R77" i="2"/>
  <c r="R56" i="2"/>
  <c r="R40" i="2"/>
  <c r="R24" i="2"/>
  <c r="R8" i="2"/>
  <c r="R712" i="2"/>
  <c r="R502" i="2"/>
  <c r="R703" i="2"/>
  <c r="R687" i="2"/>
  <c r="R671" i="2"/>
  <c r="R655" i="2"/>
  <c r="R637" i="2"/>
  <c r="R621" i="2"/>
  <c r="R605" i="2"/>
  <c r="R589" i="2"/>
  <c r="R573" i="2"/>
  <c r="R557" i="2"/>
  <c r="R541" i="2"/>
  <c r="R525" i="2"/>
  <c r="R509" i="2"/>
  <c r="R493" i="2"/>
  <c r="R477" i="2"/>
  <c r="R461" i="2"/>
  <c r="R445" i="2"/>
  <c r="R429" i="2"/>
  <c r="R413" i="2"/>
  <c r="R397" i="2"/>
  <c r="R381" i="2"/>
  <c r="R365" i="2"/>
  <c r="R349" i="2"/>
  <c r="R333" i="2"/>
  <c r="R317" i="2"/>
  <c r="R301" i="2"/>
  <c r="R280" i="2"/>
  <c r="R264" i="2"/>
  <c r="R248" i="2"/>
  <c r="R231" i="2"/>
  <c r="R215" i="2"/>
  <c r="R199" i="2"/>
  <c r="R182" i="2"/>
  <c r="R165" i="2"/>
  <c r="R149" i="2"/>
  <c r="R129" i="2"/>
  <c r="R112" i="2"/>
  <c r="R96" i="2"/>
  <c r="R75" i="2"/>
  <c r="R55" i="2"/>
  <c r="R39" i="2"/>
  <c r="R23" i="2"/>
  <c r="R7" i="2"/>
  <c r="R614" i="2"/>
  <c r="R406" i="2"/>
  <c r="R192" i="2"/>
  <c r="R727" i="2"/>
  <c r="R501" i="2"/>
  <c r="R272" i="2"/>
  <c r="R710" i="2"/>
  <c r="R768" i="2"/>
  <c r="R688" i="2"/>
  <c r="R606" i="2"/>
  <c r="R526" i="2"/>
  <c r="R719" i="2"/>
  <c r="R750" i="2"/>
  <c r="R734" i="2"/>
  <c r="R718" i="2"/>
  <c r="R702" i="2"/>
  <c r="R686" i="2"/>
  <c r="R670" i="2"/>
  <c r="R654" i="2"/>
  <c r="R636" i="2"/>
  <c r="R620" i="2"/>
  <c r="R604" i="2"/>
  <c r="R588" i="2"/>
  <c r="R572" i="2"/>
  <c r="R556" i="2"/>
  <c r="R540" i="2"/>
  <c r="R524" i="2"/>
  <c r="R508" i="2"/>
  <c r="R492" i="2"/>
  <c r="R476" i="2"/>
  <c r="R460" i="2"/>
  <c r="R444" i="2"/>
  <c r="R428" i="2"/>
  <c r="R412" i="2"/>
  <c r="R396" i="2"/>
  <c r="R380" i="2"/>
  <c r="R364" i="2"/>
  <c r="R348" i="2"/>
  <c r="R332" i="2"/>
  <c r="R316" i="2"/>
  <c r="R300" i="2"/>
  <c r="R279" i="2"/>
  <c r="R263" i="2"/>
  <c r="R246" i="2"/>
  <c r="R230" i="2"/>
  <c r="R214" i="2"/>
  <c r="R198" i="2"/>
  <c r="R181" i="2"/>
  <c r="R164" i="2"/>
  <c r="R148" i="2"/>
  <c r="R128" i="2"/>
  <c r="R111" i="2"/>
  <c r="R95" i="2"/>
  <c r="R74" i="2"/>
  <c r="R54" i="2"/>
  <c r="R38" i="2"/>
  <c r="R22" i="2"/>
  <c r="R6" i="2"/>
  <c r="R760" i="2"/>
  <c r="R550" i="2"/>
  <c r="R326" i="2"/>
  <c r="R122" i="2"/>
  <c r="R663" i="2"/>
  <c r="R437" i="2"/>
  <c r="R223" i="2"/>
  <c r="R724" i="2"/>
  <c r="R736" i="2"/>
  <c r="R656" i="2"/>
  <c r="R558" i="2"/>
  <c r="R751" i="2"/>
  <c r="R765" i="2"/>
  <c r="R733" i="2"/>
  <c r="R717" i="2"/>
  <c r="R701" i="2"/>
  <c r="R685" i="2"/>
  <c r="R669" i="2"/>
  <c r="R653" i="2"/>
  <c r="R635" i="2"/>
  <c r="R619" i="2"/>
  <c r="R603" i="2"/>
  <c r="R587" i="2"/>
  <c r="R571" i="2"/>
  <c r="R555" i="2"/>
  <c r="R539" i="2"/>
  <c r="R523" i="2"/>
  <c r="R507" i="2"/>
  <c r="R491" i="2"/>
  <c r="R475" i="2"/>
  <c r="R459" i="2"/>
  <c r="R443" i="2"/>
  <c r="R427" i="2"/>
  <c r="R411" i="2"/>
  <c r="R395" i="2"/>
  <c r="R379" i="2"/>
  <c r="R363" i="2"/>
  <c r="R347" i="2"/>
  <c r="R331" i="2"/>
  <c r="R315" i="2"/>
  <c r="R299" i="2"/>
  <c r="R278" i="2"/>
  <c r="R262" i="2"/>
  <c r="R245" i="2"/>
  <c r="R229" i="2"/>
  <c r="R213" i="2"/>
  <c r="R197" i="2"/>
  <c r="R180" i="2"/>
  <c r="R163" i="2"/>
  <c r="R147" i="2"/>
  <c r="R127" i="2"/>
  <c r="R110" i="2"/>
  <c r="R94" i="2"/>
  <c r="R73" i="2"/>
  <c r="R53" i="2"/>
  <c r="R37" i="2"/>
  <c r="R21" i="2"/>
  <c r="R5" i="2"/>
  <c r="R728" i="2"/>
  <c r="R518" i="2"/>
  <c r="R310" i="2"/>
  <c r="R88" i="2"/>
  <c r="R597" i="2"/>
  <c r="R357" i="2"/>
  <c r="R742" i="2"/>
  <c r="R660" i="2"/>
  <c r="R704" i="2"/>
  <c r="R622" i="2"/>
  <c r="R542" i="2"/>
  <c r="R735" i="2"/>
  <c r="R749" i="2"/>
  <c r="R764" i="2"/>
  <c r="R748" i="2"/>
  <c r="R732" i="2"/>
  <c r="R716" i="2"/>
  <c r="R700" i="2"/>
  <c r="R684" i="2"/>
  <c r="R668" i="2"/>
  <c r="R652" i="2"/>
  <c r="R634" i="2"/>
  <c r="R618" i="2"/>
  <c r="R602" i="2"/>
  <c r="R586" i="2"/>
  <c r="R570" i="2"/>
  <c r="R554" i="2"/>
  <c r="R538" i="2"/>
  <c r="R522" i="2"/>
  <c r="R506" i="2"/>
  <c r="R490" i="2"/>
  <c r="R474" i="2"/>
  <c r="R458" i="2"/>
  <c r="R442" i="2"/>
  <c r="R426" i="2"/>
  <c r="R410" i="2"/>
  <c r="R394" i="2"/>
  <c r="R378" i="2"/>
  <c r="R362" i="2"/>
  <c r="R346" i="2"/>
  <c r="R330" i="2"/>
  <c r="R314" i="2"/>
  <c r="R298" i="2"/>
  <c r="R277" i="2"/>
  <c r="R261" i="2"/>
  <c r="R244" i="2"/>
  <c r="R228" i="2"/>
  <c r="R212" i="2"/>
  <c r="R196" i="2"/>
  <c r="R179" i="2"/>
  <c r="R162" i="2"/>
  <c r="R146" i="2"/>
  <c r="R126" i="2"/>
  <c r="R109" i="2"/>
  <c r="R93" i="2"/>
  <c r="R72" i="2"/>
  <c r="R52" i="2"/>
  <c r="R36" i="2"/>
  <c r="R20" i="2"/>
  <c r="R664" i="2"/>
  <c r="R454" i="2"/>
  <c r="R240" i="2"/>
  <c r="R16" i="2"/>
  <c r="R517" i="2"/>
  <c r="R293" i="2"/>
  <c r="R694" i="2"/>
  <c r="R752" i="2"/>
  <c r="R672" i="2"/>
  <c r="R590" i="2"/>
  <c r="R767" i="2"/>
  <c r="R766" i="2"/>
  <c r="R763" i="2"/>
  <c r="R747" i="2"/>
  <c r="R731" i="2"/>
  <c r="R715" i="2"/>
  <c r="R699" i="2"/>
  <c r="R683" i="2"/>
  <c r="R667" i="2"/>
  <c r="R651" i="2"/>
  <c r="R633" i="2"/>
  <c r="R617" i="2"/>
  <c r="R601" i="2"/>
  <c r="R585" i="2"/>
  <c r="R569" i="2"/>
  <c r="R553" i="2"/>
  <c r="R537" i="2"/>
  <c r="R521" i="2"/>
  <c r="R505" i="2"/>
  <c r="R489" i="2"/>
  <c r="R473" i="2"/>
  <c r="R457" i="2"/>
  <c r="R441" i="2"/>
  <c r="R425" i="2"/>
  <c r="R409" i="2"/>
  <c r="R393" i="2"/>
  <c r="R377" i="2"/>
  <c r="R361" i="2"/>
  <c r="R345" i="2"/>
  <c r="R329" i="2"/>
  <c r="R313" i="2"/>
  <c r="R297" i="2"/>
  <c r="R276" i="2"/>
  <c r="R260" i="2"/>
  <c r="R243" i="2"/>
  <c r="R227" i="2"/>
  <c r="R211" i="2"/>
  <c r="R195" i="2"/>
  <c r="R178" i="2"/>
  <c r="R161" i="2"/>
  <c r="R145" i="2"/>
  <c r="R125" i="2"/>
  <c r="R108" i="2"/>
  <c r="R92" i="2"/>
  <c r="R71" i="2"/>
  <c r="R51" i="2"/>
  <c r="R35" i="2"/>
  <c r="R19" i="2"/>
  <c r="R630" i="2"/>
  <c r="R422" i="2"/>
  <c r="R208" i="2"/>
  <c r="R743" i="2"/>
  <c r="R549" i="2"/>
  <c r="R325" i="2"/>
  <c r="R746" i="2"/>
  <c r="R714" i="2"/>
  <c r="R682" i="2"/>
  <c r="R650" i="2"/>
  <c r="R616" i="2"/>
  <c r="R584" i="2"/>
  <c r="R568" i="2"/>
  <c r="R536" i="2"/>
  <c r="R520" i="2"/>
  <c r="R504" i="2"/>
  <c r="R488" i="2"/>
  <c r="R472" i="2"/>
  <c r="R456" i="2"/>
  <c r="R440" i="2"/>
  <c r="R424" i="2"/>
  <c r="R408" i="2"/>
  <c r="R392" i="2"/>
  <c r="R376" i="2"/>
  <c r="R360" i="2"/>
  <c r="R344" i="2"/>
  <c r="R328" i="2"/>
  <c r="R312" i="2"/>
  <c r="R296" i="2"/>
  <c r="R275" i="2"/>
  <c r="R259" i="2"/>
  <c r="R242" i="2"/>
  <c r="R226" i="2"/>
  <c r="R210" i="2"/>
  <c r="R194" i="2"/>
  <c r="R177" i="2"/>
  <c r="R160" i="2"/>
  <c r="R144" i="2"/>
  <c r="R124" i="2"/>
  <c r="R107" i="2"/>
  <c r="R91" i="2"/>
  <c r="R70" i="2"/>
  <c r="R50" i="2"/>
  <c r="R34" i="2"/>
  <c r="R18" i="2"/>
  <c r="R680" i="2"/>
  <c r="R470" i="2"/>
  <c r="R273" i="2"/>
  <c r="R48" i="2"/>
  <c r="R581" i="2"/>
  <c r="R341" i="2"/>
  <c r="R762" i="2"/>
  <c r="R730" i="2"/>
  <c r="R698" i="2"/>
  <c r="R666" i="2"/>
  <c r="R632" i="2"/>
  <c r="R600" i="2"/>
  <c r="R552" i="2"/>
  <c r="R761" i="2"/>
  <c r="R745" i="2"/>
  <c r="R729" i="2"/>
  <c r="R713" i="2"/>
  <c r="R697" i="2"/>
  <c r="R681" i="2"/>
  <c r="R665" i="2"/>
  <c r="R649" i="2"/>
  <c r="R631" i="2"/>
  <c r="R615" i="2"/>
  <c r="R599" i="2"/>
  <c r="R583" i="2"/>
  <c r="R567" i="2"/>
  <c r="R551" i="2"/>
  <c r="R535" i="2"/>
  <c r="R519" i="2"/>
  <c r="R503" i="2"/>
  <c r="R487" i="2"/>
  <c r="R471" i="2"/>
  <c r="R455" i="2"/>
  <c r="R439" i="2"/>
  <c r="R423" i="2"/>
  <c r="R407" i="2"/>
  <c r="R391" i="2"/>
  <c r="R375" i="2"/>
  <c r="R359" i="2"/>
  <c r="R343" i="2"/>
  <c r="R327" i="2"/>
  <c r="R311" i="2"/>
  <c r="R295" i="2"/>
  <c r="R274" i="2"/>
  <c r="R258" i="2"/>
  <c r="R241" i="2"/>
  <c r="R225" i="2"/>
  <c r="R209" i="2"/>
  <c r="R193" i="2"/>
  <c r="R176" i="2"/>
  <c r="R159" i="2"/>
  <c r="R140" i="2"/>
  <c r="R123" i="2"/>
  <c r="R106" i="2"/>
  <c r="R67" i="2"/>
  <c r="R49" i="2"/>
  <c r="R33" i="2"/>
  <c r="R17" i="2"/>
  <c r="H49" i="9"/>
  <c r="C49" i="9" s="1"/>
  <c r="B49" i="9" s="1"/>
</calcChain>
</file>

<file path=xl/sharedStrings.xml><?xml version="1.0" encoding="utf-8"?>
<sst xmlns="http://schemas.openxmlformats.org/spreadsheetml/2006/main" count="7293" uniqueCount="3566">
  <si>
    <t>Version</t>
  </si>
  <si>
    <t>Kommentar</t>
  </si>
  <si>
    <t>Datum</t>
  </si>
  <si>
    <t>0.1</t>
  </si>
  <si>
    <t>Erstversion</t>
  </si>
  <si>
    <t>Name</t>
  </si>
  <si>
    <t>Schaepers</t>
  </si>
  <si>
    <t>NAME</t>
  </si>
  <si>
    <t>SYS_ID</t>
  </si>
  <si>
    <t>PV_ID</t>
  </si>
  <si>
    <t>COB_ID</t>
  </si>
  <si>
    <t>MUX</t>
  </si>
  <si>
    <t>SendPrio</t>
  </si>
  <si>
    <t>Unit</t>
  </si>
  <si>
    <t>skal_faktor</t>
  </si>
  <si>
    <t>ATTRIBUTES</t>
  </si>
  <si>
    <t>Cmd Disable Cylinder Cutout 2</t>
  </si>
  <si>
    <t>0010.057503.013.010.0</t>
  </si>
  <si>
    <t>Bool</t>
  </si>
  <si>
    <t>Cmd Engine Speed Limit 2</t>
  </si>
  <si>
    <t>0010.000502.013.020.0</t>
  </si>
  <si>
    <t>rpm</t>
  </si>
  <si>
    <t>Idle Increase</t>
  </si>
  <si>
    <t>0010.000606.013.000.0</t>
  </si>
  <si>
    <t>Test Overspeed Conf.</t>
  </si>
  <si>
    <t>0010.043401.012.000.0</t>
  </si>
  <si>
    <t>digit</t>
  </si>
  <si>
    <t>Cmd Engine Stop 4 (Safety MCS)</t>
  </si>
  <si>
    <t>0010.042101.013.040.0</t>
  </si>
  <si>
    <t>Cmd Engine Torque Limit 2</t>
  </si>
  <si>
    <t>0010.002012.013.020.0</t>
  </si>
  <si>
    <t>Nm</t>
  </si>
  <si>
    <t>0050.072001.013.000.0</t>
  </si>
  <si>
    <t>Cmd Reset Emergency Stop</t>
  </si>
  <si>
    <t>0010.043303.013.000.0</t>
  </si>
  <si>
    <t>Cmd Alarm Reset</t>
  </si>
  <si>
    <t>0010.078001.013.000.0</t>
  </si>
  <si>
    <t>Cmd EIM Horn Off</t>
  </si>
  <si>
    <t>0010.078002.013.000.0</t>
  </si>
  <si>
    <t>Cmd Engine Stop Remote</t>
  </si>
  <si>
    <t>0010.042103.013.000.0</t>
  </si>
  <si>
    <t>Cmd Engine Stop Local</t>
  </si>
  <si>
    <t>0010.042102.013.020.0</t>
  </si>
  <si>
    <t>Cmd Terminate Priming</t>
  </si>
  <si>
    <t>0010.040101.013.000.0</t>
  </si>
  <si>
    <t>Cmd Engine Start Remote</t>
  </si>
  <si>
    <t>0010.040403.013.000.0</t>
  </si>
  <si>
    <t>Cmd Engine Start Local</t>
  </si>
  <si>
    <t>0010.040402.013.000.0</t>
  </si>
  <si>
    <t>Cmd Engine Cold Start</t>
  </si>
  <si>
    <t>0010.040425.013.000.0</t>
  </si>
  <si>
    <t>Cmd Request Test Overspeed</t>
  </si>
  <si>
    <t>0010.043401.013.000.0</t>
  </si>
  <si>
    <t>Cmd Request Override</t>
  </si>
  <si>
    <t>0010.043201.013.000.0</t>
  </si>
  <si>
    <t>Cmd Set Local Mode</t>
  </si>
  <si>
    <t>0010.040203.013.000.0</t>
  </si>
  <si>
    <t>Cmd Reset Local Mode</t>
  </si>
  <si>
    <t>0010.040202.013.000.0</t>
  </si>
  <si>
    <t>Cmd External Start Interlock</t>
  </si>
  <si>
    <t>0010.040401.013.000.0</t>
  </si>
  <si>
    <t>Start Release Gear Neutral/Out</t>
  </si>
  <si>
    <t>0010.040416.013.000.0</t>
  </si>
  <si>
    <t>Cmd Set Ready for Operation</t>
  </si>
  <si>
    <t>0010.040302.013.000.0</t>
  </si>
  <si>
    <t>Cmd Reset Ready for Operation</t>
  </si>
  <si>
    <t>0010.040303.013.000.0</t>
  </si>
  <si>
    <t>Cmd Starter Selection(ex.Ctrl)</t>
  </si>
  <si>
    <t>0010.040411.013.000.0</t>
  </si>
  <si>
    <t>External Starter Control</t>
  </si>
  <si>
    <t>0010.040410.012.000.0</t>
  </si>
  <si>
    <t>Cmd Priming On (ext.Ctrl)</t>
  </si>
  <si>
    <t>0010.040103.013.000.0</t>
  </si>
  <si>
    <t>Ready Priming (ext.Ctrl)</t>
  </si>
  <si>
    <t>0010.040102.010.000.0</t>
  </si>
  <si>
    <t>Cmd Turn Engine Remote</t>
  </si>
  <si>
    <t>0010.040603.013.000.0</t>
  </si>
  <si>
    <t>Cmd Turn Engine Local</t>
  </si>
  <si>
    <t>0010.040602.013.000.0</t>
  </si>
  <si>
    <t>Cmd Terminate Start</t>
  </si>
  <si>
    <t>0010.040404.013.000.0</t>
  </si>
  <si>
    <t>Cmd Reset Trip Fuel Counter</t>
  </si>
  <si>
    <t>0010.020401.013.000.0</t>
  </si>
  <si>
    <t>Amount of Monit.Emerg.Stop PB</t>
  </si>
  <si>
    <t>0010.043304.012.000.0</t>
  </si>
  <si>
    <t>Time UTC</t>
  </si>
  <si>
    <t>0010.075601.010.000.0</t>
  </si>
  <si>
    <t>Date UTC</t>
  </si>
  <si>
    <t>0010.075602.010.000.0</t>
  </si>
  <si>
    <t>Cmd Speed Increase</t>
  </si>
  <si>
    <t>0010.000601.013.000.0</t>
  </si>
  <si>
    <t>Cmd Speed Decrease</t>
  </si>
  <si>
    <t>0010.000602.013.000.0</t>
  </si>
  <si>
    <t>Engine Speed Demand Conf.</t>
  </si>
  <si>
    <t>0010.000605.012.000.0</t>
  </si>
  <si>
    <t>TX</t>
  </si>
  <si>
    <t>Legende</t>
  </si>
  <si>
    <t>x</t>
  </si>
  <si>
    <t>benötigt</t>
  </si>
  <si>
    <t>-</t>
  </si>
  <si>
    <t>nicht benötigt</t>
  </si>
  <si>
    <t>BVNG</t>
  </si>
  <si>
    <t>GLNG</t>
  </si>
  <si>
    <t>0010.000525.013.000.0</t>
  </si>
  <si>
    <t>0010.057405.010.000.0</t>
  </si>
  <si>
    <t>X</t>
  </si>
  <si>
    <t>RX</t>
  </si>
  <si>
    <t>External Stop Active (ECU)</t>
  </si>
  <si>
    <t>0010.042104.010.000.0</t>
  </si>
  <si>
    <t>Engine Speed</t>
  </si>
  <si>
    <t>0010.000501.010.000.0</t>
  </si>
  <si>
    <t>Injection Quantity</t>
  </si>
  <si>
    <t>0010.002001.010.000.0</t>
  </si>
  <si>
    <t>mm3/H</t>
  </si>
  <si>
    <t>Idle Speed</t>
  </si>
  <si>
    <t>0010.000503.010.000.0</t>
  </si>
  <si>
    <t>Nominal Speed</t>
  </si>
  <si>
    <t>0010.000504.010.000.0</t>
  </si>
  <si>
    <t>Engine Load Reserve</t>
  </si>
  <si>
    <t>0010.002004.010.000.0</t>
  </si>
  <si>
    <t>%</t>
  </si>
  <si>
    <t>Injection Limitation</t>
  </si>
  <si>
    <t>0010.002010.010.000.0</t>
  </si>
  <si>
    <t>Cylinder Cutout Mask</t>
  </si>
  <si>
    <t>0010.057502.010.000.0</t>
  </si>
  <si>
    <t>Speed Demand Source</t>
  </si>
  <si>
    <t>0010.000605.010.000.0</t>
  </si>
  <si>
    <t>Speed Demand Fail Mode</t>
  </si>
  <si>
    <t>0010.000603.010.000.0</t>
  </si>
  <si>
    <t>Test Overspeed Active</t>
  </si>
  <si>
    <t>0010.043401.010.000.0</t>
  </si>
  <si>
    <t>Feedback Speed Demand</t>
  </si>
  <si>
    <t>0010.000604.010.020.0</t>
  </si>
  <si>
    <t>Feedback Speed Demand eff.</t>
  </si>
  <si>
    <t>0010.000604.010.030.0</t>
  </si>
  <si>
    <t>Feedback Increase Speed</t>
  </si>
  <si>
    <t>0010.000601.010.000.0</t>
  </si>
  <si>
    <t>Feedback Decrease Speed</t>
  </si>
  <si>
    <t>0010.000602.010.000.0</t>
  </si>
  <si>
    <t>Engine Speed filtered</t>
  </si>
  <si>
    <t>0010.000501.010.010.0</t>
  </si>
  <si>
    <t>FB Local  Mode (ECU)</t>
  </si>
  <si>
    <t>0010.040201.010.000.0</t>
  </si>
  <si>
    <t>LM HI Injection Quantity</t>
  </si>
  <si>
    <t>0010.002001.014.000.0</t>
  </si>
  <si>
    <t>P-Lube Oil</t>
  </si>
  <si>
    <t>0010.025101.010.000.0</t>
  </si>
  <si>
    <t>bar</t>
  </si>
  <si>
    <t>LM LO P-Lube Oil</t>
  </si>
  <si>
    <t>0010.025101.104.000.0</t>
  </si>
  <si>
    <t>LM LOLO P-Lube Oil</t>
  </si>
  <si>
    <t>0010.025101.114.000.0</t>
  </si>
  <si>
    <t>P-Crankcase</t>
  </si>
  <si>
    <t>0010.009101.010.000.0</t>
  </si>
  <si>
    <t>mbar</t>
  </si>
  <si>
    <t>LM HI P-Crankcase</t>
  </si>
  <si>
    <t>0010.009101.154.000.0</t>
  </si>
  <si>
    <t>LM HIHI P-Crankcase</t>
  </si>
  <si>
    <t>0010.009101.164.000.0</t>
  </si>
  <si>
    <t>P-Coolant</t>
  </si>
  <si>
    <t>0010.015101.010.000.0</t>
  </si>
  <si>
    <t>LM LO P-Coolant</t>
  </si>
  <si>
    <t>0010.015101.104.000.0</t>
  </si>
  <si>
    <t>LM LOLO P-Coolant</t>
  </si>
  <si>
    <t>0010.015101.114.000.0</t>
  </si>
  <si>
    <t>P-Fuel after Filter</t>
  </si>
  <si>
    <t>0010.020101.010.000.0</t>
  </si>
  <si>
    <t>P-Charge Air</t>
  </si>
  <si>
    <t>0010.008101.010.000.0</t>
  </si>
  <si>
    <t>P-Charge Air B</t>
  </si>
  <si>
    <t>0010.008101.010.020.0</t>
  </si>
  <si>
    <t>P-Fuel Common Rail</t>
  </si>
  <si>
    <t>0010.020103.010.000.0</t>
  </si>
  <si>
    <t>ETC 1 Speed</t>
  </si>
  <si>
    <t>0010.056001.010.010.0</t>
  </si>
  <si>
    <t>krpm</t>
  </si>
  <si>
    <t>ETC 2 Speed</t>
  </si>
  <si>
    <t>0010.056001.010.020.0</t>
  </si>
  <si>
    <t>Cmd ETC 3 Cut In</t>
  </si>
  <si>
    <t>0010.056002.013.030.0</t>
  </si>
  <si>
    <t>Cmd ETC 4 Cut In</t>
  </si>
  <si>
    <t>0010.056002.013.040.0</t>
  </si>
  <si>
    <t>Operating Hours (seconds)</t>
  </si>
  <si>
    <t>0010.075502.010.000.0</t>
  </si>
  <si>
    <t>sec</t>
  </si>
  <si>
    <t>Feedback Override</t>
  </si>
  <si>
    <t>0010.043201.010.000.0</t>
  </si>
  <si>
    <t>Engine Running</t>
  </si>
  <si>
    <t>0010.000505.010.000.0</t>
  </si>
  <si>
    <t>Cmd ETC 2 Cut In</t>
  </si>
  <si>
    <t>0010.056002.013.020.0</t>
  </si>
  <si>
    <t>Injection Quantity 0-120%</t>
  </si>
  <si>
    <t>0010.002003.010.000.0</t>
  </si>
  <si>
    <t>Injection Limit 0-120%</t>
  </si>
  <si>
    <t>0010.002003.014.000.0</t>
  </si>
  <si>
    <t>Cylinder Cutout</t>
  </si>
  <si>
    <t>0010.057501.010.000.0</t>
  </si>
  <si>
    <t>ECU Failure Codes</t>
  </si>
  <si>
    <t>0010.078003.010.000.0</t>
  </si>
  <si>
    <t>PDU 1 Failure</t>
  </si>
  <si>
    <t>0010.057205.010.010.0</t>
  </si>
  <si>
    <t>PDU 2 Failure</t>
  </si>
  <si>
    <t>0010.057205.010.020.0</t>
  </si>
  <si>
    <t>Failure Status Trans. Outputs</t>
  </si>
  <si>
    <t>0010.075303.010.000.0</t>
  </si>
  <si>
    <t>ECU PS Voltage</t>
  </si>
  <si>
    <t>0010.050101.010.000.0</t>
  </si>
  <si>
    <t>V</t>
  </si>
  <si>
    <t>LM HI T-Intake Air</t>
  </si>
  <si>
    <t>0010.005201.154.000.0</t>
  </si>
  <si>
    <t>degC</t>
  </si>
  <si>
    <t>System State</t>
  </si>
  <si>
    <t>0010.057302.010.000.0</t>
  </si>
  <si>
    <t>Operating Hours</t>
  </si>
  <si>
    <t>0010.075501.010.000.0</t>
  </si>
  <si>
    <t>h</t>
  </si>
  <si>
    <t>0010.057303.205.000.0</t>
  </si>
  <si>
    <t>Engine Speed Camshaft</t>
  </si>
  <si>
    <t>0010.000506.010.000.0</t>
  </si>
  <si>
    <t>0010.000609.205.000.0</t>
  </si>
  <si>
    <t>Actual Fuel Consumption</t>
  </si>
  <si>
    <t>0010.020404.010.000.0</t>
  </si>
  <si>
    <t>l/h</t>
  </si>
  <si>
    <t>Trip Fuel Consumption</t>
  </si>
  <si>
    <t>0010.020401.010.000.0</t>
  </si>
  <si>
    <t>l</t>
  </si>
  <si>
    <t>Total Fuel Consumption</t>
  </si>
  <si>
    <t>0010.020405.010.000.0</t>
  </si>
  <si>
    <t>T-Coolant</t>
  </si>
  <si>
    <t>0010.015201.010.000.0</t>
  </si>
  <si>
    <t>LM HI T-Coolant</t>
  </si>
  <si>
    <t>0010.015201.154.000.0</t>
  </si>
  <si>
    <t>LM HIHI T-Coolant</t>
  </si>
  <si>
    <t>0010.015201.164.000.0</t>
  </si>
  <si>
    <t>T-Charge Air</t>
  </si>
  <si>
    <t>0010.008201.010.000.0</t>
  </si>
  <si>
    <t>LM HI T-Charge Air</t>
  </si>
  <si>
    <t>0010.008201.154.000.0</t>
  </si>
  <si>
    <t>T-Charge Air B</t>
  </si>
  <si>
    <t>0010.008201.010.020.0</t>
  </si>
  <si>
    <t>LM HI T-Charge Air B</t>
  </si>
  <si>
    <t>0010.008201.154.020.0</t>
  </si>
  <si>
    <t>LM HIHI T-Charge Air B</t>
  </si>
  <si>
    <t>0010.008201.164.020.0</t>
  </si>
  <si>
    <t>T-Lube Oil</t>
  </si>
  <si>
    <t>0010.025201.010.000.0</t>
  </si>
  <si>
    <t>LM HI T-Lube Oil</t>
  </si>
  <si>
    <t>0010.025201.154.000.0</t>
  </si>
  <si>
    <t>LM HIHI T-Lube Oil</t>
  </si>
  <si>
    <t>0010.025201.164.000.0</t>
  </si>
  <si>
    <t>T-Exhaust Combined A</t>
  </si>
  <si>
    <t>0010.006401.010.010.0</t>
  </si>
  <si>
    <t>LM HI T-Exhaust Combined A</t>
  </si>
  <si>
    <t>0010.006401.154.010.0</t>
  </si>
  <si>
    <t>T-Exhaust Combined B</t>
  </si>
  <si>
    <t>0010.006401.010.020.0</t>
  </si>
  <si>
    <t>LM HI T-Exhaust Combined B</t>
  </si>
  <si>
    <t>0010.006401.154.020.0</t>
  </si>
  <si>
    <t>T-Intake Air</t>
  </si>
  <si>
    <t>0010.005201.010.000.0</t>
  </si>
  <si>
    <t>T-Fuel</t>
  </si>
  <si>
    <t>0010.020201.010.000.0</t>
  </si>
  <si>
    <t>P-Lube Oil before Filter</t>
  </si>
  <si>
    <t>0010.025102.010.000.0</t>
  </si>
  <si>
    <t>P-Lube Oil Filter Diff.</t>
  </si>
  <si>
    <t>0010.025103.010.000.0</t>
  </si>
  <si>
    <t>LM HI P-Lube Oil Filter Diff.</t>
  </si>
  <si>
    <t>0010.025103.154.000.0</t>
  </si>
  <si>
    <t>T-Lube Oil (Oil Pan)</t>
  </si>
  <si>
    <t>0010.025202.010.000.0</t>
  </si>
  <si>
    <t>LM LO P-Fuel after Filter</t>
  </si>
  <si>
    <t>0010.020101.104.000.0</t>
  </si>
  <si>
    <t>LM LOLO P-Fuel after Filter</t>
  </si>
  <si>
    <t>0010.020101.114.000.0</t>
  </si>
  <si>
    <t>LM HI ETC 1 Speed</t>
  </si>
  <si>
    <t>0010.056001.154.010.0</t>
  </si>
  <si>
    <t>LM HI ETC 2 Speed</t>
  </si>
  <si>
    <t>0010.056001.154.020.0</t>
  </si>
  <si>
    <t>LM HIHI Engine Speed</t>
  </si>
  <si>
    <t>0010.000501.164.000.0</t>
  </si>
  <si>
    <t>LM HI P-Charge Air</t>
  </si>
  <si>
    <t>0010.008101.154.000.0</t>
  </si>
  <si>
    <t>LM HI P-Charge Air B</t>
  </si>
  <si>
    <t>0010.008101.154.020.0</t>
  </si>
  <si>
    <t>LM HIHI T-Charge Air</t>
  </si>
  <si>
    <t>0010.008201.164.000.0</t>
  </si>
  <si>
    <t>T-ECU</t>
  </si>
  <si>
    <t>0010.057304.010.000.0</t>
  </si>
  <si>
    <t>LM HIHI ETC 1 Speed</t>
  </si>
  <si>
    <t>0010.056001.164.010.0</t>
  </si>
  <si>
    <t>LM HIHI ETC 2 Speed</t>
  </si>
  <si>
    <t>0010.056001.164.020.0</t>
  </si>
  <si>
    <t>Engine Speed Crankshaft</t>
  </si>
  <si>
    <t>0010.000507.010.000.0</t>
  </si>
  <si>
    <t>Engine Speed Demand Feedback</t>
  </si>
  <si>
    <t>0010.000604.010.010.0</t>
  </si>
  <si>
    <t>Speed Demand Analog Input</t>
  </si>
  <si>
    <t>0010.000604.010.040.0</t>
  </si>
  <si>
    <t>Mean Trip Fuel Consumption</t>
  </si>
  <si>
    <t>0010.020402.010.000.0</t>
  </si>
  <si>
    <t>LM HIHI T-Fuel</t>
  </si>
  <si>
    <t>0010.020201.164.000.0</t>
  </si>
  <si>
    <t>Actual P-Grade</t>
  </si>
  <si>
    <t>0010.057404.010.000.0</t>
  </si>
  <si>
    <t>InfoTextECU</t>
  </si>
  <si>
    <t>0010.075700.010.000.0</t>
  </si>
  <si>
    <t>Injection in Relation to DBR</t>
  </si>
  <si>
    <t>0010.002002.010.000.0</t>
  </si>
  <si>
    <t>Cmd ETC 1 Cut In</t>
  </si>
  <si>
    <t>0010.056002.013.010.0</t>
  </si>
  <si>
    <t>P-Fuel before Filter</t>
  </si>
  <si>
    <t>0010.020102.010.000.0</t>
  </si>
  <si>
    <t>Rated Power</t>
  </si>
  <si>
    <t>0010.002502.010.000.0</t>
  </si>
  <si>
    <t>kW</t>
  </si>
  <si>
    <t>P-Fuel Filter Diff.</t>
  </si>
  <si>
    <t>0010.020105.010.000.0</t>
  </si>
  <si>
    <t>Trip Duration</t>
  </si>
  <si>
    <t>0010.020403.010.000.0</t>
  </si>
  <si>
    <t>Status Transistor Outputs</t>
  </si>
  <si>
    <t>0010.075304.010.000.0</t>
  </si>
  <si>
    <t>T-Charge Air Seq Valve</t>
  </si>
  <si>
    <t>0010.008202.010.000.0</t>
  </si>
  <si>
    <t>LM HI T-Charge Air Seq Valve</t>
  </si>
  <si>
    <t>0010.008202.154.000.0</t>
  </si>
  <si>
    <t>LM HIHI T-Charge Air Seq Valve</t>
  </si>
  <si>
    <t>0010.008202.164.000.0</t>
  </si>
  <si>
    <t>LM HIHI T-Exhaust Combined A</t>
  </si>
  <si>
    <t>0010.006401.164.010.0</t>
  </si>
  <si>
    <t>LM HIHI T-Exhaust Combined B</t>
  </si>
  <si>
    <t>0010.006401.164.020.0</t>
  </si>
  <si>
    <t>LM LO ECU PS Voltage</t>
  </si>
  <si>
    <t>0010.050101.104.000.0</t>
  </si>
  <si>
    <t>LM LOLO ECU PS Voltage</t>
  </si>
  <si>
    <t>0010.050101.114.000.0</t>
  </si>
  <si>
    <t>LM HI ECU PS Voltage</t>
  </si>
  <si>
    <t>0010.050101.154.000.0</t>
  </si>
  <si>
    <t>LM HIHI ECU PS Voltage</t>
  </si>
  <si>
    <t>0010.050101.164.000.0</t>
  </si>
  <si>
    <t>LM HI P-Fuel Filter Diff.</t>
  </si>
  <si>
    <t>0010.020105.154.000.0</t>
  </si>
  <si>
    <t>Coolant Level</t>
  </si>
  <si>
    <t>0010.015301.010.000.0</t>
  </si>
  <si>
    <t>Fuel Leakage Level</t>
  </si>
  <si>
    <t>0010.020301.010.000.0</t>
  </si>
  <si>
    <t>LM HI T-Fuel</t>
  </si>
  <si>
    <t>0010.020201.154.000.0</t>
  </si>
  <si>
    <t>LM HI T-ECU</t>
  </si>
  <si>
    <t>0010.057304.154.000.0</t>
  </si>
  <si>
    <t>ETC 3 Speed</t>
  </si>
  <si>
    <t>0010.056001.010.030.0</t>
  </si>
  <si>
    <t>ETC 4 Speed</t>
  </si>
  <si>
    <t>0010.056001.010.040.0</t>
  </si>
  <si>
    <t>ECU Power Limitation Expected</t>
  </si>
  <si>
    <t>0010.043101.010.010.0</t>
  </si>
  <si>
    <t>ECU Security Shutdown Expected</t>
  </si>
  <si>
    <t>0010.043102.010.010.0</t>
  </si>
  <si>
    <t>T-Exhaust Combined C</t>
  </si>
  <si>
    <t>0010.006401.010.030.0</t>
  </si>
  <si>
    <t>LM HI T-Exhaust Combined C</t>
  </si>
  <si>
    <t>0010.006401.154.030.0</t>
  </si>
  <si>
    <t>LM HIHI T-Exhaust Combined C</t>
  </si>
  <si>
    <t>0010.006401.164.030.0</t>
  </si>
  <si>
    <t>T-Exhaust Combined D</t>
  </si>
  <si>
    <t>0010.006401.010.040.0</t>
  </si>
  <si>
    <t>LM HI T-Exhaust Combined D</t>
  </si>
  <si>
    <t>0010.006401.154.040.0</t>
  </si>
  <si>
    <t>LM HIHI T-Exhaust Combined D</t>
  </si>
  <si>
    <t>0010.006401.164.040.0</t>
  </si>
  <si>
    <t>Lube Oil Level</t>
  </si>
  <si>
    <t>0010.025301.010.000.0</t>
  </si>
  <si>
    <t>Lube Oil Level Status</t>
  </si>
  <si>
    <t>0010.025302.010.000.0</t>
  </si>
  <si>
    <t>Lube Oil Level (not cal.)</t>
  </si>
  <si>
    <t>0010.025301.010.010.0</t>
  </si>
  <si>
    <t>mm</t>
  </si>
  <si>
    <t>Lube Oil Level (cal.)</t>
  </si>
  <si>
    <t>0010.025303.010.000.0</t>
  </si>
  <si>
    <t>Alarm Protocol Light Carrier</t>
  </si>
  <si>
    <t>0010.078004.010.000.0</t>
  </si>
  <si>
    <t>LM HI ETC 3 Speed</t>
  </si>
  <si>
    <t>0010.056001.154.030.0</t>
  </si>
  <si>
    <t>LM HIHI ETC 3 Speed</t>
  </si>
  <si>
    <t>0010.056001.164.030.0</t>
  </si>
  <si>
    <t>LM HI ETC 4 Speed</t>
  </si>
  <si>
    <t>0010.056001.154.040.0</t>
  </si>
  <si>
    <t>LM HIHI ETC 4 Speed</t>
  </si>
  <si>
    <t>0010.056001.164.040.0</t>
  </si>
  <si>
    <t>Requested Torque</t>
  </si>
  <si>
    <t>0010.002005.010.000.0</t>
  </si>
  <si>
    <t>MCR-Moment korr.</t>
  </si>
  <si>
    <t>0010.002006.010.000.0</t>
  </si>
  <si>
    <t>Torque Limitation Code</t>
  </si>
  <si>
    <t>0010.002011.010.000.0</t>
  </si>
  <si>
    <t>State Binary Input/Outputs</t>
  </si>
  <si>
    <t>0010.057305.010.000.0</t>
  </si>
  <si>
    <t>P-Fuel Common Rail  B</t>
  </si>
  <si>
    <t>0010.020103.010.020.0</t>
  </si>
  <si>
    <t>Injection in Rel.to DBR (50ms)</t>
  </si>
  <si>
    <t>0010.002002.010.010.0</t>
  </si>
  <si>
    <t>Power in Relation to MCR</t>
  </si>
  <si>
    <t>0010.002504.010.000.0</t>
  </si>
  <si>
    <t>MCR Overload Duration</t>
  </si>
  <si>
    <t>0010.002505.010.000.0</t>
  </si>
  <si>
    <t>s</t>
  </si>
  <si>
    <t>Actual DBR Torque</t>
  </si>
  <si>
    <t>0010.002007.010.000.0</t>
  </si>
  <si>
    <t>Specific Fuel Consumption</t>
  </si>
  <si>
    <t>0010.020406.010.000.0</t>
  </si>
  <si>
    <t>g/kWh</t>
  </si>
  <si>
    <t>Actual Engine Power</t>
  </si>
  <si>
    <t>0010.002501.010.000.0</t>
  </si>
  <si>
    <t>DBR/MCR Reduction active</t>
  </si>
  <si>
    <t>0010.002008.010.000.0</t>
  </si>
  <si>
    <t>Actual Torque (%)</t>
  </si>
  <si>
    <t>0010.002009.010.000.0</t>
  </si>
  <si>
    <t>Max. Engine Power</t>
  </si>
  <si>
    <t>0010.002503.010.000.0</t>
  </si>
  <si>
    <t>Actual Idle Speed</t>
  </si>
  <si>
    <t>0010.000503.010.010.0</t>
  </si>
  <si>
    <t>Speed Demand without P-Grade</t>
  </si>
  <si>
    <t>0010.000604.010.050.0</t>
  </si>
  <si>
    <t>P-Fuel Prefilter Diff.</t>
  </si>
  <si>
    <t>0010.020106.010.000.0</t>
  </si>
  <si>
    <t>LM HI P-Fuel Prefilter Diff.</t>
  </si>
  <si>
    <t>0010.020106.154.000.0</t>
  </si>
  <si>
    <t>P-Lube Oil B-Side ETCs</t>
  </si>
  <si>
    <t>0010.025104.010.020.0</t>
  </si>
  <si>
    <t>LM LO P-Lube Oil B-Side ETCs</t>
  </si>
  <si>
    <t>0010.025104.104.020.0</t>
  </si>
  <si>
    <t>LM LOLO P-Lube Oil B-Side ETCs</t>
  </si>
  <si>
    <t>0010.025104.114.020.0</t>
  </si>
  <si>
    <t>P-Lube Oil A-Side ETCs</t>
  </si>
  <si>
    <t>0010.025104.010.010.0</t>
  </si>
  <si>
    <t>LM LO P-Lube Oil A-Side ETCs</t>
  </si>
  <si>
    <t>0010.025104.104.010.0</t>
  </si>
  <si>
    <t>LM LOLO P-Lube Oil A-Side ETCs</t>
  </si>
  <si>
    <t>0010.025104.114.010.0</t>
  </si>
  <si>
    <t>P-Intake Air B</t>
  </si>
  <si>
    <t>0010.005101.010.020.0</t>
  </si>
  <si>
    <t>LM LO P-Intake Air B</t>
  </si>
  <si>
    <t>0010.005101.104.020.0</t>
  </si>
  <si>
    <t>P-Lube Oil After Level Pump</t>
  </si>
  <si>
    <t>0010.025105.010.000.0</t>
  </si>
  <si>
    <t>LM LO P-Lune Oil Aft Lev Pump</t>
  </si>
  <si>
    <t>0010.025105.104.000.0</t>
  </si>
  <si>
    <t>T-Fuel Rail B</t>
  </si>
  <si>
    <t>0010.020201.010.020.0</t>
  </si>
  <si>
    <t>Level Oil Refill Tank</t>
  </si>
  <si>
    <t>0010.025304.010.000.0</t>
  </si>
  <si>
    <t>T-Raw Water After Pump</t>
  </si>
  <si>
    <t>0010.016201.010.000.0</t>
  </si>
  <si>
    <t>T-Fuel Before LP Pump</t>
  </si>
  <si>
    <t>0010.020202.010.000.0</t>
  </si>
  <si>
    <t>T-Lube Oil ETC</t>
  </si>
  <si>
    <t>0010.025203.010.000.0</t>
  </si>
  <si>
    <t>LM HI T-Lube Oil ETC</t>
  </si>
  <si>
    <t>0010.025203.154.000.0</t>
  </si>
  <si>
    <t>LM HIHI T-Lube Oil ETC</t>
  </si>
  <si>
    <t>0010.025203.164.000.0</t>
  </si>
  <si>
    <t>LM HIHI P-Lube Oil Filter Diff.</t>
  </si>
  <si>
    <t>0010.025103.164.000.0</t>
  </si>
  <si>
    <t>Cmd ETC 5 Cut In</t>
  </si>
  <si>
    <t>0010.056002.013.050.0</t>
  </si>
  <si>
    <t>LM HI T-Raw Water After Pump</t>
  </si>
  <si>
    <t>0010.016201.154.000.0</t>
  </si>
  <si>
    <t>LM HI T-Fuel Rail B</t>
  </si>
  <si>
    <t>0010.020201.154.020.0</t>
  </si>
  <si>
    <t>LM HIHI T-Intake Air</t>
  </si>
  <si>
    <t>0010.005201.164.000.0</t>
  </si>
  <si>
    <t>LM HI T-Fuel Before LP Pump</t>
  </si>
  <si>
    <t>0010.020202.154.000.0</t>
  </si>
  <si>
    <t>LM HIHI T-Fuel Before LP Pump</t>
  </si>
  <si>
    <t>0010.020202.164.000.0</t>
  </si>
  <si>
    <t>T-Exhaust after LP ETC</t>
  </si>
  <si>
    <t>0010.006402.010.010.0</t>
  </si>
  <si>
    <t>LM HI T-Exhaust after LP ETC</t>
  </si>
  <si>
    <t>0010.006402.154.010.0</t>
  </si>
  <si>
    <t>LM HIHI T-Exhaust after LP ETC</t>
  </si>
  <si>
    <t>0010.006402.164.010.0</t>
  </si>
  <si>
    <t>LM HIHI T-Fuel Rail B</t>
  </si>
  <si>
    <t>0010.020201.164.020.0</t>
  </si>
  <si>
    <t>EngineStopped</t>
  </si>
  <si>
    <t>0010.042101.010.000.0</t>
  </si>
  <si>
    <t>0010.005102.010.000.0</t>
  </si>
  <si>
    <t>0050.072001.010.000.0</t>
  </si>
  <si>
    <t>0010.005102.104.000.0</t>
  </si>
  <si>
    <t>0010.008101.164.000.0</t>
  </si>
  <si>
    <t>0010.040201.013.000.0</t>
  </si>
  <si>
    <t>ETC 5 Speed</t>
  </si>
  <si>
    <t>0010.056001.010.050.0</t>
  </si>
  <si>
    <t>Engine Speed SaSy</t>
  </si>
  <si>
    <t>0011.000501.010.000.0</t>
  </si>
  <si>
    <t>0011.000501.165.000.0</t>
  </si>
  <si>
    <t>P-Lube Oil SaSy</t>
  </si>
  <si>
    <t>0011.025101.010.000.0</t>
  </si>
  <si>
    <t>LM LO P-Lube Oil SaSy</t>
  </si>
  <si>
    <t>0011.025101.104.000.0</t>
  </si>
  <si>
    <t>LM LOLO P-Lube Oil SaSy</t>
  </si>
  <si>
    <t>0011.025101.114.000.0</t>
  </si>
  <si>
    <t>0011.025101.105.000.0</t>
  </si>
  <si>
    <t>0011.025101.115.000.0</t>
  </si>
  <si>
    <t>Engine Running SaSy</t>
  </si>
  <si>
    <t>0011.000505.010.000.0</t>
  </si>
  <si>
    <t>0011.009101.010.000.0</t>
  </si>
  <si>
    <t>0011.009101.154.000.0</t>
  </si>
  <si>
    <t>0011.009101.164.000.0</t>
  </si>
  <si>
    <t>0010.078012.010.000.0</t>
  </si>
  <si>
    <t>0010.068300.010.000.0</t>
  </si>
  <si>
    <t>0010.050300.010.000.0</t>
  </si>
  <si>
    <t>InfoTextSaSy</t>
  </si>
  <si>
    <t>0010.075701.010.000.0</t>
  </si>
  <si>
    <t>T-Coolant SaSy</t>
  </si>
  <si>
    <t>0011.015201.010.000.0</t>
  </si>
  <si>
    <t>LM HI T-Coolant SaSy</t>
  </si>
  <si>
    <t>0011.015201.154.000.0</t>
  </si>
  <si>
    <t>LM HIHI T-Coolant SaSy</t>
  </si>
  <si>
    <t>0011.015201.164.000.0</t>
  </si>
  <si>
    <t>0011.015201.155.000.0</t>
  </si>
  <si>
    <t>0011.015201.165.000.0</t>
  </si>
  <si>
    <t>LM HIHI Engine Speed SaSy</t>
  </si>
  <si>
    <t>0011.000501.164.000.0</t>
  </si>
  <si>
    <t>0011.043301.255.000.0</t>
  </si>
  <si>
    <t>0011.043302.265.000.0</t>
  </si>
  <si>
    <t>T-Exhaust A1</t>
  </si>
  <si>
    <t>0010.006201.010.010.0</t>
  </si>
  <si>
    <t>T-Exhaust A2</t>
  </si>
  <si>
    <t>0010.006201.010.020.0</t>
  </si>
  <si>
    <t>T-Exhaust A3</t>
  </si>
  <si>
    <t>0010.006201.010.030.0</t>
  </si>
  <si>
    <t>T-Exhaust A4</t>
  </si>
  <si>
    <t>0010.006201.010.040.0</t>
  </si>
  <si>
    <t>T-Exhaust A5</t>
  </si>
  <si>
    <t>0010.006201.010.050.0</t>
  </si>
  <si>
    <t>T-Exhaust A6</t>
  </si>
  <si>
    <t>0010.006201.010.060.0</t>
  </si>
  <si>
    <t>T-Exhaust A7</t>
  </si>
  <si>
    <t>0010.006201.010.070.0</t>
  </si>
  <si>
    <t>T-Exhaust A8</t>
  </si>
  <si>
    <t>0010.006201.010.080.0</t>
  </si>
  <si>
    <t>T-Exhaust A9</t>
  </si>
  <si>
    <t>0010.006201.010.090.0</t>
  </si>
  <si>
    <t>T-Exhaust A10</t>
  </si>
  <si>
    <t>0010.006201.010.100.0</t>
  </si>
  <si>
    <t>T-Exhaust B1</t>
  </si>
  <si>
    <t>0010.006202.010.010.0</t>
  </si>
  <si>
    <t>T-Exhaust B2</t>
  </si>
  <si>
    <t>0010.006202.010.020.0</t>
  </si>
  <si>
    <t>T-Exhaust B3</t>
  </si>
  <si>
    <t>0010.006202.010.030.0</t>
  </si>
  <si>
    <t>T-Exhaust B4</t>
  </si>
  <si>
    <t>0010.006202.010.040.0</t>
  </si>
  <si>
    <t>T-Exhaust B5</t>
  </si>
  <si>
    <t>0010.006202.010.050.0</t>
  </si>
  <si>
    <t>T-Exhaust B6</t>
  </si>
  <si>
    <t>0010.006202.010.060.0</t>
  </si>
  <si>
    <t>T-Exhaust B7</t>
  </si>
  <si>
    <t>0010.006202.010.070.0</t>
  </si>
  <si>
    <t>T-Exhaust B8</t>
  </si>
  <si>
    <t>0010.006202.010.080.0</t>
  </si>
  <si>
    <t>T-Exhaust B9</t>
  </si>
  <si>
    <t>0010.006202.010.090.0</t>
  </si>
  <si>
    <t>T-Exhaust B10</t>
  </si>
  <si>
    <t>0010.006202.010.100.0</t>
  </si>
  <si>
    <t>T-Exhaust Mean</t>
  </si>
  <si>
    <t>0010.006203.010.000.0</t>
  </si>
  <si>
    <t>T-Exhaust Max</t>
  </si>
  <si>
    <t>0010.006204.010.000.0</t>
  </si>
  <si>
    <t>T-Exhaust Min</t>
  </si>
  <si>
    <t>0010.006205.010.000.0</t>
  </si>
  <si>
    <t>LM HI T-Exhaust</t>
  </si>
  <si>
    <t>0010.006201.154.010.0</t>
  </si>
  <si>
    <t>LM LO T-Exhaust</t>
  </si>
  <si>
    <t>0010.006201.104.010.0</t>
  </si>
  <si>
    <t>LM HIHI T-Exhaust</t>
  </si>
  <si>
    <t>0010.006201.164.010.0</t>
  </si>
  <si>
    <t>LM LOLO T-Exhaust</t>
  </si>
  <si>
    <t>0010.006201.114.010.0</t>
  </si>
  <si>
    <t>0010.006208.010.000.0</t>
  </si>
  <si>
    <t>T-Bearing 1</t>
  </si>
  <si>
    <t>0010.055201.010.010.0</t>
  </si>
  <si>
    <t>T-Bearing 2</t>
  </si>
  <si>
    <t>0010.055201.010.020.0</t>
  </si>
  <si>
    <t>T-Bearing 3</t>
  </si>
  <si>
    <t>0010.055201.010.030.0</t>
  </si>
  <si>
    <t>T-Bearing 4</t>
  </si>
  <si>
    <t>0010.055201.010.040.0</t>
  </si>
  <si>
    <t>T-Bearing 5</t>
  </si>
  <si>
    <t>0010.055201.010.050.0</t>
  </si>
  <si>
    <t>T-Bearing 6</t>
  </si>
  <si>
    <t>0010.055201.010.060.0</t>
  </si>
  <si>
    <t>T-Bearing 7</t>
  </si>
  <si>
    <t>0010.055201.010.070.0</t>
  </si>
  <si>
    <t>T-Bearing 8</t>
  </si>
  <si>
    <t>0010.055201.010.080.0</t>
  </si>
  <si>
    <t>T-Bearing 9</t>
  </si>
  <si>
    <t>0010.055201.010.090.0</t>
  </si>
  <si>
    <t>T-Bearing 10</t>
  </si>
  <si>
    <t>0010.055201.010.100.0</t>
  </si>
  <si>
    <t>T-Bearing 11</t>
  </si>
  <si>
    <t>0010.055201.010.110.0</t>
  </si>
  <si>
    <t>T-Bearing Mean</t>
  </si>
  <si>
    <t>0010.055202.010.000.0</t>
  </si>
  <si>
    <t>LM HI T-Bearing Mean</t>
  </si>
  <si>
    <t>0010.055202.154.000.0</t>
  </si>
  <si>
    <t>0010.055202.155.000.0</t>
  </si>
  <si>
    <t>LM HI T-Bearing</t>
  </si>
  <si>
    <t>0010.055201.154.010.0</t>
  </si>
  <si>
    <t>LM HIHI T-Bearing</t>
  </si>
  <si>
    <t>0010.055201.164.010.0</t>
  </si>
  <si>
    <t>0010.055203.010.000.0</t>
  </si>
  <si>
    <t>0010.006201.155.010.0</t>
  </si>
  <si>
    <t>0010.006201.155.020.0</t>
  </si>
  <si>
    <t>0010.006201.155.030.0</t>
  </si>
  <si>
    <t>0010.006201.155.040.0</t>
  </si>
  <si>
    <t>0010.006201.155.050.0</t>
  </si>
  <si>
    <t>0010.006201.155.060.0</t>
  </si>
  <si>
    <t>0010.006201.155.070.0</t>
  </si>
  <si>
    <t>0010.006201.155.080.0</t>
  </si>
  <si>
    <t>0010.006201.155.090.0</t>
  </si>
  <si>
    <t>0010.006201.155.100.0</t>
  </si>
  <si>
    <t>0010.006202.155.010.0</t>
  </si>
  <si>
    <t>0010.006202.155.020.0</t>
  </si>
  <si>
    <t>0010.006202.155.030.0</t>
  </si>
  <si>
    <t>0010.006202.155.040.0</t>
  </si>
  <si>
    <t>0010.006202.155.050.0</t>
  </si>
  <si>
    <t>0010.006202.155.060.0</t>
  </si>
  <si>
    <t>0010.006202.155.070.0</t>
  </si>
  <si>
    <t>0010.006202.155.080.0</t>
  </si>
  <si>
    <t>0010.006202.155.090.0</t>
  </si>
  <si>
    <t>0010.006202.155.100.0</t>
  </si>
  <si>
    <t>0010.055201.155.010.0</t>
  </si>
  <si>
    <t>0010.055201.155.020.0</t>
  </si>
  <si>
    <t>0010.055201.155.030.0</t>
  </si>
  <si>
    <t>0010.055201.155.040.0</t>
  </si>
  <si>
    <t>0010.055201.155.050.0</t>
  </si>
  <si>
    <t>0010.055201.155.060.0</t>
  </si>
  <si>
    <t>0010.055201.155.070.0</t>
  </si>
  <si>
    <t>0010.055201.155.080.0</t>
  </si>
  <si>
    <t>0010.055201.155.090.0</t>
  </si>
  <si>
    <t>0010.055201.155.100.0</t>
  </si>
  <si>
    <t>0010.055201.155.110.0</t>
  </si>
  <si>
    <t>0010.055201.165.010.0</t>
  </si>
  <si>
    <t>0010.055201.165.020.0</t>
  </si>
  <si>
    <t>0010.055201.165.030.0</t>
  </si>
  <si>
    <t>0010.055201.165.040.0</t>
  </si>
  <si>
    <t>0010.055201.165.050.0</t>
  </si>
  <si>
    <t>0010.055201.165.060.0</t>
  </si>
  <si>
    <t>0010.055201.165.070.0</t>
  </si>
  <si>
    <t>0010.055201.165.080.0</t>
  </si>
  <si>
    <t>0010.055201.165.090.0</t>
  </si>
  <si>
    <t>0010.055201.165.100.0</t>
  </si>
  <si>
    <t>0010.055201.165.110.0</t>
  </si>
  <si>
    <t>0010.006201.105.010.0</t>
  </si>
  <si>
    <t>0010.006201.105.020.0</t>
  </si>
  <si>
    <t>0010.006201.105.030.0</t>
  </si>
  <si>
    <t>0010.006201.105.040.0</t>
  </si>
  <si>
    <t>0010.006201.105.050.0</t>
  </si>
  <si>
    <t>0010.006201.105.060.0</t>
  </si>
  <si>
    <t>0010.006201.105.070.0</t>
  </si>
  <si>
    <t>0010.006201.105.080.0</t>
  </si>
  <si>
    <t>0010.006201.105.090.0</t>
  </si>
  <si>
    <t>0010.006201.105.100.0</t>
  </si>
  <si>
    <t>0010.006202.105.010.0</t>
  </si>
  <si>
    <t>0010.006202.105.020.0</t>
  </si>
  <si>
    <t>0010.006202.105.030.0</t>
  </si>
  <si>
    <t>0010.006202.105.040.0</t>
  </si>
  <si>
    <t>0010.006202.105.050.0</t>
  </si>
  <si>
    <t>0010.006202.105.060.0</t>
  </si>
  <si>
    <t>0010.006202.105.070.0</t>
  </si>
  <si>
    <t>0010.006202.105.080.0</t>
  </si>
  <si>
    <t>0010.006202.105.090.0</t>
  </si>
  <si>
    <t>0010.006202.105.100.0</t>
  </si>
  <si>
    <t>P-Raw Water beforePump</t>
  </si>
  <si>
    <t>0010.016102.010.000.0</t>
  </si>
  <si>
    <t>LM LO P-Raw Water BeforePump</t>
  </si>
  <si>
    <t>0010.016102.104.000.0</t>
  </si>
  <si>
    <t>0010.016102.105.000.0</t>
  </si>
  <si>
    <t>P-Lube Oil Last Bearing</t>
  </si>
  <si>
    <t>0010.025106.010.000.0</t>
  </si>
  <si>
    <t>LM LO P-Lube Oil Last Bearing</t>
  </si>
  <si>
    <t>0010.025106.104.000.0</t>
  </si>
  <si>
    <t>0010.025106.105.000.0</t>
  </si>
  <si>
    <t>LM LOLO P-Lube Oil Last Bearing</t>
  </si>
  <si>
    <t>0010.025106.114.000.0</t>
  </si>
  <si>
    <t>0010.025106.115.000.0</t>
  </si>
  <si>
    <t>P-Lube Oil Pistoncool</t>
  </si>
  <si>
    <t>0010.025108.010.000.0</t>
  </si>
  <si>
    <t>LM LO P-Lube Oil Pistoncool</t>
  </si>
  <si>
    <t>0010.025108.104.000.0</t>
  </si>
  <si>
    <t>0010.025108.105.000.0</t>
  </si>
  <si>
    <t>LM LOLO P-Lube Oil Pistoncool</t>
  </si>
  <si>
    <t>0010.025108.114.000.0</t>
  </si>
  <si>
    <t>0010.025108.115.000.0</t>
  </si>
  <si>
    <t>P-Control Air</t>
  </si>
  <si>
    <t>0010.010101.010.000.0</t>
  </si>
  <si>
    <t>LM LO P-Control Air</t>
  </si>
  <si>
    <t>0010.010101.104.000.0</t>
  </si>
  <si>
    <t>0010.010101.105.000.0</t>
  </si>
  <si>
    <t>P-Exhaust Back</t>
  </si>
  <si>
    <t>0010.006101.010.000.0</t>
  </si>
  <si>
    <t>LM HI P-Exhaust Back</t>
  </si>
  <si>
    <t>0010.006101.154.000.0</t>
  </si>
  <si>
    <t>0010.006101.155.000.0</t>
  </si>
  <si>
    <t>LM HIHI P-Exhaust Back</t>
  </si>
  <si>
    <t>0010.006101.164.000.0</t>
  </si>
  <si>
    <t>0010.006101.165.000.0</t>
  </si>
  <si>
    <t>0011.020101.010.010.0</t>
  </si>
  <si>
    <t>0011.020101.010.020.0</t>
  </si>
  <si>
    <t>0011.020101.104.010.0</t>
  </si>
  <si>
    <t>0011.020101.105.010.0</t>
  </si>
  <si>
    <t>0011.020101.105.020.0</t>
  </si>
  <si>
    <t>0010.020101.225.010.0</t>
  </si>
  <si>
    <t>0010.020101.225.020.0</t>
  </si>
  <si>
    <t>LM HI ETC 5 Speed</t>
  </si>
  <si>
    <t>0010.056001.154.050.0</t>
  </si>
  <si>
    <t>0010.056001.155.050.0</t>
  </si>
  <si>
    <t>LM HIHI ETC5 Speed</t>
  </si>
  <si>
    <t>0010.056001.164.050.0</t>
  </si>
  <si>
    <t>0010.056001.165.050.0</t>
  </si>
  <si>
    <t>P-Diff PistoncoolFilter</t>
  </si>
  <si>
    <t>0010.025109.010.000.0</t>
  </si>
  <si>
    <t>LM HI P-Diff PistoncoolFilter</t>
  </si>
  <si>
    <t>0010.025109.154.000.0</t>
  </si>
  <si>
    <t>0010.025109.155.000.0</t>
  </si>
  <si>
    <t>P-Raw Water</t>
  </si>
  <si>
    <t>0010.016101.010.000.0</t>
  </si>
  <si>
    <t>LM LO P-Raw Water</t>
  </si>
  <si>
    <t>0010.016101.104.000.0</t>
  </si>
  <si>
    <t>0010.016101.105.000.0</t>
  </si>
  <si>
    <t>EMU Security Shutdown</t>
  </si>
  <si>
    <t>0011.043102.010.000.0</t>
  </si>
  <si>
    <t>0010.006207.205.000.0</t>
  </si>
  <si>
    <t>0011.043501.205.000.0</t>
  </si>
  <si>
    <t>0011.015201.225.000.0</t>
  </si>
  <si>
    <t>0011.025101.225.000.0</t>
  </si>
  <si>
    <t>0011.043502.205.000.0</t>
  </si>
  <si>
    <t>0011.043503.205.000.0</t>
  </si>
  <si>
    <t>EMU Power Limitation Active</t>
  </si>
  <si>
    <t>0011.043101.010.000.0</t>
  </si>
  <si>
    <t>EMU Power Limitation Expected</t>
  </si>
  <si>
    <t>0011.043101.010.010.0</t>
  </si>
  <si>
    <t>EMU Security Shutdown Expected</t>
  </si>
  <si>
    <t>0011.043102.010.010.0</t>
  </si>
  <si>
    <t>T-Splash Oil B1</t>
  </si>
  <si>
    <t>0010.025601.010.010.0</t>
  </si>
  <si>
    <t>T-Splash Oil B2</t>
  </si>
  <si>
    <t>0010.025601.010.020.0</t>
  </si>
  <si>
    <t>T-Splash Oil B3</t>
  </si>
  <si>
    <t>0010.025601.010.030.0</t>
  </si>
  <si>
    <t>T-Splash Oil B4</t>
  </si>
  <si>
    <t>0010.025601.010.040.0</t>
  </si>
  <si>
    <t>T-Splash Oil B5</t>
  </si>
  <si>
    <t>0010.025601.010.050.0</t>
  </si>
  <si>
    <t>T-Splash Oil B6</t>
  </si>
  <si>
    <t>0010.025601.010.060.0</t>
  </si>
  <si>
    <t>T-Splash Oil B7</t>
  </si>
  <si>
    <t>0010.025601.010.070.0</t>
  </si>
  <si>
    <t>T-Splash Oil B8</t>
  </si>
  <si>
    <t>0010.025601.010.080.0</t>
  </si>
  <si>
    <t>T-Splash Oil B9</t>
  </si>
  <si>
    <t>0010.025601.010.090.0</t>
  </si>
  <si>
    <t>T-Splash Oil B10</t>
  </si>
  <si>
    <t>0010.025601.010.100.0</t>
  </si>
  <si>
    <t>0010.025601.155.010.0</t>
  </si>
  <si>
    <t>0010.025601.155.020.0</t>
  </si>
  <si>
    <t>0010.025601.155.030.0</t>
  </si>
  <si>
    <t>0010.025601.155.040.0</t>
  </si>
  <si>
    <t>0010.025601.155.050.0</t>
  </si>
  <si>
    <t>0010.025601.155.060.0</t>
  </si>
  <si>
    <t>0010.025601.155.070.0</t>
  </si>
  <si>
    <t>0010.025601.155.080.0</t>
  </si>
  <si>
    <t>0010.025601.155.090.0</t>
  </si>
  <si>
    <t>0010.025601.155.100.0</t>
  </si>
  <si>
    <t>0010.025601.165.010.0</t>
  </si>
  <si>
    <t>0010.025601.165.020.0</t>
  </si>
  <si>
    <t>0010.025601.165.030.0</t>
  </si>
  <si>
    <t>0010.025601.165.040.0</t>
  </si>
  <si>
    <t>0010.025601.165.050.0</t>
  </si>
  <si>
    <t>0010.025601.165.060.0</t>
  </si>
  <si>
    <t>0010.025601.165.070.0</t>
  </si>
  <si>
    <t>0010.025601.165.080.0</t>
  </si>
  <si>
    <t>0010.025601.165.090.0</t>
  </si>
  <si>
    <t>0010.025601.165.100.0</t>
  </si>
  <si>
    <t>LM HI T-Splash Oil B1</t>
  </si>
  <si>
    <t>0010.025601.154.010.0</t>
  </si>
  <si>
    <t>LM HI T-Splash Oil B2</t>
  </si>
  <si>
    <t>0010.025601.154.020.0</t>
  </si>
  <si>
    <t>LM HI T-Splash Oil B3</t>
  </si>
  <si>
    <t>0010.025601.154.030.0</t>
  </si>
  <si>
    <t>LM HI T-Splash Oil B4</t>
  </si>
  <si>
    <t>0010.025601.154.040.0</t>
  </si>
  <si>
    <t>LM HI T-Splash Oil B5</t>
  </si>
  <si>
    <t>0010.025601.154.050.0</t>
  </si>
  <si>
    <t>LM HI T-Splash Oil B6</t>
  </si>
  <si>
    <t>0010.025601.154.060.0</t>
  </si>
  <si>
    <t>LM HI T-Splash Oil B7</t>
  </si>
  <si>
    <t>0010.025601.154.070.0</t>
  </si>
  <si>
    <t>LM HI T-Splash Oil B8</t>
  </si>
  <si>
    <t>0010.025601.154.080.0</t>
  </si>
  <si>
    <t>LM HI T-Splash Oil B9</t>
  </si>
  <si>
    <t>0010.025601.154.090.0</t>
  </si>
  <si>
    <t>LM HI T-Splash Oil B10</t>
  </si>
  <si>
    <t>0010.025601.154.100.0</t>
  </si>
  <si>
    <t>LM HIHI T-Splash Oil B1</t>
  </si>
  <si>
    <t>0010.025601.164.010.0</t>
  </si>
  <si>
    <t>LM HIHI T-Splash Oil B2</t>
  </si>
  <si>
    <t>0010.025601.164.020.0</t>
  </si>
  <si>
    <t>LM HIHI T-Splash Oil B3</t>
  </si>
  <si>
    <t>0010.025601.164.030.0</t>
  </si>
  <si>
    <t>LM HIHI T-Splash Oil B4</t>
  </si>
  <si>
    <t>0010.025601.164.040.0</t>
  </si>
  <si>
    <t>LM HIHI T-Splash Oil B5</t>
  </si>
  <si>
    <t>0010.025601.164.050.0</t>
  </si>
  <si>
    <t>LM HIHI T-Splash Oil B6</t>
  </si>
  <si>
    <t>0010.025601.164.060.0</t>
  </si>
  <si>
    <t>LM HIHI T-Splash Oil B7</t>
  </si>
  <si>
    <t>0010.025601.164.070.0</t>
  </si>
  <si>
    <t>LM HIHI T-Splash Oil B8</t>
  </si>
  <si>
    <t>0010.025601.164.080.0</t>
  </si>
  <si>
    <t>LM HIHI T-Splash Oil B9</t>
  </si>
  <si>
    <t>0010.025601.164.090.0</t>
  </si>
  <si>
    <t>LM HIHI T-Splash Oil B10</t>
  </si>
  <si>
    <t>0010.025601.164.100.0</t>
  </si>
  <si>
    <t>0010.025603.231.010.0</t>
  </si>
  <si>
    <t>0010.025604.205.010.0</t>
  </si>
  <si>
    <t>T-Splash Oil Mean</t>
  </si>
  <si>
    <t>0010.025602.010.010.0</t>
  </si>
  <si>
    <t>T-Splash Oil Mean Failure</t>
  </si>
  <si>
    <t>0010.025602.010.020.0</t>
  </si>
  <si>
    <t>EMU Channel switch off Slot 9</t>
  </si>
  <si>
    <t>0010.080002.012.090.0</t>
  </si>
  <si>
    <t>EMU Channel switch off Slot 8</t>
  </si>
  <si>
    <t>0010.080002.012.080.0</t>
  </si>
  <si>
    <t>EMU Channel switch off Slot 7</t>
  </si>
  <si>
    <t>0010.080002.012.070.0</t>
  </si>
  <si>
    <t>EMU Channel switch off Slot 6</t>
  </si>
  <si>
    <t>0010.080002.012.060.0</t>
  </si>
  <si>
    <t>EMU Channel switch off Slot 5</t>
  </si>
  <si>
    <t>0010.080002.012.050.0</t>
  </si>
  <si>
    <t>EMU Channel switch off Slot 4</t>
  </si>
  <si>
    <t>0010.080002.012.040.0</t>
  </si>
  <si>
    <t>EMU Channel switch off Slot 3</t>
  </si>
  <si>
    <t>0010.080002.012.030.0</t>
  </si>
  <si>
    <t>EMU Channel switch off Slot 2</t>
  </si>
  <si>
    <t>0010.080002.012.020.0</t>
  </si>
  <si>
    <t>Turn Engine Active</t>
  </si>
  <si>
    <t>0010.040601.010.000.0</t>
  </si>
  <si>
    <t>0010.060300.010.000.0</t>
  </si>
  <si>
    <t>FB Priming On (EIM)</t>
  </si>
  <si>
    <t>0010.040104.010.000.0</t>
  </si>
  <si>
    <t>Cmd Priming On (EIM)</t>
  </si>
  <si>
    <t>0010.040104.013.000.0</t>
  </si>
  <si>
    <t>Disengage Request</t>
  </si>
  <si>
    <t>0010.043103.013.000.0</t>
  </si>
  <si>
    <t xml:space="preserve">P-Start Air </t>
  </si>
  <si>
    <t>0010.007101.010.000.0</t>
  </si>
  <si>
    <t>0010.050002.205.010.0</t>
  </si>
  <si>
    <t>0010.050002.205.020.0</t>
  </si>
  <si>
    <t>0010.050003.105.010.0</t>
  </si>
  <si>
    <t>0010.040507.231.000.0</t>
  </si>
  <si>
    <t>0010.043602.205.000.0</t>
  </si>
  <si>
    <t>0010.050001.205.010.0</t>
  </si>
  <si>
    <t>0010.050201.205.000.0</t>
  </si>
  <si>
    <t>0010.043601.205.000.0</t>
  </si>
  <si>
    <t>Status Emerg.Stop Circuit Fail</t>
  </si>
  <si>
    <t>0010.043305.010.000.0</t>
  </si>
  <si>
    <t>0010.043305.205.000.0</t>
  </si>
  <si>
    <t>0010.043307.205.000.0</t>
  </si>
  <si>
    <t>0010.040105.205.000.0</t>
  </si>
  <si>
    <t>0010.040702.205.000.0</t>
  </si>
  <si>
    <t>Status Starter Fail</t>
  </si>
  <si>
    <t>0010.040414.010.000.0</t>
  </si>
  <si>
    <t>0010.040701.205.000.0</t>
  </si>
  <si>
    <t>0010.007101.105.000.0</t>
  </si>
  <si>
    <t>0010.007101.115.000.0</t>
  </si>
  <si>
    <t>EIM Status Priming Pump Fail</t>
  </si>
  <si>
    <t>0010.040105.010.000.0</t>
  </si>
  <si>
    <t>0010.040704.205.000.0</t>
  </si>
  <si>
    <t>0010.040705.205.000.0</t>
  </si>
  <si>
    <t>Status Start Procedure</t>
  </si>
  <si>
    <t>0010.040412.010.000.0</t>
  </si>
  <si>
    <t>Starter Supply Voltage</t>
  </si>
  <si>
    <t>0010.050003.010.010.0</t>
  </si>
  <si>
    <t>0010.040706.235.000.0</t>
  </si>
  <si>
    <t>MG Ether Injection activated</t>
  </si>
  <si>
    <t>0010.040708.235.000.0</t>
  </si>
  <si>
    <t xml:space="preserve">LM LO P-Start Air </t>
  </si>
  <si>
    <t>0010.007101.104.000.0</t>
  </si>
  <si>
    <t>LM LOLO P-Start Air/Start Term</t>
  </si>
  <si>
    <t>0010.007101.114.000.0</t>
  </si>
  <si>
    <t>0010.040505.231.000.0</t>
  </si>
  <si>
    <t>0010.040504.231.000.0</t>
  </si>
  <si>
    <t>0010.040503.231.000.0</t>
  </si>
  <si>
    <t>0010.040501.231.000.0</t>
  </si>
  <si>
    <t>0010.040502.231.000.0</t>
  </si>
  <si>
    <t>0010.040801.205.000.0</t>
  </si>
  <si>
    <t>0010.043102.205.000.0</t>
  </si>
  <si>
    <t>0010.043201.205.000.0</t>
  </si>
  <si>
    <t>EIM Configuration</t>
  </si>
  <si>
    <t>0010.080003.012.010.0</t>
  </si>
  <si>
    <t>0010.060301.205.000.0</t>
  </si>
  <si>
    <t>0010.040506.231.000.0</t>
  </si>
  <si>
    <t>Start Interlock</t>
  </si>
  <si>
    <t>0010.040413.010.000.0</t>
  </si>
  <si>
    <t>Ready for Start/Stop</t>
  </si>
  <si>
    <t>0010.040415.010.000.0</t>
  </si>
  <si>
    <t>MG ColdStart</t>
  </si>
  <si>
    <t>0010.040426.235.000.0</t>
  </si>
  <si>
    <t>Start active</t>
  </si>
  <si>
    <t>0010.040405.010.000.0</t>
  </si>
  <si>
    <t>Status Ready for Operation</t>
  </si>
  <si>
    <t>0010.040301.010.000.0</t>
  </si>
  <si>
    <t>0010.043101.205.000.0</t>
  </si>
  <si>
    <t>ETC 1 Running</t>
  </si>
  <si>
    <t>0010.056003.010.010.0</t>
  </si>
  <si>
    <t>Engine Stop Active</t>
  </si>
  <si>
    <t>0010.042105.010.000.0</t>
  </si>
  <si>
    <t>0010.025401.010.000.0</t>
  </si>
  <si>
    <t>0010.025401.105.000.0</t>
  </si>
  <si>
    <t>0010.025401.104.000.0</t>
  </si>
  <si>
    <t>0010.075702.010.000.0</t>
  </si>
  <si>
    <t>ETC 2 Running</t>
  </si>
  <si>
    <t>0010.056003.010.020.0</t>
  </si>
  <si>
    <t>Fuel Consumpt. Max. l/h DIS</t>
  </si>
  <si>
    <t>0010.020407.010.000.0</t>
  </si>
  <si>
    <t>Fuel Consumpt. Act. % DIS</t>
  </si>
  <si>
    <t>0010.020408.010.000.0</t>
  </si>
  <si>
    <t>Fuel Cons. Mean Trip % DIS</t>
  </si>
  <si>
    <t>0010.020409.010.000.0</t>
  </si>
  <si>
    <t>ETC 3 Running</t>
  </si>
  <si>
    <t>0010.056003.010.030.0</t>
  </si>
  <si>
    <t>ETC 4 Running</t>
  </si>
  <si>
    <t>0010.056003.010.040.0</t>
  </si>
  <si>
    <t>ETC 5 Running</t>
  </si>
  <si>
    <t>0010.056003.010.050.0</t>
  </si>
  <si>
    <t>MMS Configuration 1</t>
  </si>
  <si>
    <t>0010.080001.010.010.0</t>
  </si>
  <si>
    <t>MMS Configuration 2</t>
  </si>
  <si>
    <t>0010.080001.010.020.0</t>
  </si>
  <si>
    <t>MMS Configuration 3</t>
  </si>
  <si>
    <t>0010.080001.010.030.0</t>
  </si>
  <si>
    <t>MMS Configuration 4</t>
  </si>
  <si>
    <t>0010.080001.010.040.0</t>
  </si>
  <si>
    <t>ECU Security Shutdown</t>
  </si>
  <si>
    <t>0010.043102.010.000.0</t>
  </si>
  <si>
    <t>0070.075210.010.010.0</t>
  </si>
  <si>
    <t>InfoTextEMU</t>
  </si>
  <si>
    <t>0.2</t>
  </si>
  <si>
    <t>Info Text ECU,EIM,EMU hinzu muss bei BVNG hinzu</t>
  </si>
  <si>
    <t>Keller</t>
  </si>
  <si>
    <t>EMU-Error code 6242 aus BVNG entfernt, da dieser durch das MCS gebildet wird</t>
  </si>
  <si>
    <t>0.3</t>
  </si>
  <si>
    <t>0.4</t>
  </si>
  <si>
    <t>GENO: Capsizeswitch Cmd+FB entfernt, ALPP 536 ST_WB_P_Fuel_CR_Pump 0010.020109.255.010.0
581 ST_WB_P_Fuel_CR_CtrlValve 0010.020110.255.010.0
608 ST_WB_RawWaterCtrlValve 0010.016001.255.010.0
609 ST_WB_BlowOverCtrlValve 0010.008001.255.010.0
626 ST_WB_ChargeAirCtrlValve 0010.008002.255.010.0
627 ST_WB_FlapETCA 0010.056004.255.010.0
628 ST_WB_FlapETCB 0010.056004.255.020.0
851 ST_AL_StartWithPFuelCRTooHigh 0010.020111.205.010.0
852 ST_AL_MaxBlankShotTimeExpired 0010.002015.205.010.0
1170 ST_AL_Perm_InjectionDetection 0010.002014.205.010.0
1370 ST_AL_P_FuelCRConstantValue 0010.020112.205.010.0 entfernt</t>
  </si>
  <si>
    <t>BVNG (Var_01)</t>
  </si>
  <si>
    <t>MMS Schnittstelle anhand PU Export E.Bartsch angepasst</t>
  </si>
  <si>
    <t>0.5</t>
  </si>
  <si>
    <t>0110.078001.205.000.0</t>
  </si>
  <si>
    <t>0110.078000.205.000.0</t>
  </si>
  <si>
    <t>0.6</t>
  </si>
  <si>
    <t>4x Geno Alarme Richtung MMS von AL_ auf ST_ mapping geändert</t>
  </si>
  <si>
    <t>0.7</t>
  </si>
  <si>
    <t>EngineSpeed filtered entfernt</t>
  </si>
  <si>
    <t>0.8</t>
  </si>
  <si>
    <t>TCR9 Ergänzungen Uboot ALP (Errorcodes 102, 104, 141, 142, 471, 532, 533, 641, 1375, 460, 461, 850, 6000, 6002, 6028, 6037, 6248, 6249)</t>
  </si>
  <si>
    <t>0.9</t>
  </si>
  <si>
    <t>"Start Release Gear Neutral/Out" hinzu</t>
  </si>
  <si>
    <t>xxx</t>
  </si>
  <si>
    <t>PSG Uboot ALP Alarme hinzu</t>
  </si>
  <si>
    <t>MCS PDO / PV</t>
  </si>
  <si>
    <r>
      <t>Autor:</t>
    </r>
    <r>
      <rPr>
        <sz val="9"/>
        <rFont val="Arial"/>
        <family val="2"/>
      </rPr>
      <t xml:space="preserve">  </t>
    </r>
  </si>
  <si>
    <t>Freigeber:</t>
  </si>
  <si>
    <t>Komponente</t>
  </si>
  <si>
    <t>MMS - AIS / MCS Schnittstelle</t>
  </si>
  <si>
    <t>Struktur verändert. Geräte in einzelne Reiter.</t>
  </si>
  <si>
    <t>Doku Version</t>
  </si>
  <si>
    <t>0.91</t>
  </si>
  <si>
    <t>PSG: Heartbeat gelb Alarm gemappt</t>
  </si>
  <si>
    <t>0012.044100.013.000.0</t>
  </si>
  <si>
    <t>GreenOcean</t>
  </si>
  <si>
    <t>0012.006200.010.000.0</t>
  </si>
  <si>
    <t>0012.006200.154.000.0</t>
  </si>
  <si>
    <t>0012.006200.164.000.0</t>
  </si>
  <si>
    <t>0012.006201.010.000.0</t>
  </si>
  <si>
    <t>0012.006500.164.000.0</t>
  </si>
  <si>
    <t>0012.024200.010.000.0</t>
  </si>
  <si>
    <t>0012.024100.010.000.0</t>
  </si>
  <si>
    <t>0012.024100.104.000.0</t>
  </si>
  <si>
    <t>EGAT Configuration 1</t>
  </si>
  <si>
    <t>EGAT Configuration 2</t>
  </si>
  <si>
    <t>EGAT Configuration 3</t>
  </si>
  <si>
    <t>0010.080004.010.010.0</t>
  </si>
  <si>
    <t>0010.080004.010.020.0</t>
  </si>
  <si>
    <t>0010.080004.010.030.0</t>
  </si>
  <si>
    <t>bei BVNG und Geno nicht beschrieben</t>
  </si>
  <si>
    <t>0012.006200.010.010.0</t>
  </si>
  <si>
    <t>0012.006500.154.000.0</t>
  </si>
  <si>
    <t>0012.006500.010.000.0</t>
  </si>
  <si>
    <t>0012.024100.154.000.0</t>
  </si>
  <si>
    <t>0012.024400.010.000.0</t>
  </si>
  <si>
    <t>0012.024200.104.000.0</t>
  </si>
  <si>
    <t>0050.024300.010.020.0</t>
  </si>
  <si>
    <t>GreenOcean für Geno</t>
  </si>
  <si>
    <t>Erweiterung der Darstellung</t>
  </si>
  <si>
    <t>Direction</t>
  </si>
  <si>
    <t>Source</t>
  </si>
  <si>
    <t>SHIELD</t>
  </si>
  <si>
    <t>X4.a.1</t>
  </si>
  <si>
    <t>Comment</t>
  </si>
  <si>
    <t>Start</t>
  </si>
  <si>
    <t>X4.a.2</t>
  </si>
  <si>
    <t>MMS</t>
  </si>
  <si>
    <t>X4.a.3</t>
  </si>
  <si>
    <t>X4.a.4</t>
  </si>
  <si>
    <t>X4.a.5</t>
  </si>
  <si>
    <t>X4.a.6</t>
  </si>
  <si>
    <t>X4.a.7</t>
  </si>
  <si>
    <t>X4.a.8</t>
  </si>
  <si>
    <t>X4.b.1</t>
  </si>
  <si>
    <t>X4.b.2</t>
  </si>
  <si>
    <t>X4.b.3</t>
  </si>
  <si>
    <t>X4.b.4</t>
  </si>
  <si>
    <t>X4.b.5</t>
  </si>
  <si>
    <t>X4.b.6</t>
  </si>
  <si>
    <t>X4.b.7</t>
  </si>
  <si>
    <t>X4.b.8</t>
  </si>
  <si>
    <t>X4.c.1</t>
  </si>
  <si>
    <t>X4.c.2</t>
  </si>
  <si>
    <t>X4.c.3</t>
  </si>
  <si>
    <t>X4.c.4</t>
  </si>
  <si>
    <t>X4.c.5</t>
  </si>
  <si>
    <t>X4.c.6</t>
  </si>
  <si>
    <t>X4.c.7</t>
  </si>
  <si>
    <t>X4.c.8</t>
  </si>
  <si>
    <t>X4.d.1</t>
  </si>
  <si>
    <t>X4.d.2</t>
  </si>
  <si>
    <t>X4.d.3</t>
  </si>
  <si>
    <t>X4.d.4</t>
  </si>
  <si>
    <t>X4.d.5</t>
  </si>
  <si>
    <t>X4.d.6</t>
  </si>
  <si>
    <t>X4.d.7</t>
  </si>
  <si>
    <t>X4.d.8</t>
  </si>
  <si>
    <t>RPM_I_OUT</t>
  </si>
  <si>
    <t>RPM_I_RET</t>
  </si>
  <si>
    <t>Speed Demand 4-20mA (EIM)</t>
  </si>
  <si>
    <t>not used</t>
  </si>
  <si>
    <t>CAN2_MR_L</t>
  </si>
  <si>
    <t>CAN2_MR_H</t>
  </si>
  <si>
    <t>EM_STOP_H</t>
  </si>
  <si>
    <t>Emergency Stop binary</t>
  </si>
  <si>
    <t>KS_24V_MASTER</t>
  </si>
  <si>
    <t>SPU</t>
  </si>
  <si>
    <t>EIM</t>
  </si>
  <si>
    <t>Keyswitch 24V</t>
  </si>
  <si>
    <t>KS_OFF_MASTER</t>
  </si>
  <si>
    <t>KS_ON_MASTER</t>
  </si>
  <si>
    <t>Keyswitch ON</t>
  </si>
  <si>
    <t>Keyswitch OFF</t>
  </si>
  <si>
    <t>GND_CAN1_2_MR</t>
  </si>
  <si>
    <t>RPM_GND</t>
  </si>
  <si>
    <t>RPM_UP</t>
  </si>
  <si>
    <t>Speed GND</t>
  </si>
  <si>
    <t>Speed increase (EIM)</t>
  </si>
  <si>
    <t>Speed decrease (EIM)</t>
  </si>
  <si>
    <t>RPM_DOWN</t>
  </si>
  <si>
    <t>CAN GND CAN2</t>
  </si>
  <si>
    <t>CAN GND CAN1</t>
  </si>
  <si>
    <t>COMMAND</t>
  </si>
  <si>
    <t>Speed Demand changeover (EIM)</t>
  </si>
  <si>
    <t>24V_EIM</t>
  </si>
  <si>
    <t>24V voltage supply from EIM</t>
  </si>
  <si>
    <t>GND_EIM</t>
  </si>
  <si>
    <t>GND voltage supply from EIM</t>
  </si>
  <si>
    <t>CAN1_MR_L</t>
  </si>
  <si>
    <t>CAN1_MR_H</t>
  </si>
  <si>
    <t>EM_STOP_L</t>
  </si>
  <si>
    <t>X4.21</t>
  </si>
  <si>
    <t>X4.22</t>
  </si>
  <si>
    <t>X4.23</t>
  </si>
  <si>
    <t>X4.24</t>
  </si>
  <si>
    <t>X4.3</t>
  </si>
  <si>
    <t>X4.5</t>
  </si>
  <si>
    <t>X4.11</t>
  </si>
  <si>
    <t>X4.9</t>
  </si>
  <si>
    <t>X4.7</t>
  </si>
  <si>
    <t>X4.18</t>
  </si>
  <si>
    <t>X4.16</t>
  </si>
  <si>
    <t>X4.12</t>
  </si>
  <si>
    <t>X4.14</t>
  </si>
  <si>
    <t>X4.17</t>
  </si>
  <si>
    <t>X4.15</t>
  </si>
  <si>
    <t>X4.13</t>
  </si>
  <si>
    <t>X4.10/X4.6</t>
  </si>
  <si>
    <t>X4.47X4.8</t>
  </si>
  <si>
    <t>X4.19</t>
  </si>
  <si>
    <t>X4.20</t>
  </si>
  <si>
    <t>EM</t>
  </si>
  <si>
    <t>SPU - X7 "EP_START"</t>
  </si>
  <si>
    <t>SPU - X32</t>
  </si>
  <si>
    <t>SPU - X39/X5/X6/X34</t>
  </si>
  <si>
    <t>SPU - X5</t>
  </si>
  <si>
    <t>T-Bearing Mean Failure</t>
  </si>
  <si>
    <t>T-Exhaust Mean Failure</t>
  </si>
  <si>
    <t>P-Oil Refill Pump</t>
  </si>
  <si>
    <t>LM LO P-Oil Refill Pump</t>
  </si>
  <si>
    <t>T-EIM</t>
  </si>
  <si>
    <t>MMS Nodes</t>
  </si>
  <si>
    <t>Info Text EIM</t>
  </si>
  <si>
    <t>Cmd Request Local Mode</t>
  </si>
  <si>
    <t>T-Exhaust SCR Inlet 1</t>
  </si>
  <si>
    <t>T-Exhaust SCR Inlet 2</t>
  </si>
  <si>
    <t>T-Exhaust SCR Outlet 1</t>
  </si>
  <si>
    <t>LM HI T-Exhaust SCR</t>
  </si>
  <si>
    <t>LM HIHI T-Exhaust SCR</t>
  </si>
  <si>
    <t>LM HI P-Exhaust Diff SCR</t>
  </si>
  <si>
    <t>LM HIHI P-Exhaust Diff SCR</t>
  </si>
  <si>
    <t>P-Exhaust Diff SCR 1</t>
  </si>
  <si>
    <t>Cmd Capsize Switch Activated</t>
  </si>
  <si>
    <t>Droop 2 Can</t>
  </si>
  <si>
    <t>Cmd Reduced Speed</t>
  </si>
  <si>
    <t>P-Intake Air After Filter</t>
  </si>
  <si>
    <t>FB Capsize Function Active</t>
  </si>
  <si>
    <t>LM LO P-Intake Air After Filter</t>
  </si>
  <si>
    <t>LM HIHI P-Charge Air</t>
  </si>
  <si>
    <t>P-Fuel (CR) Bank A SaSy</t>
  </si>
  <si>
    <t>P-Fuel (CR) Bank B SaSy</t>
  </si>
  <si>
    <t>P-Crank case SaSy</t>
  </si>
  <si>
    <t>LM HI P-Crankcase SaSy</t>
  </si>
  <si>
    <t>LM HIHI P-Crankcase SaSy</t>
  </si>
  <si>
    <t>EMU Failur Code</t>
  </si>
  <si>
    <t>LM LO P-Fuel (CR) SaSy</t>
  </si>
  <si>
    <t>LOP13/14 Pin</t>
  </si>
  <si>
    <t>LOP15/16 Pin</t>
  </si>
  <si>
    <t>ZKP</t>
  </si>
  <si>
    <t>2.7001.008</t>
  </si>
  <si>
    <t>1.1020.603</t>
  </si>
  <si>
    <t>1.2500.026</t>
  </si>
  <si>
    <t>2.1060.040</t>
  </si>
  <si>
    <t>2.7000.004</t>
  </si>
  <si>
    <t>2.1000.040</t>
  </si>
  <si>
    <t>1.3000.017</t>
  </si>
  <si>
    <t>2.1060.011</t>
  </si>
  <si>
    <t>2.7000.007</t>
  </si>
  <si>
    <t>2.2510.010</t>
  </si>
  <si>
    <t>2.1060.051</t>
  </si>
  <si>
    <t>2.1060.003</t>
  </si>
  <si>
    <t>2.2010.103</t>
  </si>
  <si>
    <t>2.2010.104</t>
  </si>
  <si>
    <t>2.2500.036</t>
  </si>
  <si>
    <t>2.1060.071</t>
  </si>
  <si>
    <t>1.0100.001</t>
  </si>
  <si>
    <t>1.0106.001</t>
  </si>
  <si>
    <t>1.0101.001</t>
  </si>
  <si>
    <t>1.0102.001</t>
  </si>
  <si>
    <t>1.0103.001</t>
  </si>
  <si>
    <t>1.0149.001</t>
  </si>
  <si>
    <t>2.2010.102</t>
  </si>
  <si>
    <t>1.3010.001</t>
  </si>
  <si>
    <t>1.3010.002</t>
  </si>
  <si>
    <t>2.2010.109</t>
  </si>
  <si>
    <t>2.2010.113</t>
  </si>
  <si>
    <t>1.8009.001</t>
  </si>
  <si>
    <t>2.7002.003</t>
  </si>
  <si>
    <t>2.2010.105</t>
  </si>
  <si>
    <t>1.3010.003</t>
  </si>
  <si>
    <t>1.1020.200</t>
  </si>
  <si>
    <t>1.1020.201</t>
  </si>
  <si>
    <t>2.2010.107</t>
  </si>
  <si>
    <t>2.8009.015</t>
  </si>
  <si>
    <t>1.8000.0**</t>
  </si>
  <si>
    <t>2.7000.008</t>
  </si>
  <si>
    <t>2.0140.001</t>
  </si>
  <si>
    <t>2.1063.100</t>
  </si>
  <si>
    <t>1.8009.002</t>
  </si>
  <si>
    <t>2.8009.012</t>
  </si>
  <si>
    <t>1.2500.039</t>
  </si>
  <si>
    <t>2.1060.950</t>
  </si>
  <si>
    <t>1.8009.011</t>
  </si>
  <si>
    <t>1.8009.017</t>
  </si>
  <si>
    <t>1.8009.016</t>
  </si>
  <si>
    <t>1.0120.001</t>
  </si>
  <si>
    <t>1.0121.001</t>
  </si>
  <si>
    <t>1.0146.001</t>
  </si>
  <si>
    <t>1.0126.001</t>
  </si>
  <si>
    <t>1.0127.001</t>
  </si>
  <si>
    <t>1.0122.001</t>
  </si>
  <si>
    <t>1.0109.001</t>
  </si>
  <si>
    <t>1.0154.001</t>
  </si>
  <si>
    <t>1.0137.001</t>
  </si>
  <si>
    <t>1.2510.001</t>
  </si>
  <si>
    <t>1.0132.001</t>
  </si>
  <si>
    <t>1.2500.034</t>
  </si>
  <si>
    <t>2.1060.070</t>
  </si>
  <si>
    <t>2.0280.001</t>
  </si>
  <si>
    <t>1.8009.020</t>
  </si>
  <si>
    <t>2.1060.200</t>
  </si>
  <si>
    <t>2.2010.002</t>
  </si>
  <si>
    <t>1.1020.202</t>
  </si>
  <si>
    <t>1.3010.012</t>
  </si>
  <si>
    <t>1.0113.001</t>
  </si>
  <si>
    <t>1.1005.021</t>
  </si>
  <si>
    <t>1.0114.001</t>
  </si>
  <si>
    <t>1.8009.027</t>
  </si>
  <si>
    <t>2.7000.010</t>
  </si>
  <si>
    <t>1.0128.001</t>
  </si>
  <si>
    <t>1.0128.018</t>
  </si>
  <si>
    <t>1.0152.001</t>
  </si>
  <si>
    <t>1.0151.001</t>
  </si>
  <si>
    <t>1.3010.006</t>
  </si>
  <si>
    <t>1.3010.007</t>
  </si>
  <si>
    <t>2.8009.013</t>
  </si>
  <si>
    <t>2.8009.011</t>
  </si>
  <si>
    <t>1.0133.001</t>
  </si>
  <si>
    <t>1.0133.017</t>
  </si>
  <si>
    <t>1.0133.018</t>
  </si>
  <si>
    <t>1.0134.001</t>
  </si>
  <si>
    <t>1.0134.017</t>
  </si>
  <si>
    <t>1.0134.018</t>
  </si>
  <si>
    <t>1.0150.122</t>
  </si>
  <si>
    <t>1.0158.204</t>
  </si>
  <si>
    <t>1.0158.001</t>
  </si>
  <si>
    <t>1.0158.201</t>
  </si>
  <si>
    <t>2.1000.049</t>
  </si>
  <si>
    <t>1.1075.056</t>
  </si>
  <si>
    <t>1.1075.065</t>
  </si>
  <si>
    <t>2.9902.100</t>
  </si>
  <si>
    <t>2.2010.116</t>
  </si>
  <si>
    <t>1.1020.203</t>
  </si>
  <si>
    <t>1.1088.003</t>
  </si>
  <si>
    <t>1.1088.004</t>
  </si>
  <si>
    <t>1.1200.504</t>
  </si>
  <si>
    <t>1.1005.012</t>
  </si>
  <si>
    <t>2.2010.115</t>
  </si>
  <si>
    <t>2.1075.012</t>
  </si>
  <si>
    <t>1.1005.029</t>
  </si>
  <si>
    <t>1.0119.001</t>
  </si>
  <si>
    <t>1.0223.001</t>
  </si>
  <si>
    <t>1.0222.001</t>
  </si>
  <si>
    <t>1.0187.001</t>
  </si>
  <si>
    <t>1.0219.001</t>
  </si>
  <si>
    <t>1.0215.001</t>
  </si>
  <si>
    <t>1.0216.001</t>
  </si>
  <si>
    <t>1.0214.001</t>
  </si>
  <si>
    <t>1.0080.001</t>
  </si>
  <si>
    <t>1.0224.001</t>
  </si>
  <si>
    <t>1.3010.013</t>
  </si>
  <si>
    <t>1.0213.001</t>
  </si>
  <si>
    <t>2.2010.125</t>
  </si>
  <si>
    <t>2.7003.021</t>
  </si>
  <si>
    <t>2.7003.017</t>
  </si>
  <si>
    <t>1.0186.001</t>
  </si>
  <si>
    <t>2.1611.001</t>
  </si>
  <si>
    <t>1.0204.001</t>
  </si>
  <si>
    <t>1.0204.101</t>
  </si>
  <si>
    <t>1.0204.301</t>
  </si>
  <si>
    <t>1.0238.015</t>
  </si>
  <si>
    <t>1.0238.016</t>
  </si>
  <si>
    <t>1.0238.101</t>
  </si>
  <si>
    <t>1.1752.104</t>
  </si>
  <si>
    <t>1.1752.114</t>
  </si>
  <si>
    <t>1.1702.381</t>
  </si>
  <si>
    <t>1.1752.001</t>
  </si>
  <si>
    <t>1.1752.003</t>
  </si>
  <si>
    <t>1.1752.115</t>
  </si>
  <si>
    <t>1.0125.001 ECU7
1.0125.050 ECU9</t>
  </si>
  <si>
    <t>1.0123.001 ECU7
1.0123.053 ECU9</t>
  </si>
  <si>
    <t>PTC Trace ID BVNG</t>
  </si>
  <si>
    <t>PTC Trace ID GLNG</t>
  </si>
  <si>
    <t>PTC Trace ID hinzugefügt (P900 GreenOcean)</t>
  </si>
  <si>
    <t>419635, 419641, 419645</t>
  </si>
  <si>
    <t>419639, 419643, 419647</t>
  </si>
  <si>
    <t>Interface Version</t>
  </si>
  <si>
    <t>Type 1 Var01+02 Ed_01_08_001</t>
  </si>
  <si>
    <t>0.92</t>
  </si>
  <si>
    <t>1.00</t>
  </si>
  <si>
    <t>ZKP's hinzu. Freigabe</t>
  </si>
  <si>
    <t>1.01</t>
  </si>
  <si>
    <t>1.02</t>
  </si>
  <si>
    <t>1.03</t>
  </si>
  <si>
    <t>1.04</t>
  </si>
  <si>
    <t>2.00</t>
  </si>
  <si>
    <t>History Format geändert. Freigabe V2.0. Build1, da keine funktionale Änderung</t>
  </si>
  <si>
    <t>Device_Design_MMS_Interface</t>
  </si>
  <si>
    <t>/GenoNG</t>
  </si>
  <si>
    <t>/P900_BVNG</t>
  </si>
  <si>
    <t>451195, 451197, 451199</t>
  </si>
  <si>
    <t>451196, 451198, 451200</t>
  </si>
  <si>
    <t>Cmd IMO 3 Mode</t>
  </si>
  <si>
    <t xml:space="preserve">Capszize Switch Activated + Feedback in BVNG hinzu BT#6512 </t>
  </si>
  <si>
    <t>2.01</t>
  </si>
  <si>
    <t>2.02</t>
  </si>
  <si>
    <t>Einführung GasMobil BT#10802</t>
  </si>
  <si>
    <t>P-Gas A</t>
  </si>
  <si>
    <t>LM LO P-Gas A</t>
  </si>
  <si>
    <t>LM LOLO P-Gas A</t>
  </si>
  <si>
    <t>T-Gas</t>
  </si>
  <si>
    <t>LM LO T-Gas</t>
  </si>
  <si>
    <t>LM LOLO T-Gas</t>
  </si>
  <si>
    <t>Actual Gas Consumption</t>
  </si>
  <si>
    <t>Trip Gas Consumption</t>
  </si>
  <si>
    <t>Total Gas Consumption</t>
  </si>
  <si>
    <t>GRU State</t>
  </si>
  <si>
    <t>P-Gas Inlet</t>
  </si>
  <si>
    <t>P-Gas Outlet</t>
  </si>
  <si>
    <t>T-Gas GRU</t>
  </si>
  <si>
    <t>P-Gas Set Point</t>
  </si>
  <si>
    <t>MIC Ready</t>
  </si>
  <si>
    <t>MIC Firing Active</t>
  </si>
  <si>
    <t>Throttle Flap A Actual Value</t>
  </si>
  <si>
    <t>Throttle Flap B Actual Value</t>
  </si>
  <si>
    <t>P-Gas B</t>
  </si>
  <si>
    <t>Mean Trip Gas Consumption</t>
  </si>
  <si>
    <t>LM HI P-Gas A</t>
  </si>
  <si>
    <t>LM HIHI P-Gas A</t>
  </si>
  <si>
    <t>LM LO P-Gas B</t>
  </si>
  <si>
    <t>LM LOLO P-Gas B</t>
  </si>
  <si>
    <t>LM HI P-Gas B</t>
  </si>
  <si>
    <t>LM HIHI P-Gas B</t>
  </si>
  <si>
    <t>Max. Scale Gas Consumption</t>
  </si>
  <si>
    <t>Actual Gas Cons. Bargraph</t>
  </si>
  <si>
    <t>Mean Trip Gas Cons. Bargraph</t>
  </si>
  <si>
    <t>LM HI T-Gas</t>
  </si>
  <si>
    <t>LM HIHI T-Gas</t>
  </si>
  <si>
    <t>0010.012202.010.000.0</t>
  </si>
  <si>
    <t>0010.012202.104.000.0</t>
  </si>
  <si>
    <t>0010.012202.114.000.0</t>
  </si>
  <si>
    <t>0010.012101.010.000.0</t>
  </si>
  <si>
    <t>0010.012101.104.000.0</t>
  </si>
  <si>
    <t>0010.012101.114.000.0</t>
  </si>
  <si>
    <t>0010.012301.010.000.0</t>
  </si>
  <si>
    <t>0010.012302.010.000.0</t>
  </si>
  <si>
    <t>0010.012304.010.000.0</t>
  </si>
  <si>
    <t>0010.012001.010.000.0</t>
  </si>
  <si>
    <t>0010.012201.010.000.0</t>
  </si>
  <si>
    <t>0010.012201.010.010.0</t>
  </si>
  <si>
    <t>0010.012102.010.000.0</t>
  </si>
  <si>
    <t>0010.012203.010.000.0</t>
  </si>
  <si>
    <t>0010.087000.010.000.0</t>
  </si>
  <si>
    <t>0010.087001.010.000.0</t>
  </si>
  <si>
    <t>0010.087101.010.000.0</t>
  </si>
  <si>
    <t>0010.087101.010.010.0</t>
  </si>
  <si>
    <t>0010.012202.010.010.0</t>
  </si>
  <si>
    <t>0010.012302.010.010.0</t>
  </si>
  <si>
    <t>0010.012202.154.000.0</t>
  </si>
  <si>
    <t>0010.012202.164.000.0</t>
  </si>
  <si>
    <t>0010.012202.104.010.0</t>
  </si>
  <si>
    <t>0010.012202.114.010.0</t>
  </si>
  <si>
    <t>0010.012202.154.010.0</t>
  </si>
  <si>
    <t>0010.012202.164.010.0</t>
  </si>
  <si>
    <t>0010.012303.010.000.0</t>
  </si>
  <si>
    <t>0010.012301.010.010.0</t>
  </si>
  <si>
    <t>0010.012302.010.020.0</t>
  </si>
  <si>
    <t>0010.012101.154.000.0</t>
  </si>
  <si>
    <t>0010.012101.164.000.0</t>
  </si>
  <si>
    <t>kg/h</t>
  </si>
  <si>
    <t>t</t>
  </si>
  <si>
    <t>T-Coolant Intercooler</t>
  </si>
  <si>
    <t>LM HI T-Coolant Intercooler</t>
  </si>
  <si>
    <t>0010.015202.010.000.0</t>
  </si>
  <si>
    <t>0010.015202.154.000.0</t>
  </si>
  <si>
    <t>LM HIHI T-Coolant Intercooler</t>
  </si>
  <si>
    <t>0010.015202.164.000.0</t>
  </si>
  <si>
    <t>0010.087204.010.000.0</t>
  </si>
  <si>
    <t>0010.087205.010.000.0</t>
  </si>
  <si>
    <t>0010.087200.010.000.0</t>
  </si>
  <si>
    <t>0010.087201.010.000.0</t>
  </si>
  <si>
    <t>0010.087201.010.010.0</t>
  </si>
  <si>
    <t>0010.087201.010.020.0</t>
  </si>
  <si>
    <t>0010.087201.010.030.0</t>
  </si>
  <si>
    <t>0010.087201.010.040.0</t>
  </si>
  <si>
    <t>0010.087201.010.050.0</t>
  </si>
  <si>
    <t>0010.087201.010.060.0</t>
  </si>
  <si>
    <t>0010.087201.010.070.0</t>
  </si>
  <si>
    <t>0010.087201.010.080.0</t>
  </si>
  <si>
    <t>0010.087201.010.090.0</t>
  </si>
  <si>
    <t>0010.087202.010.000.0</t>
  </si>
  <si>
    <t>0010.087202.010.010.0</t>
  </si>
  <si>
    <t>0010.087202.010.020.0</t>
  </si>
  <si>
    <t>0010.087202.010.030.0</t>
  </si>
  <si>
    <t>0010.087202.010.040.0</t>
  </si>
  <si>
    <t>0010.087202.010.050.0</t>
  </si>
  <si>
    <t>0010.087202.010.060.0</t>
  </si>
  <si>
    <t>0010.087202.010.070.0</t>
  </si>
  <si>
    <t>0010.087202.010.080.0</t>
  </si>
  <si>
    <t>0010.087202.010.090.0</t>
  </si>
  <si>
    <t>0010.087203.010.000.0</t>
  </si>
  <si>
    <t>T-CPM</t>
  </si>
  <si>
    <t>CPM Power Supply Voltage</t>
  </si>
  <si>
    <t>CPM Sensor Configuration 1</t>
  </si>
  <si>
    <t>Cylinder Performance Cyl. A1</t>
  </si>
  <si>
    <t>Cylinder Performance Cyl. A2</t>
  </si>
  <si>
    <t>Cylinder Performance Cyl. A3</t>
  </si>
  <si>
    <t>Cylinder Performance Cyl. A4</t>
  </si>
  <si>
    <t>Cylinder Performance Cyl. A5</t>
  </si>
  <si>
    <t>Cylinder Performance Cyl. A6</t>
  </si>
  <si>
    <t>Cylinder Performance Cyl. A7</t>
  </si>
  <si>
    <t>Cylinder Performance Cyl. A8</t>
  </si>
  <si>
    <t>Cylinder Performance Cyl. A9</t>
  </si>
  <si>
    <t>Cylinder Performance Cyl. A10</t>
  </si>
  <si>
    <t>Cylinder Performance Cyl. B1</t>
  </si>
  <si>
    <t>Cylinder Performance Cyl. B2</t>
  </si>
  <si>
    <t>Cylinder Performance Cyl. B3</t>
  </si>
  <si>
    <t>Cylinder Performance Cyl. B4</t>
  </si>
  <si>
    <t>Cylinder Performance Cyl. B5</t>
  </si>
  <si>
    <t>Cylinder Performance Cyl. B6</t>
  </si>
  <si>
    <t>Cylinder Performance Cyl. B7</t>
  </si>
  <si>
    <t>Cylinder Performance Cyl. B8</t>
  </si>
  <si>
    <t>Cylinder Performance Cyl. B9</t>
  </si>
  <si>
    <t>Cylinder Performance Cyl. B10</t>
  </si>
  <si>
    <t>Cylinder Performance Mean</t>
  </si>
  <si>
    <t>GasMobil</t>
  </si>
  <si>
    <t>T-EMU</t>
  </si>
  <si>
    <t>Power Supply EMU</t>
  </si>
  <si>
    <t>SYS_ID Name</t>
  </si>
  <si>
    <t>2.03</t>
  </si>
  <si>
    <t>Aufteilung in SysID Name und Alarm Name</t>
  </si>
  <si>
    <t>P_Gas_RailBankA</t>
  </si>
  <si>
    <t>LM_LO_P_Gas_RailBankA</t>
  </si>
  <si>
    <t>LM_LOLO_P_Gas_RailBankA</t>
  </si>
  <si>
    <t>T_Gas</t>
  </si>
  <si>
    <t>LM_LO_T_Gas</t>
  </si>
  <si>
    <t>LM_LOLO_T_Gas</t>
  </si>
  <si>
    <t>ActualGasConsumption</t>
  </si>
  <si>
    <t>TripGasConsumption</t>
  </si>
  <si>
    <t>TotalGasConsumption</t>
  </si>
  <si>
    <t>GRU_State</t>
  </si>
  <si>
    <t>P_Gas_Inlet</t>
  </si>
  <si>
    <t>P_Gas_Outlet</t>
  </si>
  <si>
    <t>T_Gas_GRU</t>
  </si>
  <si>
    <t>P_Gas_SetPoint</t>
  </si>
  <si>
    <t>GasIgnitionControlReady</t>
  </si>
  <si>
    <t>GasIgnitionControlActive</t>
  </si>
  <si>
    <t>ActualValueThrottleFlapA</t>
  </si>
  <si>
    <t>ActualValueThrottleFlapB</t>
  </si>
  <si>
    <t>P_Gas_RailBankB</t>
  </si>
  <si>
    <t>MeanTripGasConsumption</t>
  </si>
  <si>
    <t>LM_HI_P_Gas_RailBankA</t>
  </si>
  <si>
    <t>LM_HIHI_P_Gas_RailBankA</t>
  </si>
  <si>
    <t>LM_LO_P_Gas_RailBankB</t>
  </si>
  <si>
    <t>LM_LOLO_P_Gas_RailBankB</t>
  </si>
  <si>
    <t>LM_HI_P_Gas_RailBankB</t>
  </si>
  <si>
    <t>LM_HIHI_P_Gas_RailBankB</t>
  </si>
  <si>
    <t>MaxScaleGasConsumption</t>
  </si>
  <si>
    <t>ActualGasConsumptionBargraph</t>
  </si>
  <si>
    <t>MeanTripGasConsumptionBargraph</t>
  </si>
  <si>
    <t>LM_HI_T_Gas</t>
  </si>
  <si>
    <t>LM_HIHI_T_Gas</t>
  </si>
  <si>
    <t>ExternalStopActiveECU</t>
  </si>
  <si>
    <t>EngineSpeed</t>
  </si>
  <si>
    <t>InjectionQuantity</t>
  </si>
  <si>
    <t>IdleSpeed</t>
  </si>
  <si>
    <t>NominalSpeed</t>
  </si>
  <si>
    <t>EngineLoadReserve</t>
  </si>
  <si>
    <t>InjectionLimitation</t>
  </si>
  <si>
    <t>CylinderCutoutMask</t>
  </si>
  <si>
    <t>SpeedDemandSource</t>
  </si>
  <si>
    <t>SpeedDemandFailMode</t>
  </si>
  <si>
    <t>TestOverspeedActive</t>
  </si>
  <si>
    <t>FeedbackSpeedDemand</t>
  </si>
  <si>
    <t>FeedbackSpeedDemandeff</t>
  </si>
  <si>
    <t>FeedbackIncreaseSpeed</t>
  </si>
  <si>
    <t>FeedbackDecreaseSpeed</t>
  </si>
  <si>
    <t>EngineSpeedfiltered</t>
  </si>
  <si>
    <t>FB_LocalModeECU</t>
  </si>
  <si>
    <t>LM_HI_InjectionQuantity</t>
  </si>
  <si>
    <t>P_LubeOil</t>
  </si>
  <si>
    <t>LM_LO_P_LubeOil</t>
  </si>
  <si>
    <t>LM_LOLO_P_LubeOil</t>
  </si>
  <si>
    <t>P_Crankcase</t>
  </si>
  <si>
    <t>LM_HI_P_Crankcase</t>
  </si>
  <si>
    <t>LM_HIHI_P_Crankcase</t>
  </si>
  <si>
    <t>P_Coolant</t>
  </si>
  <si>
    <t>LM_LO_P_Coolant</t>
  </si>
  <si>
    <t>LM_LOLO_P_Coolant</t>
  </si>
  <si>
    <t>P_FuelafterFilter</t>
  </si>
  <si>
    <t>P_ChargeAir</t>
  </si>
  <si>
    <t>P_ChargeAirB</t>
  </si>
  <si>
    <t>P_FuelCommonRail</t>
  </si>
  <si>
    <t>ETC1Speed</t>
  </si>
  <si>
    <t>ETC2Speed</t>
  </si>
  <si>
    <t>Cmd_ETC3CutIn</t>
  </si>
  <si>
    <t>Cmd_ETC4CutIn</t>
  </si>
  <si>
    <t>OperatingHoursseconds</t>
  </si>
  <si>
    <t>FeedbackOverride</t>
  </si>
  <si>
    <t>EngineRunning</t>
  </si>
  <si>
    <t>Cmd_ETC2CutIn</t>
  </si>
  <si>
    <t>CylinderCutout</t>
  </si>
  <si>
    <t>ECUFailureCodes</t>
  </si>
  <si>
    <t>PDU_1Failure</t>
  </si>
  <si>
    <t>PDU_2Failure</t>
  </si>
  <si>
    <t>FailureStatusTransOutputs</t>
  </si>
  <si>
    <t>ECUPS_Voltage</t>
  </si>
  <si>
    <t>LM_HI_T_IntakeAir</t>
  </si>
  <si>
    <t>SystemState</t>
  </si>
  <si>
    <t>OperatingHours</t>
  </si>
  <si>
    <t>ST_AL_ECUDefect</t>
  </si>
  <si>
    <t>EngineSpeedCamshaft</t>
  </si>
  <si>
    <t>ActualFuelConsumption</t>
  </si>
  <si>
    <t>TripFuelConsumption</t>
  </si>
  <si>
    <t>TotalFuelConsumption</t>
  </si>
  <si>
    <t>T_Coolant</t>
  </si>
  <si>
    <t>LM_HI_T_Coolant</t>
  </si>
  <si>
    <t>LM_HIHI_T_Coolant</t>
  </si>
  <si>
    <t>T_ChargeAir</t>
  </si>
  <si>
    <t>LM_HI_T_ChargeAir</t>
  </si>
  <si>
    <t>T_ChargeAirB</t>
  </si>
  <si>
    <t>LM_HI_T_ChargeAirB</t>
  </si>
  <si>
    <t>LM_HIHI_T_ChargeAirB</t>
  </si>
  <si>
    <t>T_CoolantIntercooler</t>
  </si>
  <si>
    <t>LM_HI_T_CoolantIntercooler</t>
  </si>
  <si>
    <t>T_LubeOil</t>
  </si>
  <si>
    <t>LM_HI_T_LubeOil</t>
  </si>
  <si>
    <t>LM_HIHI_T_LubeOil</t>
  </si>
  <si>
    <t>T_ExhaustCombinedA</t>
  </si>
  <si>
    <t>LM_HI_T_ExhaustCombinedA</t>
  </si>
  <si>
    <t>T_ExhaustCombinedB</t>
  </si>
  <si>
    <t>LM_HI_T_ExhaustCombinedB</t>
  </si>
  <si>
    <t>T_IntakeAir</t>
  </si>
  <si>
    <t>T_Fuel</t>
  </si>
  <si>
    <t>P_LubeOilbeforeFilter</t>
  </si>
  <si>
    <t>P_LubeOilFilterDiff</t>
  </si>
  <si>
    <t>LM_HI_P_LubeOilFilterDiff</t>
  </si>
  <si>
    <t>T_LubeOilOilPan</t>
  </si>
  <si>
    <t>LM_LO_P_FuelafterFilter</t>
  </si>
  <si>
    <t>LM_LOLO_P_FuelafterFilter</t>
  </si>
  <si>
    <t>LM_HI_ETC1Speed</t>
  </si>
  <si>
    <t>LM_HI_ETC2Speed</t>
  </si>
  <si>
    <t>LM_HIHI_EngineSpeed</t>
  </si>
  <si>
    <t>LM_HI_P_ChargeAir</t>
  </si>
  <si>
    <t>LM_HI_P_ChargeAirB</t>
  </si>
  <si>
    <t>LM_HIHI_T_ChargeAir</t>
  </si>
  <si>
    <t>T_ECU</t>
  </si>
  <si>
    <t>LM_HIHI_ETC1Speed</t>
  </si>
  <si>
    <t>LM_HIHI_ETC2Speed</t>
  </si>
  <si>
    <t>EngineSpeedCrankshaft</t>
  </si>
  <si>
    <t>MeanTripFuelConsumption</t>
  </si>
  <si>
    <t>LM_HIHI_T_Fuel</t>
  </si>
  <si>
    <t>ActualP_Grade</t>
  </si>
  <si>
    <t>InjectioninRelationtoDBR</t>
  </si>
  <si>
    <t>Cmd_ETC1CutIn</t>
  </si>
  <si>
    <t>P_FuelbeforeFilter</t>
  </si>
  <si>
    <t>RatedPower</t>
  </si>
  <si>
    <t>P_FuelFilterDiff</t>
  </si>
  <si>
    <t>TripDuration</t>
  </si>
  <si>
    <t>StatusTransistorOutputs</t>
  </si>
  <si>
    <t>T_ChargeAirSeqValve</t>
  </si>
  <si>
    <t>LM_HI_T_ChargeAirSeqValve</t>
  </si>
  <si>
    <t>LM_HIHI_T_ChargeAirSeqValve</t>
  </si>
  <si>
    <t>LM_HIHI_T_ExhaustCombinedA</t>
  </si>
  <si>
    <t>LM_HIHI_T_ExhaustCombinedB</t>
  </si>
  <si>
    <t>LM_HI_P_FuelFilterDiff</t>
  </si>
  <si>
    <t>CoolantLevel</t>
  </si>
  <si>
    <t>FuelLeakageLevel</t>
  </si>
  <si>
    <t>LM_HI_T_Fuel</t>
  </si>
  <si>
    <t>LM_HI_T_ECU</t>
  </si>
  <si>
    <t>ETC3Speed</t>
  </si>
  <si>
    <t>ETC4Speed</t>
  </si>
  <si>
    <t>ECUPowerLimitationExpected</t>
  </si>
  <si>
    <t>ECUSecurityShutdownExpected</t>
  </si>
  <si>
    <t>T_ExhaustCombinedC</t>
  </si>
  <si>
    <t>LM_HI_T_ExhaustCombinedC</t>
  </si>
  <si>
    <t>LM_HIHI_T_ExhaustCombinedC</t>
  </si>
  <si>
    <t>T_ExhaustCombinedD</t>
  </si>
  <si>
    <t>LM_HI_T_ExhaustCombinedD</t>
  </si>
  <si>
    <t>LM_HIHI_T_ExhaustCombinedD</t>
  </si>
  <si>
    <t>LubeOilLevel</t>
  </si>
  <si>
    <t>LubeOilLevelStatus</t>
  </si>
  <si>
    <t>LubeOilLevelnotcal</t>
  </si>
  <si>
    <t>LubeOilLevelcal</t>
  </si>
  <si>
    <t>AlarmProtocolLightCarrier</t>
  </si>
  <si>
    <t>LM_HI_ETC3Speed</t>
  </si>
  <si>
    <t>LM_HIHI_ETC3Speed</t>
  </si>
  <si>
    <t>LM_HI_ETC4Speed</t>
  </si>
  <si>
    <t>LM_HIHI_ETC4Speed</t>
  </si>
  <si>
    <t>LM_HIHI_T_CoolantIntercooler</t>
  </si>
  <si>
    <t>RequestedTorque</t>
  </si>
  <si>
    <t>MCR_Momentkorr</t>
  </si>
  <si>
    <t>TorqueLimitationCode</t>
  </si>
  <si>
    <t>StateBinaryInputOutputs</t>
  </si>
  <si>
    <t>InjectioninReltoDBR50ms</t>
  </si>
  <si>
    <t>PowerinRelationtoMCR</t>
  </si>
  <si>
    <t>MCROverloadDuration</t>
  </si>
  <si>
    <t>ActualDBRTorque</t>
  </si>
  <si>
    <t>SpecificFuelConsumption</t>
  </si>
  <si>
    <t>ActualEnginePower</t>
  </si>
  <si>
    <t>DBRMCRReductionactive</t>
  </si>
  <si>
    <t>MaxEnginePower</t>
  </si>
  <si>
    <t>ActualIdleSpeed</t>
  </si>
  <si>
    <t>SpeedDemandwithoutP_Grade</t>
  </si>
  <si>
    <t>P_FuelPrefilterDiff</t>
  </si>
  <si>
    <t>LM_HI_P_FuelPrefilterDiff</t>
  </si>
  <si>
    <t>P_IntakeAirB</t>
  </si>
  <si>
    <t>LM_LO_P_IntakeAirB</t>
  </si>
  <si>
    <t>P_LubeOilAfterLevelPump</t>
  </si>
  <si>
    <t>LM_LO_P_LubeOilAftLevPump</t>
  </si>
  <si>
    <t>T_FuelRailB</t>
  </si>
  <si>
    <t>LevelOilRefillTank</t>
  </si>
  <si>
    <t>T_RawWaterAfterPump</t>
  </si>
  <si>
    <t>T_FuelBeforeLPPump</t>
  </si>
  <si>
    <t>T_LubeOilETC</t>
  </si>
  <si>
    <t>LM_HI_T_LubeOilETC</t>
  </si>
  <si>
    <t>LM_HIHI_T_LubeOilETC</t>
  </si>
  <si>
    <t>LM_HIHI_P_LubeOilFilterDiff</t>
  </si>
  <si>
    <t>Cmd_ETC5CutIn</t>
  </si>
  <si>
    <t>LM_HI_T_RawWaterAfterPump</t>
  </si>
  <si>
    <t>LM_HI_T_FuelRailB</t>
  </si>
  <si>
    <t>LM_HIHI_T_IntakeAir</t>
  </si>
  <si>
    <t>LM_HI_T_FuelBeforeLPPump</t>
  </si>
  <si>
    <t>LM_HIHI_T_FuelBeforeLPPump</t>
  </si>
  <si>
    <t>LM_HIHI_T_FuelRailB</t>
  </si>
  <si>
    <t>P_IntakeAirAfterFilter</t>
  </si>
  <si>
    <t>FB_CapsizeSwitchActivated</t>
  </si>
  <si>
    <t>LM_LO_P_IntakeAirAfterFilter</t>
  </si>
  <si>
    <t>LM_HIHI_P_ChargeAir</t>
  </si>
  <si>
    <t>EGAT_Configuration1</t>
  </si>
  <si>
    <t>EGAT_Configuration2</t>
  </si>
  <si>
    <t>EGAT_Configuration3</t>
  </si>
  <si>
    <t>T_ExhaustSCRInlet1</t>
  </si>
  <si>
    <t>T_ExhaustSCRInlet2</t>
  </si>
  <si>
    <t>T_ExhaustSCROutlet1</t>
  </si>
  <si>
    <t>LM_HI_T_ExhaustSCR</t>
  </si>
  <si>
    <t>LM_HIHI_T_ExhaustSCR</t>
  </si>
  <si>
    <t>LM_HI_P_ExhaustDiffSCR1</t>
  </si>
  <si>
    <t>LM_HIHI_P_ExhaustDiffSCR1</t>
  </si>
  <si>
    <t>P_ExhaustDiffSCR1</t>
  </si>
  <si>
    <t>Cmd_RequestLocalMode</t>
  </si>
  <si>
    <t>ETC5Speed</t>
  </si>
  <si>
    <t>EngineSpeedSaSy</t>
  </si>
  <si>
    <t>ST_HIHI_EngineOverspeedSaSy</t>
  </si>
  <si>
    <t>P_LubeOilSaSy</t>
  </si>
  <si>
    <t>LM_LO_P_LubeOilSaSy</t>
  </si>
  <si>
    <t>LM_LOLO_P_LubeOilSaSy</t>
  </si>
  <si>
    <t>ST_LO_P_LubeOilSaSy</t>
  </si>
  <si>
    <t>ST_LOLO_P_LubeOilSaSy</t>
  </si>
  <si>
    <t>EngineRunningSaSy</t>
  </si>
  <si>
    <t>P_CrankcaseSaSy</t>
  </si>
  <si>
    <t>LM_HI_P_CrankcaseSaSy</t>
  </si>
  <si>
    <t>LM_HIHI_P_CrankcaseSaSy</t>
  </si>
  <si>
    <t>EMU_Failure_Codes</t>
  </si>
  <si>
    <t>T_EMU</t>
  </si>
  <si>
    <t>PowerSupplyEMU</t>
  </si>
  <si>
    <t>T_CoolantSaSy</t>
  </si>
  <si>
    <t>LM_HI_T_CoolantSaSy</t>
  </si>
  <si>
    <t>LM_HIHI_T_CoolantSaSy</t>
  </si>
  <si>
    <t>ST_HI_T_CoolantSaSy</t>
  </si>
  <si>
    <t>ST_HIHI_T_CoolantSaSy</t>
  </si>
  <si>
    <t>LM_HIHI_EngineSpeedSaSy</t>
  </si>
  <si>
    <t>ST_WB_EmergStopSaSy</t>
  </si>
  <si>
    <t>ST_SC_EmergStopSaSy</t>
  </si>
  <si>
    <t>T_ExhaustA1</t>
  </si>
  <si>
    <t>T_ExhaustA2</t>
  </si>
  <si>
    <t>T_ExhaustA3</t>
  </si>
  <si>
    <t>T_ExhaustA4</t>
  </si>
  <si>
    <t>T_ExhaustA5</t>
  </si>
  <si>
    <t>T_ExhaustA6</t>
  </si>
  <si>
    <t>T_ExhaustA7</t>
  </si>
  <si>
    <t>T_ExhaustA8</t>
  </si>
  <si>
    <t>T_ExhaustA9</t>
  </si>
  <si>
    <t>T_ExhaustA10</t>
  </si>
  <si>
    <t>T_ExhaustB1</t>
  </si>
  <si>
    <t>T_ExhaustB2</t>
  </si>
  <si>
    <t>T_ExhaustB3</t>
  </si>
  <si>
    <t>T_ExhaustB4</t>
  </si>
  <si>
    <t>T_ExhaustB5</t>
  </si>
  <si>
    <t>T_ExhaustB6</t>
  </si>
  <si>
    <t>T_ExhaustB7</t>
  </si>
  <si>
    <t>T_ExhaustB8</t>
  </si>
  <si>
    <t>T_ExhaustB9</t>
  </si>
  <si>
    <t>T_ExhaustB10</t>
  </si>
  <si>
    <t>T_ExhaustMean</t>
  </si>
  <si>
    <t>T_ExhaustMax</t>
  </si>
  <si>
    <t>T_ExhaustMin</t>
  </si>
  <si>
    <t>LM_HI_T_Exhaust</t>
  </si>
  <si>
    <t>LM_LO_T_Exhaust</t>
  </si>
  <si>
    <t>LM_HIHI_T_Exhaust</t>
  </si>
  <si>
    <t>LM_LOLO_T_Exhaust</t>
  </si>
  <si>
    <t>T_ExhaustMeanFailure</t>
  </si>
  <si>
    <t>T_Bearing1</t>
  </si>
  <si>
    <t>T_Bearing2</t>
  </si>
  <si>
    <t>T_Bearing3</t>
  </si>
  <si>
    <t>T_Bearing4</t>
  </si>
  <si>
    <t>T_Bearing5</t>
  </si>
  <si>
    <t>T_Bearing6</t>
  </si>
  <si>
    <t>T_Bearing7</t>
  </si>
  <si>
    <t>T_Bearing8</t>
  </si>
  <si>
    <t>T_Bearing9</t>
  </si>
  <si>
    <t>T_Bearing10</t>
  </si>
  <si>
    <t>T_Bearing11</t>
  </si>
  <si>
    <t>T_BearingMean</t>
  </si>
  <si>
    <t>LM_HI_T_BearingMean</t>
  </si>
  <si>
    <t>ST_HI_T_BearingMean</t>
  </si>
  <si>
    <t>LM_HI_T_Bearing</t>
  </si>
  <si>
    <t>LM_HIHI_T_Bearing</t>
  </si>
  <si>
    <t>T_BearingMeanFailure</t>
  </si>
  <si>
    <t>ST_HI_T_ExhaustA1</t>
  </si>
  <si>
    <t>ST_HI_T_ExhaustA2</t>
  </si>
  <si>
    <t>ST_HI_T_ExhaustA3</t>
  </si>
  <si>
    <t>ST_HI_T_ExhaustA4</t>
  </si>
  <si>
    <t>ST_HI_T_ExhaustA5</t>
  </si>
  <si>
    <t>ST_HI_T_ExhaustA6</t>
  </si>
  <si>
    <t>ST_HI_T_ExhaustA7</t>
  </si>
  <si>
    <t>ST_HI_T_ExhaustA8</t>
  </si>
  <si>
    <t>ST_HI_T_ExhaustA9</t>
  </si>
  <si>
    <t>ST_HI_T_ExhaustA10</t>
  </si>
  <si>
    <t>ST_HI_T_ExhaustB1</t>
  </si>
  <si>
    <t>ST_HI_T_ExhaustB2</t>
  </si>
  <si>
    <t>ST_HI_T_ExhaustB3</t>
  </si>
  <si>
    <t>ST_HI_T_ExhaustB4</t>
  </si>
  <si>
    <t>ST_HI_T_ExhaustB5</t>
  </si>
  <si>
    <t>ST_HI_T_ExhaustB6</t>
  </si>
  <si>
    <t>ST_HI_T_ExhaustB7</t>
  </si>
  <si>
    <t>ST_HI_T_ExhaustB8</t>
  </si>
  <si>
    <t>ST_HI_T_ExhaustB9</t>
  </si>
  <si>
    <t>ST_HI_T_ExhaustB10</t>
  </si>
  <si>
    <t>ST_HI_T_Bearing1</t>
  </si>
  <si>
    <t>ST_HI_T_Bearing2</t>
  </si>
  <si>
    <t>ST_HI_T_Bearing3</t>
  </si>
  <si>
    <t>ST_HI_T_Bearing4</t>
  </si>
  <si>
    <t>ST_HI_T_Bearing5</t>
  </si>
  <si>
    <t>ST_HI_T_Bearing6</t>
  </si>
  <si>
    <t>ST_HI_T_Bearing7</t>
  </si>
  <si>
    <t>ST_HI_T_Bearing8</t>
  </si>
  <si>
    <t>ST_HI_T_Bearing9</t>
  </si>
  <si>
    <t>ST_HI_T_Bearing10</t>
  </si>
  <si>
    <t>ST_HI_T_Bearing11</t>
  </si>
  <si>
    <t>ST_HIHI_T_Bearing1</t>
  </si>
  <si>
    <t>ST_HIHI_T_Bearing2</t>
  </si>
  <si>
    <t>ST_HIHI_T_Bearing3</t>
  </si>
  <si>
    <t>ST_HIHI_T_Bearing4</t>
  </si>
  <si>
    <t>ST_HIHI_T_Bearing5</t>
  </si>
  <si>
    <t>ST_HIHI_T_Bearing6</t>
  </si>
  <si>
    <t>ST_HIHI_T_Bearing7</t>
  </si>
  <si>
    <t>ST_HIHI_T_Bearing8</t>
  </si>
  <si>
    <t>ST_HIHI_T_Bearing9</t>
  </si>
  <si>
    <t>ST_HIHI_T_Bearing10</t>
  </si>
  <si>
    <t>ST_HIHI_T_Bearing11</t>
  </si>
  <si>
    <t>ST_LO_T_ExhaustA1</t>
  </si>
  <si>
    <t>ST_LO_T_ExhaustA2</t>
  </si>
  <si>
    <t>ST_LO_T_ExhaustA3</t>
  </si>
  <si>
    <t>ST_LO_T_ExhaustA4</t>
  </si>
  <si>
    <t>ST_LO_T_ExhaustA5</t>
  </si>
  <si>
    <t>ST_LO_T_ExhaustA6</t>
  </si>
  <si>
    <t>ST_LO_T_ExhaustA7</t>
  </si>
  <si>
    <t>ST_LO_T_ExhaustA8</t>
  </si>
  <si>
    <t>ST_LO_T_ExhaustA9</t>
  </si>
  <si>
    <t>ST_LO_T_ExhaustA10</t>
  </si>
  <si>
    <t>ST_LO_T_ExhaustB1</t>
  </si>
  <si>
    <t>ST_LO_T_ExhaustB2</t>
  </si>
  <si>
    <t>ST_LO_T_ExhaustB3</t>
  </si>
  <si>
    <t>ST_LO_T_ExhaustB4</t>
  </si>
  <si>
    <t>ST_LO_T_ExhaustB5</t>
  </si>
  <si>
    <t>ST_LO_T_ExhaustB6</t>
  </si>
  <si>
    <t>ST_LO_T_ExhaustB7</t>
  </si>
  <si>
    <t>ST_LO_T_ExhaustB8</t>
  </si>
  <si>
    <t>ST_LO_T_ExhaustB9</t>
  </si>
  <si>
    <t>ST_LO_T_ExhaustB10</t>
  </si>
  <si>
    <t>P_RawWaterBeforePump</t>
  </si>
  <si>
    <t>LM_LO_P_RawWaterBeforePump</t>
  </si>
  <si>
    <t>ST_LO_P_RawWaterBeforePump</t>
  </si>
  <si>
    <t>P_LubeOilLastBearing</t>
  </si>
  <si>
    <t>LM_LO_P_LubeOilLastBearing</t>
  </si>
  <si>
    <t>ST_LO_P_LubeOilLastBearing</t>
  </si>
  <si>
    <t>LM_LOLO_P_LubeOilLastBearing</t>
  </si>
  <si>
    <t>ST_LOLO_P_LubeOilLastBearing</t>
  </si>
  <si>
    <t>P_LubeOilPistoncool</t>
  </si>
  <si>
    <t>LM_LO_P_LubeOilPistoncool</t>
  </si>
  <si>
    <t>ST_LO_P_LubeOilPistoncool</t>
  </si>
  <si>
    <t>LM_LOLO_P_LubeOilPistoncool</t>
  </si>
  <si>
    <t>ST_LOLO_P_LubeOilPistoncool</t>
  </si>
  <si>
    <t>P_ControlAir</t>
  </si>
  <si>
    <t>LM_LO_P_ControlAir</t>
  </si>
  <si>
    <t>ST_LO_P_ControlAir</t>
  </si>
  <si>
    <t>P_ExhaustBack</t>
  </si>
  <si>
    <t>LM_HI_P_ExhaustBack</t>
  </si>
  <si>
    <t>ST_HI_P_ExhaustBack</t>
  </si>
  <si>
    <t>LM_HIHI_P_ExhaustBack</t>
  </si>
  <si>
    <t>ST_HIHI_P_ExhaustBack</t>
  </si>
  <si>
    <t>LM_HI_ETC5Speed</t>
  </si>
  <si>
    <t>ST_HI_ETC5Speed</t>
  </si>
  <si>
    <t>LM_HIHI_ETC5Speed</t>
  </si>
  <si>
    <t>ST_HIHI_ETC5Speed</t>
  </si>
  <si>
    <t>P_DiffPistoncoolFilter</t>
  </si>
  <si>
    <t>LM_HI_P_DiffPistoncoolFilter</t>
  </si>
  <si>
    <t>ST_HI_P_DiffPistoncoolFilter</t>
  </si>
  <si>
    <t>P_RawWater</t>
  </si>
  <si>
    <t>LM_LO_P_RawWater</t>
  </si>
  <si>
    <t>ST_LO_P_RawWater</t>
  </si>
  <si>
    <t>EMUSecurityShutdown</t>
  </si>
  <si>
    <t>ST_AL_ExhaustMonitoringFail</t>
  </si>
  <si>
    <t>ST_AL_SecurityChanneldefect</t>
  </si>
  <si>
    <t>ST_TD_T_Coolant</t>
  </si>
  <si>
    <t>ST_TD_P_LubeOil</t>
  </si>
  <si>
    <t>ST_AL_EMU11V</t>
  </si>
  <si>
    <t>ST_AL_EMU_7V</t>
  </si>
  <si>
    <t>EMUPowerLimitationActive</t>
  </si>
  <si>
    <t>EMUPowerLimitationExpected</t>
  </si>
  <si>
    <t>EMUSecurityShutdownExpected</t>
  </si>
  <si>
    <t>T_SplashOilB1</t>
  </si>
  <si>
    <t>T_SplashOilB2</t>
  </si>
  <si>
    <t>T_SplashOilB3</t>
  </si>
  <si>
    <t>T_SplashOilB4</t>
  </si>
  <si>
    <t>T_SplashOilB5</t>
  </si>
  <si>
    <t>T_SplashOilB6</t>
  </si>
  <si>
    <t>T_SplashOilB7</t>
  </si>
  <si>
    <t>T_SplashOilB8</t>
  </si>
  <si>
    <t>T_SplashOilB9</t>
  </si>
  <si>
    <t>T_SplashOilB10</t>
  </si>
  <si>
    <t>ST_HI_T_SplashOilB1</t>
  </si>
  <si>
    <t>ST_HI_T_SplashOilB2</t>
  </si>
  <si>
    <t>ST_HI_T_SplashOilB3</t>
  </si>
  <si>
    <t>ST_HI_T_SplashOilB4</t>
  </si>
  <si>
    <t>ST_HI_T_SplashOilB5</t>
  </si>
  <si>
    <t>ST_HI_T_SplashOilB6</t>
  </si>
  <si>
    <t>ST_HI_T_SplashOilB7</t>
  </si>
  <si>
    <t>ST_HI_T_SplashOilB8</t>
  </si>
  <si>
    <t>ST_HI_T_SplashOilB9</t>
  </si>
  <si>
    <t>ST_HI_T_SplashOilB10</t>
  </si>
  <si>
    <t>ST_HIHI_T_SplashOilB1</t>
  </si>
  <si>
    <t>ST_HIHI_T_SplashOilB2</t>
  </si>
  <si>
    <t>ST_HIHI_T_SplashOilB3</t>
  </si>
  <si>
    <t>ST_HIHI_T_SplashOilB4</t>
  </si>
  <si>
    <t>ST_HIHI_T_SplashOilB5</t>
  </si>
  <si>
    <t>ST_HIHI_T_SplashOilB6</t>
  </si>
  <si>
    <t>ST_HIHI_T_SplashOilB7</t>
  </si>
  <si>
    <t>ST_HIHI_T_SplashOilB8</t>
  </si>
  <si>
    <t>ST_HIHI_T_SplashOilB9</t>
  </si>
  <si>
    <t>ST_HIHI_T_SplashOilB10</t>
  </si>
  <si>
    <t>LM_HI_T_SplashOilB1</t>
  </si>
  <si>
    <t>LM_HI_T_SplashOilB2</t>
  </si>
  <si>
    <t>LM_HI_T_SplashOilB3</t>
  </si>
  <si>
    <t>LM_HI_T_SplashOilB4</t>
  </si>
  <si>
    <t>LM_HI_T_SplashOilB5</t>
  </si>
  <si>
    <t>LM_HI_T_SplashOilB6</t>
  </si>
  <si>
    <t>LM_HI_T_SplashOilB7</t>
  </si>
  <si>
    <t>LM_HI_T_SplashOilB8</t>
  </si>
  <si>
    <t>LM_HI_T_SplashOilB9</t>
  </si>
  <si>
    <t>LM_HI_T_SplashOilB10</t>
  </si>
  <si>
    <t>LM_HIHI_T_SplashOilB1</t>
  </si>
  <si>
    <t>LM_HIHI_T_SplashOilB2</t>
  </si>
  <si>
    <t>LM_HIHI_T_SplashOilB3</t>
  </si>
  <si>
    <t>LM_HIHI_T_SplashOilB4</t>
  </si>
  <si>
    <t>LM_HIHI_T_SplashOilB5</t>
  </si>
  <si>
    <t>LM_HIHI_T_SplashOilB6</t>
  </si>
  <si>
    <t>LM_HIHI_T_SplashOilB7</t>
  </si>
  <si>
    <t>LM_HIHI_T_SplashOilB8</t>
  </si>
  <si>
    <t>LM_HIHI_T_SplashOilB9</t>
  </si>
  <si>
    <t>LM_HIHI_T_SplashOilB10</t>
  </si>
  <si>
    <t>ST_MG_SplashOilCalActive</t>
  </si>
  <si>
    <t>ST_AL_SplashOilCalnotPoss</t>
  </si>
  <si>
    <t>T_SplashOilMean</t>
  </si>
  <si>
    <t>T_SplashOilMeanFailure</t>
  </si>
  <si>
    <t>EMUChannelswitchoffSlot9</t>
  </si>
  <si>
    <t>EMUChannelswitchoffSlot8</t>
  </si>
  <si>
    <t>EMUChannelswitchoffSlot7</t>
  </si>
  <si>
    <t>EMUChannelswitchoffSlot6</t>
  </si>
  <si>
    <t>EMUChannelswitchoffSlot5</t>
  </si>
  <si>
    <t>EMUChannelswitchoffSlot4</t>
  </si>
  <si>
    <t>EMUChannelswitchoffSlot3</t>
  </si>
  <si>
    <t>EMUChannelswitchoffSlot2</t>
  </si>
  <si>
    <t>TurnEngineActive</t>
  </si>
  <si>
    <t>T_CPM</t>
  </si>
  <si>
    <t>CPM_PowerSupplyVoltage</t>
  </si>
  <si>
    <t>CPM_SensorConfiguration1</t>
  </si>
  <si>
    <t>CylinderPerformanceA1</t>
  </si>
  <si>
    <t>CylinderPerformanceA2</t>
  </si>
  <si>
    <t>CylinderPerformanceA3</t>
  </si>
  <si>
    <t>CylinderPerformanceA4</t>
  </si>
  <si>
    <t>CylinderPerformanceA5</t>
  </si>
  <si>
    <t>CylinderPerformanceA6</t>
  </si>
  <si>
    <t>CylinderPerformanceA7</t>
  </si>
  <si>
    <t>CylinderPerformanceA8</t>
  </si>
  <si>
    <t>CylinderPerformanceA9</t>
  </si>
  <si>
    <t>CylinderPerformanceA10</t>
  </si>
  <si>
    <t>CylinderPerformanceB1</t>
  </si>
  <si>
    <t>CylinderPerformanceB2</t>
  </si>
  <si>
    <t>CylinderPerformanceB3</t>
  </si>
  <si>
    <t>CylinderPerformanceB4</t>
  </si>
  <si>
    <t>CylinderPerformanceB5</t>
  </si>
  <si>
    <t>CylinderPerformanceB6</t>
  </si>
  <si>
    <t>CylinderPerformanceB7</t>
  </si>
  <si>
    <t>CylinderPerformanceB8</t>
  </si>
  <si>
    <t>CylinderPerformanceB9</t>
  </si>
  <si>
    <t>CylinderPerformanceB10</t>
  </si>
  <si>
    <t>CylinderPerformanceMean</t>
  </si>
  <si>
    <t>T_EIM</t>
  </si>
  <si>
    <t>FB_PrimingOnEIM</t>
  </si>
  <si>
    <t>Cmd_PrimingOnEIM</t>
  </si>
  <si>
    <t>DisengageRequest</t>
  </si>
  <si>
    <t>P_StartAir</t>
  </si>
  <si>
    <t>ST_AL_MMS_MainPowerFail</t>
  </si>
  <si>
    <t>ST_LO_StarterSupplyVoltage</t>
  </si>
  <si>
    <t>ST_MG_StarterSupplyVoltage</t>
  </si>
  <si>
    <t>ST_AL_SDAF_Fail</t>
  </si>
  <si>
    <t>ST_AL_MMS_InternalPowerFail</t>
  </si>
  <si>
    <t>ST_AL_BatteryChargerFailure</t>
  </si>
  <si>
    <t>ST_AL_SDAF_Closed</t>
  </si>
  <si>
    <t>StatusEmergStopCircuitFail</t>
  </si>
  <si>
    <t>ST_AL_EmergStopCircuitFail</t>
  </si>
  <si>
    <t>ST_AL_EmergencyStop</t>
  </si>
  <si>
    <t>ST_AL_PrimingPumpFail</t>
  </si>
  <si>
    <t>ST_AL_AirStarterFail</t>
  </si>
  <si>
    <t>StatusStarterFail</t>
  </si>
  <si>
    <t>ST_AL_ElectricStarterFail</t>
  </si>
  <si>
    <t>ST_LO_P_StartAir</t>
  </si>
  <si>
    <t>ST_LOLO_P_StartAirStartTerm</t>
  </si>
  <si>
    <t>EIMStatusPrimingPumpFail</t>
  </si>
  <si>
    <t>ST_AL_StartpilotFail</t>
  </si>
  <si>
    <t>ST_AL_StartTerminated</t>
  </si>
  <si>
    <t>StatusStartProcedure</t>
  </si>
  <si>
    <t>StarterSupplyVoltage</t>
  </si>
  <si>
    <t>ST_MG_ColdStartRequired</t>
  </si>
  <si>
    <t>ST_MG_EtherInjectionactivated</t>
  </si>
  <si>
    <t>LM_LO_P_StartAir</t>
  </si>
  <si>
    <t>LM_LOLO_P_StartAirStartTerm</t>
  </si>
  <si>
    <t>ST_MG_NotReadyforOperation</t>
  </si>
  <si>
    <t>ST_MG_ExternalStartInterlock</t>
  </si>
  <si>
    <t>ST_MG_SDAF_closed</t>
  </si>
  <si>
    <t>ST_MG_GearnotNeutral</t>
  </si>
  <si>
    <t>ST_MG_BarringGearEngaged</t>
  </si>
  <si>
    <t>ST_AL_BarringGearEngaged</t>
  </si>
  <si>
    <t>ST_AL_SecurityShutdownMMS</t>
  </si>
  <si>
    <t>ST_AL_OverrideActivated</t>
  </si>
  <si>
    <t>EIMConfiguration</t>
  </si>
  <si>
    <t>ST_AL_EIMDefect</t>
  </si>
  <si>
    <t>ST_MG_StarterNotReady</t>
  </si>
  <si>
    <t>StartInterlock</t>
  </si>
  <si>
    <t>ReadyforStartStop</t>
  </si>
  <si>
    <t>ST_MG_ColdStart</t>
  </si>
  <si>
    <t>Startactive</t>
  </si>
  <si>
    <t>StatusReadyforOperation</t>
  </si>
  <si>
    <t>ST_AL_PowerLimitationActiveMMS</t>
  </si>
  <si>
    <t>ETC1Running</t>
  </si>
  <si>
    <t>P_OilRefillPump</t>
  </si>
  <si>
    <t>ST_LO_P_OilRefillPump</t>
  </si>
  <si>
    <t>LM_LO_P_OilRefillPump</t>
  </si>
  <si>
    <t>InfoTextEIM</t>
  </si>
  <si>
    <t>ETC2Running</t>
  </si>
  <si>
    <t>FuelConsumptMaxlhDIS</t>
  </si>
  <si>
    <t>ETC3Running</t>
  </si>
  <si>
    <t>ETC4Running</t>
  </si>
  <si>
    <t>ETC5Running</t>
  </si>
  <si>
    <t>MMSConfiguration1</t>
  </si>
  <si>
    <t>MMSConfiguration2</t>
  </si>
  <si>
    <t>MMSConfiguration3</t>
  </si>
  <si>
    <t>MMSConfiguration4</t>
  </si>
  <si>
    <t>ECUSecurityShutdown</t>
  </si>
  <si>
    <t>MMS_Nodes</t>
  </si>
  <si>
    <t>AL ECU Defect</t>
  </si>
  <si>
    <t>AL RCS Speed Demand Defect</t>
  </si>
  <si>
    <t>HIHI Engine Overspeed SaSy</t>
  </si>
  <si>
    <t>LO P-Lube Oil SaSy</t>
  </si>
  <si>
    <t>LOLO P-Lube Oil SaSy</t>
  </si>
  <si>
    <t>HI T-Coolant SaSy</t>
  </si>
  <si>
    <t>HIHI T-Coolant SaSy</t>
  </si>
  <si>
    <t>WB SaSy Emergency Stop Output</t>
  </si>
  <si>
    <t>SC SaSy Emergency Stop Output</t>
  </si>
  <si>
    <t>HI T-Bearing Mean</t>
  </si>
  <si>
    <t>HI T-Exhaust A1</t>
  </si>
  <si>
    <t>HI T-Exhaust A2</t>
  </si>
  <si>
    <t>HI T-Exhaust A3</t>
  </si>
  <si>
    <t>HI T-Exhaust A4</t>
  </si>
  <si>
    <t>HI T-Exhaust A5</t>
  </si>
  <si>
    <t>HI T-Exhaust A6</t>
  </si>
  <si>
    <t>HI T-Exhaust A7</t>
  </si>
  <si>
    <t>HI T-Exhaust A8</t>
  </si>
  <si>
    <t>HI T-Exhaust A9</t>
  </si>
  <si>
    <t>HI T-Exhaust A10</t>
  </si>
  <si>
    <t>HI T-Exhaust B1</t>
  </si>
  <si>
    <t>HI T-Exhaust B2</t>
  </si>
  <si>
    <t>HI T-Exhaust B3</t>
  </si>
  <si>
    <t>HI T-Exhaust B4</t>
  </si>
  <si>
    <t>HI T-Exhaust B5</t>
  </si>
  <si>
    <t>HI T-Exhaust B6</t>
  </si>
  <si>
    <t>HI T-Exhaust B7</t>
  </si>
  <si>
    <t>HI T-Exhaust B8</t>
  </si>
  <si>
    <t>HI T-Exhaust B9</t>
  </si>
  <si>
    <t>HI T-Exhaust B10</t>
  </si>
  <si>
    <t>HI T-Bearing 1</t>
  </si>
  <si>
    <t>HI T-Bearing 2</t>
  </si>
  <si>
    <t>HI T-Bearing 3</t>
  </si>
  <si>
    <t>HI T-Bearing 4</t>
  </si>
  <si>
    <t>HI T-Bearing 5</t>
  </si>
  <si>
    <t>HI T-Bearing 6</t>
  </si>
  <si>
    <t>HI T-Bearing 7</t>
  </si>
  <si>
    <t>HI T-Bearing 8</t>
  </si>
  <si>
    <t>HI T-Bearing 9</t>
  </si>
  <si>
    <t>HI T-Bearing 10</t>
  </si>
  <si>
    <t>HI T-Bearing 11</t>
  </si>
  <si>
    <t>HIHI T-Bearing 1</t>
  </si>
  <si>
    <t>HIHI T-Bearing 2</t>
  </si>
  <si>
    <t>HIHI T-Bearing 3</t>
  </si>
  <si>
    <t>HIHI T-Bearing 4</t>
  </si>
  <si>
    <t>HIHI T-Bearing 5</t>
  </si>
  <si>
    <t>HIHI T-Bearing 6</t>
  </si>
  <si>
    <t>HIHI T-Bearing 7</t>
  </si>
  <si>
    <t>HIHI T-Bearing 8</t>
  </si>
  <si>
    <t>HIHI T-Bearing 9</t>
  </si>
  <si>
    <t>HIHI T-Bearing 10</t>
  </si>
  <si>
    <t>HIHI T-Bearing 11</t>
  </si>
  <si>
    <t>LO T-Exhaust A1</t>
  </si>
  <si>
    <t>LO T-Exhaust A2</t>
  </si>
  <si>
    <t>LO T-Exhaust A3</t>
  </si>
  <si>
    <t>LO T-Exhaust A4</t>
  </si>
  <si>
    <t>LO T-Exhaust A5</t>
  </si>
  <si>
    <t>LO T-Exhaust A6</t>
  </si>
  <si>
    <t>LO T-Exhaust A7</t>
  </si>
  <si>
    <t>LO T-Exhaust A8</t>
  </si>
  <si>
    <t>LO T-Exhaust A9</t>
  </si>
  <si>
    <t>LO T-Exhaust A10</t>
  </si>
  <si>
    <t>LO T-Exhaust B1</t>
  </si>
  <si>
    <t>LO T-Exhaust B2</t>
  </si>
  <si>
    <t>LO T-Exhaust B3</t>
  </si>
  <si>
    <t>LO T-Exhaust B4</t>
  </si>
  <si>
    <t>LO T-Exhaust B5</t>
  </si>
  <si>
    <t>LO T-Exhaust B6</t>
  </si>
  <si>
    <t>LO T-Exhaust B7</t>
  </si>
  <si>
    <t>LO T-Exhaust B8</t>
  </si>
  <si>
    <t>LO T-Exhaust B9</t>
  </si>
  <si>
    <t>LO T-Exhaust B10</t>
  </si>
  <si>
    <t>LO P-Raw Water before Pump</t>
  </si>
  <si>
    <t>LO P-Lube Oil Last Bearing</t>
  </si>
  <si>
    <t>LOLO P-Lube Oil Last Bearing</t>
  </si>
  <si>
    <t>LO P-Control Air</t>
  </si>
  <si>
    <t>HI P-Exhaust Back</t>
  </si>
  <si>
    <t>HIHI P-Exhaust Back</t>
  </si>
  <si>
    <t>LO P-Fuel Common Rail A SaSy</t>
  </si>
  <si>
    <t>LO P-Fuel Common Rail B SaSy</t>
  </si>
  <si>
    <t>TD P-Fuel Common Rail A</t>
  </si>
  <si>
    <t>TD P-Fuel Common Rail B</t>
  </si>
  <si>
    <t>HI P-Piston Cool.Oil Filt.Diff</t>
  </si>
  <si>
    <t>LO P-Raw Water</t>
  </si>
  <si>
    <t>AL Exhaust Monitoring Fail</t>
  </si>
  <si>
    <t>AL Security Channel def. SaSy</t>
  </si>
  <si>
    <t>TD T-Coolant</t>
  </si>
  <si>
    <t>TD P-Lube Oil</t>
  </si>
  <si>
    <t>AL EMU 11V</t>
  </si>
  <si>
    <t>AL EMU 7V</t>
  </si>
  <si>
    <t>AL T-Exhaust L2 above/below</t>
  </si>
  <si>
    <t>HI T-Splash Oil B1</t>
  </si>
  <si>
    <t>HI T-Splash Oil B2</t>
  </si>
  <si>
    <t>HI T-Splash Oil B3</t>
  </si>
  <si>
    <t>HI T-Splash Oil B4</t>
  </si>
  <si>
    <t>HI T-Splash Oil B5</t>
  </si>
  <si>
    <t>HI T-Splash Oil B6</t>
  </si>
  <si>
    <t>HI T-Splash Oil B7</t>
  </si>
  <si>
    <t>HI T-Splash Oil B8</t>
  </si>
  <si>
    <t>HI T-Splash Oil B9</t>
  </si>
  <si>
    <t>HI T-Splash Oil B10</t>
  </si>
  <si>
    <t>HIHI T-Splash Oil B1</t>
  </si>
  <si>
    <t>HIHI T-Splash Oil B2</t>
  </si>
  <si>
    <t>HIHI T-Splash Oil B3</t>
  </si>
  <si>
    <t>HIHI T-Splash Oil B4</t>
  </si>
  <si>
    <t>HIHI T-Splash Oil B5</t>
  </si>
  <si>
    <t>HIHI T-Splash Oil B6</t>
  </si>
  <si>
    <t>HIHI T-Splash Oil B7</t>
  </si>
  <si>
    <t>HIHI T-Splash Oil B8</t>
  </si>
  <si>
    <t>HIHI T-Splash Oil B9</t>
  </si>
  <si>
    <t>HIHI T-Splash Oil B10</t>
  </si>
  <si>
    <t>MG Splash Oil Cal Active</t>
  </si>
  <si>
    <t>AL Splash Oil Cal not Poss</t>
  </si>
  <si>
    <t>AL MMS Main Power Fail</t>
  </si>
  <si>
    <t>AL MMS Emerg Power Fail</t>
  </si>
  <si>
    <t>LO Starter Supply Voltage</t>
  </si>
  <si>
    <t>MG Starter Supply Voltage</t>
  </si>
  <si>
    <t>AL Shut Down Air Flaps Fail</t>
  </si>
  <si>
    <t>AL MMS Internal Power Fail</t>
  </si>
  <si>
    <t>AL Battery Charge Fail</t>
  </si>
  <si>
    <t>AL Shut Down Air Flaps closed</t>
  </si>
  <si>
    <t>AL Emerg. Stop Circuit Fail</t>
  </si>
  <si>
    <t>HIHI Overspeed (ECU)</t>
  </si>
  <si>
    <t>AL Emergency Stop</t>
  </si>
  <si>
    <t>AL Priming Pump Fail</t>
  </si>
  <si>
    <t>AL Air Starter Fail</t>
  </si>
  <si>
    <t>AL Electric Starter Fail</t>
  </si>
  <si>
    <t>LO P-Start Air</t>
  </si>
  <si>
    <t>LOLO P-Start Air</t>
  </si>
  <si>
    <t>AL Startpilot Fail</t>
  </si>
  <si>
    <t>AL Start terminated</t>
  </si>
  <si>
    <t>LO P-Priming</t>
  </si>
  <si>
    <t>MG Not Ready for Operation</t>
  </si>
  <si>
    <t>MG External Start Interlock</t>
  </si>
  <si>
    <t>MG SDAF closed</t>
  </si>
  <si>
    <t>MG Gear not Neutral</t>
  </si>
  <si>
    <t>MG Barring Gear Engaged</t>
  </si>
  <si>
    <t>AL Barring Gear Engaged</t>
  </si>
  <si>
    <t>AL Security Shutdown</t>
  </si>
  <si>
    <t xml:space="preserve">AL Override Activated </t>
  </si>
  <si>
    <t>AL EIM defect</t>
  </si>
  <si>
    <t>AL Power Limitation Active</t>
  </si>
  <si>
    <t xml:space="preserve">LO P-Oil Refill Pump </t>
  </si>
  <si>
    <t>LO P-Lube Oil Pistoncool</t>
  </si>
  <si>
    <t>LOLO P-Lube Oil Pistoncool</t>
  </si>
  <si>
    <t>HI ETC5 Speed</t>
  </si>
  <si>
    <t>HIHI ETC 5 Speed</t>
  </si>
  <si>
    <t>MG Cold Start Required</t>
  </si>
  <si>
    <t>MG Starter Not Ready</t>
  </si>
  <si>
    <t>Cmd_EngineColdStart</t>
  </si>
  <si>
    <t>ST_AL_CombinedFailureGen</t>
  </si>
  <si>
    <t>ST_AL_CombinedWarningGen</t>
  </si>
  <si>
    <t>Droop2CAN</t>
  </si>
  <si>
    <t>Cmd_ReducedSpeed</t>
  </si>
  <si>
    <t>EngineSpeedDemandConf</t>
  </si>
  <si>
    <t>Cmd_StarterSelectionexCtrl</t>
  </si>
  <si>
    <t>ExternalStarterControl</t>
  </si>
  <si>
    <t>Cmd_PrimingOnextCtrl</t>
  </si>
  <si>
    <t>ReadyPrimingextCtrl</t>
  </si>
  <si>
    <t>Cmd_DisableCylinderCutout2</t>
  </si>
  <si>
    <t>Cmd_SpeedIncrease</t>
  </si>
  <si>
    <t>Cmd_SpeedDecrease</t>
  </si>
  <si>
    <t>Cmd_EngineSpeedLimit2</t>
  </si>
  <si>
    <t>TestOverspeedConf</t>
  </si>
  <si>
    <t>Cmd_EngineStop4safetyMCS</t>
  </si>
  <si>
    <t>Cmd_EngineTorqueLimit2</t>
  </si>
  <si>
    <t>AmountofMonitEmergStopPB</t>
  </si>
  <si>
    <t>Cmd_EngineStartLocal</t>
  </si>
  <si>
    <t>Cmd_EngineStopLocal</t>
  </si>
  <si>
    <t>Cmd_ResetTripFuelCounter</t>
  </si>
  <si>
    <t>Cmd_EngineStartRemote</t>
  </si>
  <si>
    <t>Cmd_EngineStopRemote</t>
  </si>
  <si>
    <t>Cmd_ResetLocalMode</t>
  </si>
  <si>
    <t>Cmd_SetLocalMode</t>
  </si>
  <si>
    <t>StartReleaseGearNeutralOut</t>
  </si>
  <si>
    <t>Cmd_TerminatePriming</t>
  </si>
  <si>
    <t>Cmd_RequestTestOverspeed</t>
  </si>
  <si>
    <t>Cmd_SetReadyforOperation</t>
  </si>
  <si>
    <t>Cmd_ResetReadyforOperation</t>
  </si>
  <si>
    <t>Cmd_TerminateStart</t>
  </si>
  <si>
    <t>Cmd_AlarmReset</t>
  </si>
  <si>
    <t>Cmd_EIMHornOff</t>
  </si>
  <si>
    <t>Cmd_TurnEngineRemote</t>
  </si>
  <si>
    <t>TimeUTC</t>
  </si>
  <si>
    <t>DateUTC</t>
  </si>
  <si>
    <t>Cmd_ResetEmergencyStop</t>
  </si>
  <si>
    <t>Cmd_ExternalStartInterlock</t>
  </si>
  <si>
    <t>Cmd_RequestOverride</t>
  </si>
  <si>
    <t>Cmd_IMO3Mode</t>
  </si>
  <si>
    <t>Cmd_CapsizeSwitchActivated</t>
  </si>
  <si>
    <t>Cmd_IdleIncrease</t>
  </si>
  <si>
    <t>AL Combined Failure Gen</t>
  </si>
  <si>
    <t>AL Combined Warning Gen</t>
  </si>
  <si>
    <t>P_FuelCommonRailB</t>
  </si>
  <si>
    <t>LM_LO_ECUPS_Voltage</t>
  </si>
  <si>
    <t>LM_LOLO_ECUPS_Voltage</t>
  </si>
  <si>
    <t>LM_HI_ECUPS_Voltage</t>
  </si>
  <si>
    <t>LM_HIHI_ECUPS_Voltage</t>
  </si>
  <si>
    <t>P_LubeOilBSideETCs</t>
  </si>
  <si>
    <t>LM_LO_P_LubeOilBSideETCs</t>
  </si>
  <si>
    <t>LM_LOLO_P_LubeOilBSideETCs</t>
  </si>
  <si>
    <t>P_LubeOilASideETCs</t>
  </si>
  <si>
    <t>LM_LO_P_LubeOilASideETCs</t>
  </si>
  <si>
    <t>LM_LOLO_P_LubeOilASideETCs</t>
  </si>
  <si>
    <t>P_FuelCRBankASaSy</t>
  </si>
  <si>
    <t>P_FuelCRBankBSaSy</t>
  </si>
  <si>
    <t>LM_LO_P_FuelCRSaSy</t>
  </si>
  <si>
    <t>ST_LO_P_FuelCRBankASaSy</t>
  </si>
  <si>
    <t>ST_LO_P_FuelCRBankBSaSy</t>
  </si>
  <si>
    <t>ST_TD_P_FuelCRBankA</t>
  </si>
  <si>
    <t>ST_TD_P_FuelCRBankB</t>
  </si>
  <si>
    <t>ST_AL_EIMEmergencyPS_Fail</t>
  </si>
  <si>
    <t>ST_HIHI_EngineOverspeedHW</t>
  </si>
  <si>
    <t>Cmd_TurnEngineLocal</t>
  </si>
  <si>
    <t>2.04</t>
  </si>
  <si>
    <t>Type 1 Var01+02 Ed_01_09_001</t>
  </si>
  <si>
    <t>Version von Ed01_08 auf Ed01_09 angehoben + Freigabe</t>
  </si>
  <si>
    <t>2.05</t>
  </si>
  <si>
    <t>R70 Dinge</t>
  </si>
  <si>
    <t>0050.024300.104.010.0</t>
  </si>
  <si>
    <t>0050.024300.204.010.0</t>
  </si>
  <si>
    <t>P_RawWaterECU</t>
  </si>
  <si>
    <t>LM_LO_P_RawWaterECU</t>
  </si>
  <si>
    <t>LM_LOLO_P_RawWaterECU</t>
  </si>
  <si>
    <t>0010.016101.010.010.0</t>
  </si>
  <si>
    <t>0010.016101.104.010.0</t>
  </si>
  <si>
    <t>0010.016101.114.010.0</t>
  </si>
  <si>
    <t>LM LOLO P-Raw Water</t>
  </si>
  <si>
    <t>R70</t>
  </si>
  <si>
    <t>GreenOcean 2 R70</t>
  </si>
  <si>
    <t>0010.075703.010.000.0</t>
  </si>
  <si>
    <t>InfoTextCPM</t>
  </si>
  <si>
    <t>0010.075704.010.000.0</t>
  </si>
  <si>
    <t>InfoTextESD</t>
  </si>
  <si>
    <t>Info Text CPM</t>
  </si>
  <si>
    <t>Info Text ESD</t>
  </si>
  <si>
    <t>SourceNode (2=ECU, 3=EMU, 31=EIM,              7 = CPM,             5 = ESD)</t>
  </si>
  <si>
    <t>MMSConfiguration5</t>
  </si>
  <si>
    <t>0010.080001.010.050.0</t>
  </si>
  <si>
    <t>MMS Configuration 5</t>
  </si>
  <si>
    <t>InjectionLimit0_120</t>
  </si>
  <si>
    <t>InjectionQuantity0_120</t>
  </si>
  <si>
    <t>ST_AL_RCSSpeedDemandDefect_I</t>
  </si>
  <si>
    <t>ActualTorque</t>
  </si>
  <si>
    <t>EngineStopActiveFeedback</t>
  </si>
  <si>
    <t>FuelConsumptActDIS</t>
  </si>
  <si>
    <t>FuelConsMeanTripDIS</t>
  </si>
  <si>
    <t>Doeksen Auftrag</t>
  </si>
  <si>
    <t>2.06</t>
  </si>
  <si>
    <t>2.07</t>
  </si>
  <si>
    <t>Geno R10 Dinge</t>
  </si>
  <si>
    <t>R80/R10</t>
  </si>
  <si>
    <t>T_ExhaustSCROutlet2</t>
  </si>
  <si>
    <t>0012.006201.010.010.0</t>
  </si>
  <si>
    <t>T-Exhaust SCR Outlet 2</t>
  </si>
  <si>
    <t>2.08</t>
  </si>
  <si>
    <t>R80/10 DEF renaming</t>
  </si>
  <si>
    <t>LM_HI_T_RAatPFM</t>
  </si>
  <si>
    <t>LM HI T-RA at PFM</t>
  </si>
  <si>
    <t>LM_LO_P_RAFilterOutAtPFM</t>
  </si>
  <si>
    <t>LM LO P-RA Filter Out at PFM</t>
  </si>
  <si>
    <t>LM_LO_T_RAatPFM</t>
  </si>
  <si>
    <t>LM LO T-RA at PFM</t>
  </si>
  <si>
    <t>P_RAFilterOutAtPFM</t>
  </si>
  <si>
    <t>P-RA Filter Out at PFM</t>
  </si>
  <si>
    <t>RA_Dosing_Approval</t>
  </si>
  <si>
    <t>RA Dosing Approval</t>
  </si>
  <si>
    <t>T_RAatPFM</t>
  </si>
  <si>
    <t>T-Reducing Agent at PFM</t>
  </si>
  <si>
    <t>RATankLevel_Norm</t>
  </si>
  <si>
    <t>RA Tank Level Norm</t>
  </si>
  <si>
    <t>LM LO RA Tank Level</t>
  </si>
  <si>
    <t>LM AL RA Tank Level Empty</t>
  </si>
  <si>
    <t>2.09</t>
  </si>
  <si>
    <t>ESD entfernt (InjectorWearRate)</t>
  </si>
  <si>
    <t>0010.007101.154.000.0</t>
  </si>
  <si>
    <t>LM_HI_P_StartAir</t>
  </si>
  <si>
    <t>LM HI P-Start Air</t>
  </si>
  <si>
    <t>LM HIHI P-Start Air</t>
  </si>
  <si>
    <t>LM_HIHI_P_StartAir</t>
  </si>
  <si>
    <t>0010.007101.164.000.0</t>
  </si>
  <si>
    <t>2.10</t>
  </si>
  <si>
    <t>Uboot Rückbau</t>
  </si>
  <si>
    <t>EngineSpeedDemandFeedback</t>
  </si>
  <si>
    <t>SpeedDemandAnalogInput</t>
  </si>
  <si>
    <t>not used in Geno</t>
  </si>
  <si>
    <t>Type 1 Var1 Ed_01_13</t>
  </si>
  <si>
    <t>2.11</t>
  </si>
  <si>
    <t>~266,836</t>
  </si>
  <si>
    <t>6030?</t>
  </si>
  <si>
    <t>6033?</t>
  </si>
  <si>
    <t>1.0223.016
1.5100.976 ECU9_2.4</t>
  </si>
  <si>
    <t>1.0222.015
1.5100.946 ECU9_2.4</t>
  </si>
  <si>
    <t>1.0222.016
1.5100.956 ECU9_2.4</t>
  </si>
  <si>
    <t>---</t>
  </si>
  <si>
    <t>1.2500.044
2.2010.123 ECU7 AIO 1.5</t>
  </si>
  <si>
    <t>1.0100.015
1.5100.896 ECU9_2.4</t>
  </si>
  <si>
    <t>1.0100.016
1.5100.906 ECU9_2.4</t>
  </si>
  <si>
    <t>1.0106.016
1.5100.326 ECU9_2.4</t>
  </si>
  <si>
    <t>1.0106.018
1.5100.336 ECU9_2.4</t>
  </si>
  <si>
    <t>1.0101.015
1.5100.726 ECU9_2.4</t>
  </si>
  <si>
    <t>1.0101.016
1.5100.736 ECU9_2.4</t>
  </si>
  <si>
    <t>1.0123.017
1.5100.126 ECU9_2.4</t>
  </si>
  <si>
    <t>1.0120.017
1.5100.766 ECU9_2.4</t>
  </si>
  <si>
    <t>1.0120.018
1.5100.776 ECU9_2.4</t>
  </si>
  <si>
    <t>1.0121.017
1.5100.146 ECU9_2.4</t>
  </si>
  <si>
    <t>1.0146.017
1.5100.166 ECU9_2.4</t>
  </si>
  <si>
    <t>1.0146.018
1.5100.176 ECU9_2.4</t>
  </si>
  <si>
    <t>1.0124.001</t>
  </si>
  <si>
    <t>1.0124.017
1.5100.826 ECU9_2.4</t>
  </si>
  <si>
    <t>1.0125.017
1.5100.986 ECU9_2.4</t>
  </si>
  <si>
    <t>1.0125.018
1.5100.996 ECU9_2.4</t>
  </si>
  <si>
    <t>1.0126.017
1.5100.366 ECU9_2.4</t>
  </si>
  <si>
    <t>1.0127.017
1.5100.386 ECU9_2.4</t>
  </si>
  <si>
    <t>1.0154.017
1.5100.876 ECU9_2.4</t>
  </si>
  <si>
    <t>1.0102.015
1.5100.536 ECU9_2.4</t>
  </si>
  <si>
    <t>1.0102.016
1.5100.546 ECU9_2.4</t>
  </si>
  <si>
    <t>1.3010.020
1.5100.226 ECU9_2.4</t>
  </si>
  <si>
    <t>1.3010.019
1.5100.246 ECU9_2.4</t>
  </si>
  <si>
    <t>1.0103.015
1.5100.086 ECU9_2.4</t>
  </si>
  <si>
    <t>1.0149.015
1.5100.106 ECU9_2.4</t>
  </si>
  <si>
    <t>1.0121.018
1.5100.156 ECU9_2.4</t>
  </si>
  <si>
    <t>1.3010.025
1.5100.236 ECU9_2.4</t>
  </si>
  <si>
    <t>1.3010.024
1.5100.256 ECU9_2.4</t>
  </si>
  <si>
    <t>1.0122.018
1.5100.606 ECU9_2.4</t>
  </si>
  <si>
    <t>1.0128.017</t>
  </si>
  <si>
    <t>1.0126.018
1.5100.376 ECU9_2.4</t>
  </si>
  <si>
    <t>1.0127.018
1.5100.396 ECU9_2.4</t>
  </si>
  <si>
    <t>2.0140.016
1.5101.266 ECU9_2.4</t>
  </si>
  <si>
    <t>2.0140.015
1.5101.276 ECU9_2.4</t>
  </si>
  <si>
    <t>2.0140.017
1.5101.286 ECU9_2.4</t>
  </si>
  <si>
    <t>2.0140.018
1.5101.296 ECU9_2.4</t>
  </si>
  <si>
    <t>1.0114.017
1.5100.516 ECU9_2.4</t>
  </si>
  <si>
    <t>1.0122.017
1.5100.596 ECU9_2.4</t>
  </si>
  <si>
    <t>1.0132.017
1.5101.076 ECU9_2.4</t>
  </si>
  <si>
    <t>1.3010.018
1.5100.266 ECU9_2.4</t>
  </si>
  <si>
    <t>1.3010.023
1.5100.276 ECU9_2.4</t>
  </si>
  <si>
    <t>1.3010.017
1.5100.286 ECU9_2.4</t>
  </si>
  <si>
    <t>1.3010.022
1.5100.296 ECU9_2.4</t>
  </si>
  <si>
    <t>1.0124.018
1.5100.836 ECU9_2.4</t>
  </si>
  <si>
    <t>1.1100.516</t>
  </si>
  <si>
    <t>1.1600.736</t>
  </si>
  <si>
    <t>1.0119.017
1.5100.506 ECU9_2.4</t>
  </si>
  <si>
    <t>1.0223.015
1.5100.966 ECU9_2.4</t>
  </si>
  <si>
    <t>1.0187.015
1.5100.066 ECU9_2.4</t>
  </si>
  <si>
    <t>1.0219.015
1.5100.916 ECU9_2.4</t>
  </si>
  <si>
    <t>1.0224.017
1.5101.006 ECU9_2.4</t>
  </si>
  <si>
    <t>1.0224.018
1.5101.016 ECU9_2.4</t>
  </si>
  <si>
    <t>1.0154.018
1.5100.886 ECU9_2.4</t>
  </si>
  <si>
    <t>1.0214.017
1.5100.866 ECU9_2.4</t>
  </si>
  <si>
    <t>1.0215.017
1.5100.616 ECU9_2.4</t>
  </si>
  <si>
    <t>1.0123.018
1.5100.136 ECU9_2.4</t>
  </si>
  <si>
    <t>1.0080.017
1.5100.576 ECU9_2.4</t>
  </si>
  <si>
    <t>1.0080.018
1.5100.586 ECU9_2.4</t>
  </si>
  <si>
    <t>1.0213.017
1.5100.466 ECU9_2.4</t>
  </si>
  <si>
    <t>1.0213.018
1.5100.476 ECU9_2.4</t>
  </si>
  <si>
    <t>1.0215.018
1.5100.626 ECU9_2.4</t>
  </si>
  <si>
    <t>1.0186.015
1.5100.626 ECU9_2.6</t>
  </si>
  <si>
    <t>1.0103.016
1.5100.096 ECU9_2.4</t>
  </si>
  <si>
    <t>1.1750.851</t>
  </si>
  <si>
    <t>1.1750.852</t>
  </si>
  <si>
    <t>1.1750.853</t>
  </si>
  <si>
    <t>1.0204.615
1.5101.206 ECU9_2.6
1.5102.086 ECU9_2.8</t>
  </si>
  <si>
    <t>1.0204.616
1.5101.216 ECU9_2.6
1.5102.096 ECU9_2.8</t>
  </si>
  <si>
    <t>1.0249.001</t>
  </si>
  <si>
    <t>1.5101.836</t>
  </si>
  <si>
    <t>1.5101.846</t>
  </si>
  <si>
    <t>1.0204.401</t>
  </si>
  <si>
    <t>10.0910.806</t>
  </si>
  <si>
    <t>2.2510.912</t>
  </si>
  <si>
    <t>2.0100.901</t>
  </si>
  <si>
    <t>2.0100.902</t>
  </si>
  <si>
    <t>2.1051.002</t>
  </si>
  <si>
    <t>2.2010.101</t>
  </si>
  <si>
    <t>2.1090.060</t>
  </si>
  <si>
    <t xml:space="preserve">     2.0123.901</t>
  </si>
  <si>
    <t>2.0120.911</t>
  </si>
  <si>
    <t>2.0120.912</t>
  </si>
  <si>
    <t xml:space="preserve">          </t>
  </si>
  <si>
    <t>2.0120.913</t>
  </si>
  <si>
    <t>2.0120.914</t>
  </si>
  <si>
    <t>2.7001.010</t>
  </si>
  <si>
    <t>2.2700.060</t>
  </si>
  <si>
    <t>1.0156.001</t>
  </si>
  <si>
    <t>2.2010.110</t>
  </si>
  <si>
    <t>2.8009.022</t>
  </si>
  <si>
    <t>2.0500.202</t>
  </si>
  <si>
    <t>2.1090.900</t>
  </si>
  <si>
    <t>2.7003.015</t>
  </si>
  <si>
    <t>2.0140.902</t>
  </si>
  <si>
    <t>2.0140.912</t>
  </si>
  <si>
    <t>1.1020.506</t>
  </si>
  <si>
    <t>2.2010.120</t>
  </si>
  <si>
    <t>2.2010.121</t>
  </si>
  <si>
    <t>2.1061.001</t>
  </si>
  <si>
    <t>2.1061.002</t>
  </si>
  <si>
    <t>2.2700.064</t>
  </si>
  <si>
    <t>1.8009.005</t>
  </si>
  <si>
    <t>2.7010.001</t>
  </si>
  <si>
    <t>2.1090.901</t>
  </si>
  <si>
    <t>2.1090.902</t>
  </si>
  <si>
    <t>2.3015.912</t>
  </si>
  <si>
    <t>1.4500.954</t>
  </si>
  <si>
    <t>2.0287.001</t>
  </si>
  <si>
    <t>2.2010.108</t>
  </si>
  <si>
    <t>1.1075.061</t>
  </si>
  <si>
    <t>1.1100.503</t>
  </si>
  <si>
    <t>1.1100.506</t>
  </si>
  <si>
    <t>1.1200.501</t>
  </si>
  <si>
    <t>1.1020.604</t>
  </si>
  <si>
    <t>1.1200.503</t>
  </si>
  <si>
    <t>1.1020.507</t>
  </si>
  <si>
    <t>1.1020.504</t>
  </si>
  <si>
    <t>1.1020.505</t>
  </si>
  <si>
    <t>1.1020.508</t>
  </si>
  <si>
    <t>1.1020.509</t>
  </si>
  <si>
    <t>1.1020.600</t>
  </si>
  <si>
    <t>1.1020.601</t>
  </si>
  <si>
    <t>1.1020.602</t>
  </si>
  <si>
    <t>1.1020.605</t>
  </si>
  <si>
    <t>1.1020.606</t>
  </si>
  <si>
    <t>1.1020.607</t>
  </si>
  <si>
    <t>1.1100.505</t>
  </si>
  <si>
    <t>1.0480.092</t>
  </si>
  <si>
    <t>2.1090.906</t>
  </si>
  <si>
    <t>1.0173.001</t>
  </si>
  <si>
    <t>1.0173.017</t>
  </si>
  <si>
    <t>1.2500.100</t>
  </si>
  <si>
    <t>1.0117.001</t>
  </si>
  <si>
    <t>2.0173.912</t>
  </si>
  <si>
    <t>2.2510.913</t>
  </si>
  <si>
    <t>1.1088.005</t>
  </si>
  <si>
    <t>1.1100.504</t>
  </si>
  <si>
    <t>1.1100.502</t>
  </si>
  <si>
    <t>1.1200.507</t>
  </si>
  <si>
    <t>1.1020.502</t>
  </si>
  <si>
    <t>2.2010.117</t>
  </si>
  <si>
    <t>2.1075.011</t>
  </si>
  <si>
    <t>2.0119.901</t>
  </si>
  <si>
    <t>1.1075.207</t>
  </si>
  <si>
    <t>2.0080.901</t>
  </si>
  <si>
    <t>2.0080.902</t>
  </si>
  <si>
    <t>2.7001.200</t>
  </si>
  <si>
    <t>2.1060.493</t>
  </si>
  <si>
    <t>1.0147.001</t>
  </si>
  <si>
    <t>1.0147.017
1.5100.206 ECU9_2.4</t>
  </si>
  <si>
    <t>1.0147.018
1.5100.216 ECU9_2.4</t>
  </si>
  <si>
    <t>1.1085.038</t>
  </si>
  <si>
    <t>1.1602.012
1.1602.093 ECU9_2.4</t>
  </si>
  <si>
    <t>1.1602.024</t>
  </si>
  <si>
    <t>1.1602.026</t>
  </si>
  <si>
    <t>1.1606.001</t>
  </si>
  <si>
    <t>1.1200.512</t>
  </si>
  <si>
    <t>1.1020.204</t>
  </si>
  <si>
    <t>10.0914.391</t>
  </si>
  <si>
    <t>2.8009.009</t>
  </si>
  <si>
    <t>2.1090.0**</t>
  </si>
  <si>
    <t>2.7000.005</t>
  </si>
  <si>
    <t>1.0107.015
1.5100.746 ECU9_2.4</t>
  </si>
  <si>
    <t>2.0152.901</t>
  </si>
  <si>
    <t>2.0151.911</t>
  </si>
  <si>
    <t>2.3012.911</t>
  </si>
  <si>
    <t>2.0104.911</t>
  </si>
  <si>
    <t>10.0920.067</t>
  </si>
  <si>
    <t>2.3012.912</t>
  </si>
  <si>
    <t>2.3013.932</t>
  </si>
  <si>
    <t>2.1051.001</t>
  </si>
  <si>
    <t>10.0920.080</t>
  </si>
  <si>
    <t>10.0920.088</t>
  </si>
  <si>
    <t>10.0920.098</t>
  </si>
  <si>
    <t>2.0153.901</t>
  </si>
  <si>
    <t>10.0920.105</t>
  </si>
  <si>
    <t>10.0920.106</t>
  </si>
  <si>
    <t>10.0920.107</t>
  </si>
  <si>
    <t>2.0140.911</t>
  </si>
  <si>
    <t>2.0159.901</t>
  </si>
  <si>
    <t>10.0920.179</t>
  </si>
  <si>
    <t>2.0126.912</t>
  </si>
  <si>
    <t>2.0127.912</t>
  </si>
  <si>
    <t>10.0920.301</t>
  </si>
  <si>
    <t>10.0920.302</t>
  </si>
  <si>
    <t>10.0920.303</t>
  </si>
  <si>
    <t>1.1602.949</t>
  </si>
  <si>
    <t>1.1602.950</t>
  </si>
  <si>
    <t>1.1602.122</t>
  </si>
  <si>
    <t>1.1602.086</t>
  </si>
  <si>
    <t>1.1600.042</t>
  </si>
  <si>
    <t>1.1600.079</t>
  </si>
  <si>
    <t>1.1600.108</t>
  </si>
  <si>
    <t>1.1600.109</t>
  </si>
  <si>
    <t>1.1600.110</t>
  </si>
  <si>
    <t>1.1600.112</t>
  </si>
  <si>
    <t>10.0920.915</t>
  </si>
  <si>
    <t>ZKP hinzu. Ungepflegte Tabellenblätter entfernt.
Freigabe für BVNG BL</t>
  </si>
  <si>
    <t>Errorcode 
Mapping</t>
  </si>
  <si>
    <t>2.12</t>
  </si>
  <si>
    <t>R90</t>
  </si>
  <si>
    <t>2.13</t>
  </si>
  <si>
    <t>BVNG R90/GLNG R20: Angleich Schnittstellenumfang</t>
  </si>
  <si>
    <t>2.14</t>
  </si>
  <si>
    <t>ESD MMS_InjectorWearActive PV 170164</t>
  </si>
  <si>
    <t>MMS_InjectorWearActive</t>
  </si>
  <si>
    <t>0010.002026.012.000.0</t>
  </si>
  <si>
    <t>Injector Wear Active</t>
  </si>
  <si>
    <t>P-Exhaust SCR Inlet 1</t>
  </si>
  <si>
    <t>LM HI P-Exhaust SCR Inlet 1</t>
  </si>
  <si>
    <t>LM HIHI P-Exhaust SCR Inlet 1</t>
  </si>
  <si>
    <t>P-Exhaust SCR Inlet 2</t>
  </si>
  <si>
    <t>LM HI P-Exhaust SCR Inlet 2</t>
  </si>
  <si>
    <t>LM HIHI P-Exhaust SCR Inlet 2</t>
  </si>
  <si>
    <t>0012.024424.010.000.0</t>
  </si>
  <si>
    <t>0012.024424.104.000.0</t>
  </si>
  <si>
    <t>0012.024424.114.000.0</t>
  </si>
  <si>
    <t>0012.024424.154.000.0</t>
  </si>
  <si>
    <t>0012.024424.164.000.0</t>
  </si>
  <si>
    <t>RA_Concentration</t>
  </si>
  <si>
    <t>LM_LO_RA_Concentration</t>
  </si>
  <si>
    <t>LM_LOLO_RA_Concentration</t>
  </si>
  <si>
    <t>LM_HI_RA_Concentration</t>
  </si>
  <si>
    <t>0012.006502.010.010.0</t>
  </si>
  <si>
    <t>0012.006502.154.010.0</t>
  </si>
  <si>
    <t>0012.006502.164.010.0</t>
  </si>
  <si>
    <t>P_ExhaustSCRInlet2</t>
  </si>
  <si>
    <t>LM_HI_P_ExhaustSCRInlet2</t>
  </si>
  <si>
    <t>LM_HIHI_P_ExhaustSCRInlet2</t>
  </si>
  <si>
    <t>0012.006500.010.010.0</t>
  </si>
  <si>
    <t>P_ExhaustDiffSCR2</t>
  </si>
  <si>
    <t>0012.006502.164.000.0</t>
  </si>
  <si>
    <t>LM_HIHI_P_ExhaustSCRInlet1</t>
  </si>
  <si>
    <t>0012.006502.154.000.0</t>
  </si>
  <si>
    <t>LM_HI_P_ExhaustSCRInlet1</t>
  </si>
  <si>
    <t>0012.006502.010.000.0</t>
  </si>
  <si>
    <t>P_ExhaustSCRInlet1</t>
  </si>
  <si>
    <t>2.15</t>
  </si>
  <si>
    <t>LM_HIHI_RA_Concentration</t>
  </si>
  <si>
    <t>0012.089000.010.000.0</t>
  </si>
  <si>
    <t>Reset Trip DEF Counter</t>
  </si>
  <si>
    <t>0012.024427.010.010.0</t>
  </si>
  <si>
    <t>ActualRAConsumption_ECU</t>
  </si>
  <si>
    <t>Actual RA Consumption</t>
  </si>
  <si>
    <t>MMS Name</t>
  </si>
  <si>
    <t>LM HI P-Exhaust Diff SCR 2</t>
  </si>
  <si>
    <t>LM HIHI P-Exhaust Diff SCR 2</t>
  </si>
  <si>
    <t>LM_HI_P_ExhaustDiffSCR2</t>
  </si>
  <si>
    <t>LM_HIHI_P_ExhaustDiffSCR2</t>
  </si>
  <si>
    <t>0012.006500.154.010.0</t>
  </si>
  <si>
    <t>0012.006500.164.010.0</t>
  </si>
  <si>
    <t>SmartAGN und fehlende Objekte hinzu</t>
  </si>
  <si>
    <t>Type 1 Var1 Ed_01_15</t>
  </si>
  <si>
    <t>2.16</t>
  </si>
  <si>
    <t>0010.000501.165.010.0</t>
  </si>
  <si>
    <t>P-Exhaust Diff. SCR 2</t>
  </si>
  <si>
    <t>0012.024428.013.000.0</t>
  </si>
  <si>
    <t>Cmd_ResetRAConsumption</t>
  </si>
  <si>
    <t>2.17</t>
  </si>
  <si>
    <t>RX: Nach PV-Index einsortiert und neue Objekte entspr. Verschoben</t>
  </si>
  <si>
    <t>#13619/#12947: Neue PVs für RA Verbrauchsanzeige: TX 110939, RX: 110683,110684</t>
  </si>
  <si>
    <t>TripRAConsumption</t>
  </si>
  <si>
    <t>0012.024428.010.000.0</t>
  </si>
  <si>
    <t>TotalRAConsumption</t>
  </si>
  <si>
    <t>0012.024429.010.000.0</t>
  </si>
  <si>
    <t>FB1Alarm</t>
  </si>
  <si>
    <t>ALPLight375</t>
  </si>
  <si>
    <t>InfoText</t>
  </si>
  <si>
    <t>1.2500.044
2.2010.123 
ECU7 AIO 1.5</t>
  </si>
  <si>
    <t>1.0100.015
1.5100.896 
ECU9_2.4</t>
  </si>
  <si>
    <t>ab IF Version</t>
  </si>
  <si>
    <t>ED1_15 (BL90)</t>
  </si>
  <si>
    <t>ED1_13 (BL80)</t>
  </si>
  <si>
    <t>ED1_11 (BL70)</t>
  </si>
  <si>
    <t>2.18</t>
  </si>
  <si>
    <r>
      <t xml:space="preserve">Spalte Uboot und Doeksen entfernt.
</t>
    </r>
    <r>
      <rPr>
        <b/>
        <sz val="11"/>
        <color theme="1"/>
        <rFont val="Calibri"/>
        <family val="2"/>
        <scheme val="minor"/>
      </rPr>
      <t>RX:</t>
    </r>
    <r>
      <rPr>
        <sz val="11"/>
        <color theme="1"/>
        <rFont val="Calibri"/>
        <family val="2"/>
        <scheme val="minor"/>
      </rPr>
      <t xml:space="preserve">
UBoot PVs entfernt: 110631, 110632, 110633, 110634, 110637, 110638, 110639, 110640, 110641, 112473, 112474, 112475, 112556, 112559, 900222, 900450, 900461, 900462, 900463, 900920, 900921, 900922, 900923, 900924, 900925
Doeksen: 109054, 110593, 116032, 116033 
</t>
    </r>
    <r>
      <rPr>
        <b/>
        <sz val="11"/>
        <color theme="1"/>
        <rFont val="Calibri"/>
        <family val="2"/>
        <scheme val="minor"/>
      </rPr>
      <t xml:space="preserve">TX: </t>
    </r>
    <r>
      <rPr>
        <sz val="11"/>
        <color theme="1"/>
        <rFont val="Calibri"/>
        <family val="2"/>
        <scheme val="minor"/>
      </rPr>
      <t xml:space="preserve">110920, 110928, 990450, 990465, 990466, 990467, 990468, 990469, </t>
    </r>
  </si>
  <si>
    <t>GreenOcean 2 R90</t>
  </si>
  <si>
    <t>Freigabe BVNG BL90 / GLNG 20</t>
  </si>
  <si>
    <t>2.19</t>
  </si>
  <si>
    <t>Farben gelöscht
#14269/#14273: LM HI/LOLO RA_Concentration (PV110712/110713) gedreht</t>
  </si>
  <si>
    <t>GreenOcean. Enfällt mit ECU 2.11 BT #14448</t>
  </si>
  <si>
    <t>Type 1 Var1 Ed_01_16</t>
  </si>
  <si>
    <t>#14269/#14273</t>
  </si>
  <si>
    <t>RA_dosing_release_SCRsys_F1</t>
  </si>
  <si>
    <t>T_RA_SUDU_1</t>
  </si>
  <si>
    <t>MonLim_T_RA_SUDU_HI1</t>
  </si>
  <si>
    <t>T_Exh_SCRsys_inl_F1</t>
  </si>
  <si>
    <t>T_Exh_SCRsys_outl_F1</t>
  </si>
  <si>
    <t>MonLim_T_Exh_SCRsys_max_HI1</t>
  </si>
  <si>
    <t>MonLim_T_Exh_SCRsys_max_HI2</t>
  </si>
  <si>
    <t>p_Exh_SCRsys_inl_F1</t>
  </si>
  <si>
    <t>MonLim_p_Exh_SCRsys_inl_HI1</t>
  </si>
  <si>
    <t>MonLim_p_Exh_SCRsys_inl_HI2</t>
  </si>
  <si>
    <t>dp_Exh_SCRsys_F1</t>
  </si>
  <si>
    <t>MonLim_dp_Exh_SCRsys_HI1</t>
  </si>
  <si>
    <t>MonLim_dp_Exh_SCRsys_HI2</t>
  </si>
  <si>
    <t>p_DosingAir_SMA_SUDU1</t>
  </si>
  <si>
    <t>p_RA_DU_1</t>
  </si>
  <si>
    <t>mt_RA_actual_SUDU1</t>
  </si>
  <si>
    <t>c_RA</t>
  </si>
  <si>
    <t>MonLim_c_RA_LO1</t>
  </si>
  <si>
    <t>MonLim_c_RA_HI1</t>
  </si>
  <si>
    <t>MonLim_c_RA_LO2</t>
  </si>
  <si>
    <t>MonLim_c_RA_HI2</t>
  </si>
  <si>
    <t>EGAT Bypass Pos Closed reached</t>
  </si>
  <si>
    <t>EGAT Bypass Pos Open reached</t>
  </si>
  <si>
    <t>EGAT_Full_Bypass_test_in_pro</t>
  </si>
  <si>
    <t>U_PowerSupply_SXU</t>
  </si>
  <si>
    <t>T_SXU</t>
  </si>
  <si>
    <t>Vt_RaConsumptionActual</t>
  </si>
  <si>
    <t>SXU_Info_Text</t>
  </si>
  <si>
    <t>B_Power_Reduction_Soon_SXU</t>
  </si>
  <si>
    <t>B_Security_Shutdown_Soon_SXU</t>
  </si>
  <si>
    <t>B_EGAT_FullBypassHandWheel_Engaged</t>
  </si>
  <si>
    <t>p_Exh_SCRsys_inl_F1_rdnt</t>
  </si>
  <si>
    <t>MonLim_T_RA_SUDU_LO1</t>
  </si>
  <si>
    <t>MonLim_p_RA_DU_LO1</t>
  </si>
  <si>
    <t>MonLim_p_RA_DU_HI1</t>
  </si>
  <si>
    <t>B_RA_dosing_release_EGAT_monitoring_F1</t>
  </si>
  <si>
    <t>B_RA_dosing_release_env_conds_F1</t>
  </si>
  <si>
    <t>Fault_state_1_SMA_SUDU1</t>
  </si>
  <si>
    <t>Fault_state_2_SMA_SUDU1</t>
  </si>
  <si>
    <t>Configuration1_EGAT_sys</t>
  </si>
  <si>
    <t>Configuration2_EGAT_sys</t>
  </si>
  <si>
    <t>Configuration3_EGAT_sys</t>
  </si>
  <si>
    <t>t_HC1_load_timer_F1</t>
  </si>
  <si>
    <t>t_HC2_load_timer_F1</t>
  </si>
  <si>
    <t>T_HC1_Load_Lim_F1</t>
  </si>
  <si>
    <t>T_HC2_Load_Lim_F1</t>
  </si>
  <si>
    <t>B_HC1_Load_in_progress_F1</t>
  </si>
  <si>
    <t>B_HC2_Load_in_progress_F1</t>
  </si>
  <si>
    <t>B_HC1_Rgn_necessary_F1</t>
  </si>
  <si>
    <t>B_HC2_Rgn_necessary_F1</t>
  </si>
  <si>
    <t>T_HC1_Rgn_Lim_F1</t>
  </si>
  <si>
    <t>T_HC2_Rgn_Lim_F1</t>
  </si>
  <si>
    <t>B_HC1_Rgn_T_reached_F1</t>
  </si>
  <si>
    <t>B_HC2_Rgn_T_reached_F1</t>
  </si>
  <si>
    <t>B_HC1_Rgn_in_progress_F1</t>
  </si>
  <si>
    <t>B_HC2_Rgn_in_progress_F1</t>
  </si>
  <si>
    <t>t_HC1_Rgn_remaining_F1</t>
  </si>
  <si>
    <t>t_HC2_Rgn_remaining_F1</t>
  </si>
  <si>
    <t>t_HC1_Load_Lim_HI1_F1</t>
  </si>
  <si>
    <t>t_HC1_Load_Lim_HI2_F1</t>
  </si>
  <si>
    <t>t_HC1_Load_Lim_HI3_F1</t>
  </si>
  <si>
    <t>t_HC2_Load_Lim_HI1_F1</t>
  </si>
  <si>
    <t>t_HC2_Load_Lim_HI2_F1</t>
  </si>
  <si>
    <t>t_HC2_Load_Lim_HI3_F1</t>
  </si>
  <si>
    <t>1.0721.012</t>
  </si>
  <si>
    <t>1.5101.996</t>
  </si>
  <si>
    <t>1.5101.206</t>
  </si>
  <si>
    <t>1.5101.216</t>
  </si>
  <si>
    <t>1.0238.001</t>
  </si>
  <si>
    <t>1.5101.856</t>
  </si>
  <si>
    <t>1.5101.866</t>
  </si>
  <si>
    <t>1.0721.015</t>
  </si>
  <si>
    <t>1.0721.013</t>
  </si>
  <si>
    <t>1.0721.011</t>
  </si>
  <si>
    <t>1.0243.001</t>
  </si>
  <si>
    <t>1.1755.012</t>
  </si>
  <si>
    <t>1.1755.014</t>
  </si>
  <si>
    <t>1.1755.013</t>
  </si>
  <si>
    <t>1.1755.015</t>
  </si>
  <si>
    <t>1.9920.012</t>
  </si>
  <si>
    <t>1.9920.013</t>
  </si>
  <si>
    <t>1.9920.033</t>
  </si>
  <si>
    <t>2.0140.101</t>
  </si>
  <si>
    <t>1.0132.101</t>
  </si>
  <si>
    <t>1.1750.301</t>
  </si>
  <si>
    <t>2.2010.003</t>
  </si>
  <si>
    <t>2.8009.042</t>
  </si>
  <si>
    <t>2.8009.041</t>
  </si>
  <si>
    <t>1.9920.035</t>
  </si>
  <si>
    <t>1.0239.001</t>
  </si>
  <si>
    <t>1.5101.986</t>
  </si>
  <si>
    <t>1.5102.006</t>
  </si>
  <si>
    <t>1.5102.016</t>
  </si>
  <si>
    <t>1.1702.719</t>
  </si>
  <si>
    <t>1.1702.713</t>
  </si>
  <si>
    <t>1.0721.045</t>
  </si>
  <si>
    <t>1.0721.048</t>
  </si>
  <si>
    <t>1.1731.005</t>
  </si>
  <si>
    <t>1.1731.025</t>
  </si>
  <si>
    <t>1.1731.011</t>
  </si>
  <si>
    <t>1.1731.031</t>
  </si>
  <si>
    <t>1.1731.001</t>
  </si>
  <si>
    <t>1.1731.021</t>
  </si>
  <si>
    <t>1.1731.004</t>
  </si>
  <si>
    <t>1.1731.024</t>
  </si>
  <si>
    <t>1.1731.012</t>
  </si>
  <si>
    <t>1.1731.032</t>
  </si>
  <si>
    <t>1.1731.003</t>
  </si>
  <si>
    <t>1.1731.023</t>
  </si>
  <si>
    <t>1.1731.022</t>
  </si>
  <si>
    <t>1.1731.002</t>
  </si>
  <si>
    <t>1.1731.009</t>
  </si>
  <si>
    <t>1.1731.029</t>
  </si>
  <si>
    <t>1.1731.010</t>
  </si>
  <si>
    <t>1.1731.030</t>
  </si>
  <si>
    <t>1.1731.006</t>
  </si>
  <si>
    <t>1.1731.007</t>
  </si>
  <si>
    <t>1.1731.008</t>
  </si>
  <si>
    <t>1.1731.026</t>
  </si>
  <si>
    <t>1.1731.027</t>
  </si>
  <si>
    <t>1.1731.028</t>
  </si>
  <si>
    <t>RA Dosing Release SCR F1</t>
  </si>
  <si>
    <t>T-Reducing Agent SUDU1</t>
  </si>
  <si>
    <t>LM HI T-Reducing Agent SUDU1</t>
  </si>
  <si>
    <t>P-Exhaust Diff. SCR</t>
  </si>
  <si>
    <t>LM HI P-Exhaust Diff. SCR</t>
  </si>
  <si>
    <t>LM HIHI P-Exhaust Diff. SCR</t>
  </si>
  <si>
    <t>P-DosingAir SUDU1</t>
  </si>
  <si>
    <t>P-RA  DU1</t>
  </si>
  <si>
    <t>Actual RA Volume</t>
  </si>
  <si>
    <t>g/h</t>
  </si>
  <si>
    <t>RA Concentration</t>
  </si>
  <si>
    <t>LM LO RA Concentration</t>
  </si>
  <si>
    <t>LM HI RA Concentration</t>
  </si>
  <si>
    <t>LM LOLO RA Concentration</t>
  </si>
  <si>
    <t>LM HIHI RA Concentration</t>
  </si>
  <si>
    <t>EGAT Bypass Position Closed reached</t>
  </si>
  <si>
    <t>EGAT Bypass Position Open reached</t>
  </si>
  <si>
    <t>FB_EGAT_BypassTestActive</t>
  </si>
  <si>
    <t>U-SXU</t>
  </si>
  <si>
    <t>T-SXU</t>
  </si>
  <si>
    <t>Info Text SXU</t>
  </si>
  <si>
    <t>Power Reduction Soon SXU</t>
  </si>
  <si>
    <t>Security Shutdown Soon SXU</t>
  </si>
  <si>
    <t>FB_EGAT_BypassHandWheel_Engaged</t>
  </si>
  <si>
    <t>P_ExhaustSCRInlet1_redundant</t>
  </si>
  <si>
    <t>LM_HI_P_RA_DU</t>
  </si>
  <si>
    <t>SCR_SystemReady</t>
  </si>
  <si>
    <t>SCR_EnvCondRelease</t>
  </si>
  <si>
    <t>EGAT_SystemFaultState1</t>
  </si>
  <si>
    <t>EGAT_SystemFaultState2</t>
  </si>
  <si>
    <t>SXU</t>
  </si>
  <si>
    <t>--</t>
  </si>
  <si>
    <t>?</t>
  </si>
  <si>
    <t>Querverweis
SXU / ECU</t>
  </si>
  <si>
    <t>SXU Slot</t>
  </si>
  <si>
    <t>Tx_1</t>
  </si>
  <si>
    <t>Tx_2</t>
  </si>
  <si>
    <t>Tx_3</t>
  </si>
  <si>
    <t>Tx_4</t>
  </si>
  <si>
    <t>Tx_5</t>
  </si>
  <si>
    <t>Tx_6</t>
  </si>
  <si>
    <t>Tx_7</t>
  </si>
  <si>
    <t>Tx_8</t>
  </si>
  <si>
    <t>Tx_9</t>
  </si>
  <si>
    <t>Tx_10</t>
  </si>
  <si>
    <t>Tx_11</t>
  </si>
  <si>
    <t>Tx_12</t>
  </si>
  <si>
    <t>Tx_13</t>
  </si>
  <si>
    <t>Tx_14</t>
  </si>
  <si>
    <t>Tx_15</t>
  </si>
  <si>
    <t>Tx_16</t>
  </si>
  <si>
    <t>Tx_17</t>
  </si>
  <si>
    <t>Tx_18</t>
  </si>
  <si>
    <t>Tx_19</t>
  </si>
  <si>
    <t>Tx_20</t>
  </si>
  <si>
    <t>Tx_21</t>
  </si>
  <si>
    <t>Tx_22</t>
  </si>
  <si>
    <t>Tx_23</t>
  </si>
  <si>
    <t>Tx_24</t>
  </si>
  <si>
    <t>Tx_25</t>
  </si>
  <si>
    <t>Tx_26</t>
  </si>
  <si>
    <t>Tx_28</t>
  </si>
  <si>
    <t>Tx_29</t>
  </si>
  <si>
    <t>Tx_35</t>
  </si>
  <si>
    <t>Tx_36</t>
  </si>
  <si>
    <t>Tx_31</t>
  </si>
  <si>
    <t>Tx_32</t>
  </si>
  <si>
    <t>Tx_37</t>
  </si>
  <si>
    <t>Tx_38</t>
  </si>
  <si>
    <t>Tx_39</t>
  </si>
  <si>
    <t>Tx_40</t>
  </si>
  <si>
    <t>Tx_41</t>
  </si>
  <si>
    <t>Tx_42</t>
  </si>
  <si>
    <t>Tx_43</t>
  </si>
  <si>
    <t>Tx_44</t>
  </si>
  <si>
    <t>Tx_45</t>
  </si>
  <si>
    <t>Tx_46</t>
  </si>
  <si>
    <t>Tx_47</t>
  </si>
  <si>
    <t>Tx_48</t>
  </si>
  <si>
    <t>Tx_49</t>
  </si>
  <si>
    <t>Tx_50</t>
  </si>
  <si>
    <t>Tx_51</t>
  </si>
  <si>
    <t>Tx_52</t>
  </si>
  <si>
    <t>Tx_53</t>
  </si>
  <si>
    <t>Tx_54</t>
  </si>
  <si>
    <t>Tx_55</t>
  </si>
  <si>
    <t>Tx_56</t>
  </si>
  <si>
    <t>Tx_57</t>
  </si>
  <si>
    <t>Tx_58</t>
  </si>
  <si>
    <t>Tx_60</t>
  </si>
  <si>
    <t>Tx_59</t>
  </si>
  <si>
    <t>Tx_61</t>
  </si>
  <si>
    <t>Tx_62</t>
  </si>
  <si>
    <t>Tx_63</t>
  </si>
  <si>
    <t>Tx_64</t>
  </si>
  <si>
    <t>Tx_65</t>
  </si>
  <si>
    <t>Tx_66</t>
  </si>
  <si>
    <t>Tx_67</t>
  </si>
  <si>
    <t>Tx_68</t>
  </si>
  <si>
    <t>Tx_69</t>
  </si>
  <si>
    <t>Tx_70</t>
  </si>
  <si>
    <t>SXUPowerSupply</t>
  </si>
  <si>
    <t>0012.024200.154.000.0</t>
  </si>
  <si>
    <t>0012.089203.154.000.0</t>
  </si>
  <si>
    <t>0012.089203.164.000.0</t>
  </si>
  <si>
    <t>Tx_72</t>
  </si>
  <si>
    <t>Tx_73</t>
  </si>
  <si>
    <t>Tx_74</t>
  </si>
  <si>
    <t>Tx_75</t>
  </si>
  <si>
    <t>Vt_RA_dosing_max_SMA_SUDU1</t>
  </si>
  <si>
    <t>t_HC1_Load_Lim_Rgn_necessary_F1</t>
  </si>
  <si>
    <t>t_HC2_Load_Lim_Rgn_necessary_F1</t>
  </si>
  <si>
    <t>EGAT_EmergByp_Position</t>
  </si>
  <si>
    <t>1.0721.072</t>
  </si>
  <si>
    <t>1.1731.013</t>
  </si>
  <si>
    <t>1.1731.014</t>
  </si>
  <si>
    <t>1.9920.043</t>
  </si>
  <si>
    <t>Cmd EGAT Bypass Test</t>
  </si>
  <si>
    <t>0012.058601.013.000.0</t>
  </si>
  <si>
    <t>0012.058600.013.000.0</t>
  </si>
  <si>
    <t>SCRExhaustHeaterState</t>
  </si>
  <si>
    <t>T_ExhaustSCRHeater1</t>
  </si>
  <si>
    <t>T_ExhaustSCRHeater2</t>
  </si>
  <si>
    <t>Cmd_AcknowledgeAllMMS</t>
  </si>
  <si>
    <t>0010.078006.013.000.0</t>
  </si>
  <si>
    <t>Alarm Acknowledge MMS</t>
  </si>
  <si>
    <t>SmartAGB BL100</t>
  </si>
  <si>
    <t>Level_RA_RA_tank_MonLim_LO</t>
  </si>
  <si>
    <t>Level_RA_RA_tank_MonLim_Empty</t>
  </si>
  <si>
    <t>#14458</t>
  </si>
  <si>
    <t>2.20</t>
  </si>
  <si>
    <t>Type 1 Var1 Ed_01_17</t>
  </si>
  <si>
    <t>-#14458: PV110723 + PV110724 hinzu
- BVNG Spalte gelöscht, da 0 Infogehalt</t>
  </si>
  <si>
    <t>Only PSG - SmartAGN</t>
  </si>
  <si>
    <t>LM HI P-Fuel Return</t>
  </si>
  <si>
    <t>LM HIHI P-Fuel Return</t>
  </si>
  <si>
    <t>LM HI P-Coolant</t>
  </si>
  <si>
    <t>LM HIHI P-Coolant</t>
  </si>
  <si>
    <t>P-Fuel Return</t>
  </si>
  <si>
    <t>LM HI P-DEF Filter Out at PDM</t>
  </si>
  <si>
    <t>#13158 
MMS_CR_504923</t>
  </si>
  <si>
    <t xml:space="preserve">#13158 </t>
  </si>
  <si>
    <t xml:space="preserve">P-Coolant Intercooler </t>
  </si>
  <si>
    <t xml:space="preserve">LM LO P-Coolant Intercooler </t>
  </si>
  <si>
    <t xml:space="preserve">LM LOLO P-Coolant Intercooler </t>
  </si>
  <si>
    <t>P-DEF DEF Doser 1</t>
  </si>
  <si>
    <t>P-DEF DEF Doser 2</t>
  </si>
  <si>
    <t>P-DEF DEF Doser 3</t>
  </si>
  <si>
    <t>P-DEF DEF Doser 4</t>
  </si>
  <si>
    <t>P-DEF DEF Doser 5</t>
  </si>
  <si>
    <t>P-DEF DEF Doser 6</t>
  </si>
  <si>
    <t>T_HcLoadStatus_Rgn_Threshold</t>
  </si>
  <si>
    <t>Level_HcLoadStatus</t>
  </si>
  <si>
    <t>t_HcLowLoad_Remain_forecast</t>
  </si>
  <si>
    <t>min</t>
  </si>
  <si>
    <t>t_HcLowLoad_Remain_minimal</t>
  </si>
  <si>
    <t>t_HcRgnFinished_Remain</t>
  </si>
  <si>
    <t>En_HcLoadStatus</t>
  </si>
  <si>
    <t>T_HcLoadStatus</t>
  </si>
  <si>
    <t>MonLim_T_Exh_SCRsys_inl_F1_Hi3</t>
  </si>
  <si>
    <t>#14347</t>
  </si>
  <si>
    <t>#12902</t>
  </si>
  <si>
    <t>#13989</t>
  </si>
  <si>
    <t>#14588 SmartAGN</t>
  </si>
  <si>
    <t>- #13158  P-Fuel Return hinzu (PV110715 -719)
- #14347: PVs für SCR HC Schwachlast und Regenerationszähler 2000M97
- #14588: SXU/SmartAGN Messstellen hinzu</t>
  </si>
  <si>
    <t>RA_Dosing_ApprovalSXU</t>
  </si>
  <si>
    <t>T_RAatPFMSXU</t>
  </si>
  <si>
    <t>LM_HI_T_RAatPFMSXU</t>
  </si>
  <si>
    <t>T_ExhaustSCRInlet1SXU</t>
  </si>
  <si>
    <t>T_ExhaustSCROutlet1SXU</t>
  </si>
  <si>
    <t>LM_HI_T_ExhaustSCRSXU</t>
  </si>
  <si>
    <t>LM_HIHI_T_ExhaustSCRSXU</t>
  </si>
  <si>
    <t>P_ExhaustSCRInlet1SXU</t>
  </si>
  <si>
    <t>LM_HI_P_ExhaustSCRInlet1SXU</t>
  </si>
  <si>
    <t>LM_HIHI_P_ExhaustSCRInlet1SXU</t>
  </si>
  <si>
    <t>P_ExhaustDiffSCR1SXU</t>
  </si>
  <si>
    <t>LM_HI_P_ExhaustDiffSCR1SXU</t>
  </si>
  <si>
    <t>LM_HIHI_P_ExhaustDiffSCR1SXU</t>
  </si>
  <si>
    <t>P_DosingAirSUDU1SXU</t>
  </si>
  <si>
    <t>P_RAFilterOutAtPFMSXU</t>
  </si>
  <si>
    <t>ActualRAVolumeSXU</t>
  </si>
  <si>
    <t>RA_ConcentrationSXU</t>
  </si>
  <si>
    <t>LM_LO_RA_ConcentrationSXU</t>
  </si>
  <si>
    <t>LM_HI_RA_ConcentrationSXU</t>
  </si>
  <si>
    <t>LM_LOLO_RA_ConcentrationSXU</t>
  </si>
  <si>
    <t>LM_HIHI_RA_ConcentrationSXU</t>
  </si>
  <si>
    <t>FB_EGAT_Bypass_PositionClosedReachedSXU</t>
  </si>
  <si>
    <t>FB_EGAT_Bypass_PositionOpenReachedSXU</t>
  </si>
  <si>
    <t>FB_EGAT_BypassTestActiveSXU</t>
  </si>
  <si>
    <t>ActualRAConsumptionSXU</t>
  </si>
  <si>
    <t>InfoTextSXUSXU</t>
  </si>
  <si>
    <t>SXUPowerLimitationExpectedSXU</t>
  </si>
  <si>
    <t>SXUSecurityShutdownExpectedSXU</t>
  </si>
  <si>
    <t>EGAT Bypass Handwheel EngageSXU</t>
  </si>
  <si>
    <t>P_ExhaustSCRInlet1_redundantSXU</t>
  </si>
  <si>
    <t>LM_LO_T_RAatPFMSXU</t>
  </si>
  <si>
    <t>LM_HI_P_RA_DUSXU</t>
  </si>
  <si>
    <t>SCR_SystemReadySXU</t>
  </si>
  <si>
    <t>SCR_EnvCondReleaseSXU</t>
  </si>
  <si>
    <t>EGAT_SystemFaultState1SXU</t>
  </si>
  <si>
    <t>EGAT_SystemFaultState2SXU</t>
  </si>
  <si>
    <t>EGAT_Configuration1SXU</t>
  </si>
  <si>
    <t>EGAT_Configuration2SXU</t>
  </si>
  <si>
    <t>EGAT_Configuration3SXU</t>
  </si>
  <si>
    <t>SCRHC1_DepositionCounterSXU</t>
  </si>
  <si>
    <t>SCRHC2_DepositionCounterSXU</t>
  </si>
  <si>
    <t>SCRHC1_DepositionTemperatueSXU</t>
  </si>
  <si>
    <t>SCRHC2_DepositionTemperatueSXU</t>
  </si>
  <si>
    <t>SCRHC1_DepositionActiveSXU</t>
  </si>
  <si>
    <t>SCRHC2_DepositionActiveSXU</t>
  </si>
  <si>
    <t>SCRHC1_RegenerationRequestedSXU</t>
  </si>
  <si>
    <t>SCRHC2_RegenerationRequestedSXU</t>
  </si>
  <si>
    <t>SCRHC1_RegenMinTemperatueSXU</t>
  </si>
  <si>
    <t>SCRHC2_RegenMinTemperatueSXU</t>
  </si>
  <si>
    <t>SCRHC1_RegenTemperatueReachedSXU</t>
  </si>
  <si>
    <t>SCRHC2_RegenTemperatueReachedSXU</t>
  </si>
  <si>
    <t>SCRHC1_RegenerationActiveSXU</t>
  </si>
  <si>
    <t>SCRHC2_RegenerationActiveSXU</t>
  </si>
  <si>
    <t>SCRHC1_RemainTimeBeforeRegenSXU</t>
  </si>
  <si>
    <t>SCRHC2_RemainTimeBeforeRegenSXU</t>
  </si>
  <si>
    <t>SCRHC1_ExpectedRegenTimeSXU</t>
  </si>
  <si>
    <t>LM_HI_SCR_HC1_DepositionSXU</t>
  </si>
  <si>
    <t>LM_HIHI_SCR_HC1_DepositionSXU</t>
  </si>
  <si>
    <t>LM_HIHIHI_SCR_HC1_DepositionSXU</t>
  </si>
  <si>
    <t>LM_HI_SCR_HC2_DepositionSXU</t>
  </si>
  <si>
    <t>LM_HIHI_SCR_HC2_DepositionSXU</t>
  </si>
  <si>
    <t>LM_HIHIHI_SCR_HC2_DepositionSXU</t>
  </si>
  <si>
    <t>MaxRAConsumptionSXU</t>
  </si>
  <si>
    <t>1.4460.002</t>
  </si>
  <si>
    <t>1.4460.003</t>
  </si>
  <si>
    <t>1.4460.004</t>
  </si>
  <si>
    <t>0012.024407.010.000.0</t>
  </si>
  <si>
    <t>0012.024408.010.000.0</t>
  </si>
  <si>
    <t>0012.024409.010.000.0</t>
  </si>
  <si>
    <t>0012.024410.010.000.0</t>
  </si>
  <si>
    <t>0012.024411.010.000.0</t>
  </si>
  <si>
    <t>0012.024412.010.000.0</t>
  </si>
  <si>
    <t>P_RADoser1</t>
  </si>
  <si>
    <t>P_RADoser2</t>
  </si>
  <si>
    <t>P_RADoser3</t>
  </si>
  <si>
    <t>P_RADoser4</t>
  </si>
  <si>
    <t>P_RADoser5</t>
  </si>
  <si>
    <t>P_RADoser6</t>
  </si>
  <si>
    <t>0010.020107.154.000.0</t>
  </si>
  <si>
    <t>LM_HI_P_FuelReturnPath</t>
  </si>
  <si>
    <t>LM_HIHI_P_FuelReturnPath</t>
  </si>
  <si>
    <t>0010.015101.164.000.0</t>
  </si>
  <si>
    <t>LM_HIHI_P_Coolant</t>
  </si>
  <si>
    <t>0010.015101.154.000.0</t>
  </si>
  <si>
    <t>LM_HI_P_Coolant</t>
  </si>
  <si>
    <t>0010.020107.010.000.0</t>
  </si>
  <si>
    <t>P_FuelReturnPath</t>
  </si>
  <si>
    <t>Level_HI1_HcLoadStatus</t>
  </si>
  <si>
    <t>Level_HI2_HcLoadStatus</t>
  </si>
  <si>
    <t>Level_Notice_HcLoadStatus</t>
  </si>
  <si>
    <t>MonLim_p_Coolant_Intercooler_HI2</t>
  </si>
  <si>
    <t>MonLim_p_Coolant_Intercooler_HI1</t>
  </si>
  <si>
    <t>LM_HI_SCR_HC1_DepositionECU</t>
  </si>
  <si>
    <t>LM_HIHI_SCR_HC1_DepositionECU</t>
  </si>
  <si>
    <t>0012.089203.234.000.0</t>
  </si>
  <si>
    <t>LM_SCR_HC1_RegenerationECU</t>
  </si>
  <si>
    <t>0012.089203.010.100.0</t>
  </si>
  <si>
    <t>0012.089212.014.000.0</t>
  </si>
  <si>
    <t>SCRHC_RemainTimeBefRegenECU</t>
  </si>
  <si>
    <t>0012.089213.014.000.0</t>
  </si>
  <si>
    <t>0012.006200.010.001.0</t>
  </si>
  <si>
    <t>T_Exhaust_SCRHCLoad_ECU</t>
  </si>
  <si>
    <t>0012.089203.012.340.0</t>
  </si>
  <si>
    <t>SCRHC_RegenMinTemperatueECU</t>
  </si>
  <si>
    <t>0012.089203.012.380.0</t>
  </si>
  <si>
    <t>SCRHC_ExpectedRegenTimeECU</t>
  </si>
  <si>
    <t>0012.006200.174.000.0</t>
  </si>
  <si>
    <t>LM_HIHIHI_T_ExhaustSCRECU</t>
  </si>
  <si>
    <t>0012.058603.010.000.0</t>
  </si>
  <si>
    <t>0050.024300.104.020.0</t>
  </si>
  <si>
    <t>LM_LO_RATankLevelECU</t>
  </si>
  <si>
    <t>0050.024300.204.020.0</t>
  </si>
  <si>
    <t>LM_AL_RATankEmptyECU</t>
  </si>
  <si>
    <t>0012.089203.010.400.0</t>
  </si>
  <si>
    <t>0012.089204.010.400.0</t>
  </si>
  <si>
    <t>0012.089203.010.410.0</t>
  </si>
  <si>
    <t>0012.089204.010.410.0</t>
  </si>
  <si>
    <t>0012.089203.012.420.0</t>
  </si>
  <si>
    <t>0012.089204.012.420.0</t>
  </si>
  <si>
    <t>0012.089203.012.430.0</t>
  </si>
  <si>
    <t>0012.089204.012.430.0</t>
  </si>
  <si>
    <t>0012.089203.012.440.0</t>
  </si>
  <si>
    <t>0012.089204.012.440.0</t>
  </si>
  <si>
    <t>0012.089203.012.450.0</t>
  </si>
  <si>
    <t>0012.089204.012.450.0</t>
  </si>
  <si>
    <t>0012.089203.012.460.0</t>
  </si>
  <si>
    <t>0012.089204.012.460.0</t>
  </si>
  <si>
    <t>0012.089203.012.470.0</t>
  </si>
  <si>
    <t>0012.089204.012.470.0</t>
  </si>
  <si>
    <t>0012.089203.012.480.0</t>
  </si>
  <si>
    <t>0012.089204.012.480.0</t>
  </si>
  <si>
    <t>0012.089203.154.400.0</t>
  </si>
  <si>
    <t>0012.089203.164.400.0</t>
  </si>
  <si>
    <t>0012.089203.174.400.0</t>
  </si>
  <si>
    <t>0012.089204.154.400.0</t>
  </si>
  <si>
    <t>0012.089204.164.400.0</t>
  </si>
  <si>
    <t>0012.089204.174.400.0</t>
  </si>
  <si>
    <t>0012.058603.010.400.0</t>
  </si>
  <si>
    <t>EGAT_Bypass_PositionSXU</t>
  </si>
  <si>
    <t>0012.024400.010.400.0</t>
  </si>
  <si>
    <t>0012.006200.010.400.0</t>
  </si>
  <si>
    <t>0012.006201.010.400.0</t>
  </si>
  <si>
    <t>0012.006200.154.400.0</t>
  </si>
  <si>
    <t>0012.006200.164.400.0</t>
  </si>
  <si>
    <t>0012.006502.010.400.0</t>
  </si>
  <si>
    <t>0012.006502.154.400.0</t>
  </si>
  <si>
    <t>0012.006502.164.400.0</t>
  </si>
  <si>
    <t>0012.006500.010.400.0</t>
  </si>
  <si>
    <t>0012.006500.154.400.0</t>
  </si>
  <si>
    <t>0012.006500.164.400.0</t>
  </si>
  <si>
    <t>0012.010200.010.400.0</t>
  </si>
  <si>
    <t>0012.024200.010.400.0</t>
  </si>
  <si>
    <t>0012.024427.010.400.0</t>
  </si>
  <si>
    <t>0012.024424.010.400.0</t>
  </si>
  <si>
    <t>0012.024424.104.400.0</t>
  </si>
  <si>
    <t>0012.024424.154.400.0</t>
  </si>
  <si>
    <t>0012.024424.114.400.0</t>
  </si>
  <si>
    <t>0012.024424.164.400.0</t>
  </si>
  <si>
    <t>0012.058600.010.400.0</t>
  </si>
  <si>
    <t>0012.058600.010.410.0</t>
  </si>
  <si>
    <t>0012.058601.010.400.0</t>
  </si>
  <si>
    <t>0012.050101.010.400.0</t>
  </si>
  <si>
    <t>0012.057300.010.400.0</t>
  </si>
  <si>
    <t>0012.024427.010.410.0</t>
  </si>
  <si>
    <t>0012.075700.010.400.0</t>
  </si>
  <si>
    <t>0012.043101.010.410.0</t>
  </si>
  <si>
    <t>0012.043102.010.410.0</t>
  </si>
  <si>
    <t>0012.058602.010.400.0</t>
  </si>
  <si>
    <t>0012.006503.010.410.0</t>
  </si>
  <si>
    <t>0012.024200.104.400.0</t>
  </si>
  <si>
    <t>0012.089200.010.400.0</t>
  </si>
  <si>
    <t>0012.089201.010.400.0</t>
  </si>
  <si>
    <t>0012.089100.010.400.0</t>
  </si>
  <si>
    <t>0012.089100.010.410.0</t>
  </si>
  <si>
    <t>0010.080004.010.410.0</t>
  </si>
  <si>
    <t>0010.080004.010.420.0</t>
  </si>
  <si>
    <t>0010.080004.010.430.0</t>
  </si>
  <si>
    <t>0012.024427.154.400.0</t>
  </si>
  <si>
    <t>LM_LO_P_RA_DUSXU</t>
  </si>
  <si>
    <t>0012.024200.154.400.0</t>
  </si>
  <si>
    <t>0010.015104.010.000.0</t>
  </si>
  <si>
    <t>P_CoolantIntercooler</t>
  </si>
  <si>
    <t>0010.015104.104.000.0</t>
  </si>
  <si>
    <t>LM_LO_P_CoolantIntercooler</t>
  </si>
  <si>
    <t>0010.015104.114.000.0</t>
  </si>
  <si>
    <t>LM_LOLO_P_CoolantIntercooler</t>
  </si>
  <si>
    <t>ED1_17 (GLNG_BL30)</t>
  </si>
  <si>
    <t>0010.087214.010.000.0</t>
  </si>
  <si>
    <t>0010.087213.010.000.0</t>
  </si>
  <si>
    <t>CPMPowerLimitationExpected</t>
  </si>
  <si>
    <t>CPMSecurityShutdownExpected</t>
  </si>
  <si>
    <t>LM_HIHI_P_ChargeAirB</t>
  </si>
  <si>
    <t>0010.008101.164.020.0</t>
  </si>
  <si>
    <t>Ed1.17: Fehlte in der Spez.</t>
  </si>
  <si>
    <t>BL100 #14588:</t>
  </si>
  <si>
    <t>GasMobil, doppelt vorhanden! Wird auch durch 110717 empfangen!</t>
  </si>
  <si>
    <t>0010.015104.164.000.0</t>
  </si>
  <si>
    <t>LM_HIHI_P_CoolantIntercooler</t>
  </si>
  <si>
    <t>0010.015104.154.000.0</t>
  </si>
  <si>
    <t>LM_HI_P_CoolantIntercooler</t>
  </si>
  <si>
    <t>LM_SCR_HC1_RegenerationSXU</t>
  </si>
  <si>
    <t>LM_SCR_HC2_RegenerationSXU</t>
  </si>
  <si>
    <t>2.21</t>
  </si>
  <si>
    <t>0012.089203.234.400.0</t>
  </si>
  <si>
    <t>0012.089204.234.400.0</t>
  </si>
  <si>
    <t>EGAT_SystemState_MMS</t>
  </si>
  <si>
    <t>SCRHC2_ExpectedRegenTimeSXU</t>
  </si>
  <si>
    <t>LM_AL_RATankEmptyTx</t>
  </si>
  <si>
    <t>LM_LO_RATankLevelTx</t>
  </si>
  <si>
    <t>0012.089203.010.090.0</t>
  </si>
  <si>
    <t>SCRHC_DepositionLevelECU</t>
  </si>
  <si>
    <t>#13419</t>
  </si>
  <si>
    <t>1.1602.198</t>
  </si>
  <si>
    <t>1.1602.094</t>
  </si>
  <si>
    <t>TM Status</t>
  </si>
  <si>
    <t>Anforderung Regeneration</t>
  </si>
  <si>
    <t>0010.057600.010.000.0</t>
  </si>
  <si>
    <t>ThermomanagmentState</t>
  </si>
  <si>
    <t>ThermomanagmentRequest</t>
  </si>
  <si>
    <t>EGAT_Bypass_PositionECU</t>
  </si>
  <si>
    <t>0012.024100.010.400.0</t>
  </si>
  <si>
    <t>0012.024100.154.400.0</t>
  </si>
  <si>
    <t>0012.024100.104.400.0</t>
  </si>
  <si>
    <t>0010.057601.010.000.0</t>
  </si>
  <si>
    <t>SCRHC_DepositionStateECU</t>
  </si>
  <si>
    <t>LM_HI_P_RAFilterOutAtPFM</t>
  </si>
  <si>
    <t>0012.089200.010.000.0</t>
  </si>
  <si>
    <t>0012.006203.010.000.0</t>
  </si>
  <si>
    <t>0012.006203.010.010.0</t>
  </si>
  <si>
    <t>0010.020107.164.000.0</t>
  </si>
  <si>
    <t>0010.015101.154.010.0</t>
  </si>
  <si>
    <t>t_HC1_Rgn_necessary_F1</t>
  </si>
  <si>
    <t>t_HC2_Rgn_necessary_F1</t>
  </si>
  <si>
    <t>ST_LOLO_P_FuelafterFilter</t>
  </si>
  <si>
    <t>0010.020101.115.000.0</t>
  </si>
  <si>
    <t>LOLO P-Fuel</t>
  </si>
  <si>
    <t xml:space="preserve">#14588 SmartAGN ECU4 </t>
  </si>
  <si>
    <t>ST_HI_P_ChargeAir</t>
  </si>
  <si>
    <t>0010.008101.155.000.0</t>
  </si>
  <si>
    <t>HI P-Charge Air (a)</t>
  </si>
  <si>
    <t>#14588 SmartAGN ECU4</t>
  </si>
  <si>
    <t>ST_HI_P_LubeOilFilterDiff</t>
  </si>
  <si>
    <t>0010.025103.155.000.0</t>
  </si>
  <si>
    <t>HI P-Oil Filter Difference</t>
  </si>
  <si>
    <t>ST_LO_CoolantLevel</t>
  </si>
  <si>
    <t>0010.015301.105.000.0</t>
  </si>
  <si>
    <t>LO Coolant Level</t>
  </si>
  <si>
    <t>ST_HI_FuelLeakageLevel</t>
  </si>
  <si>
    <t>0010.020301.155.000.0</t>
  </si>
  <si>
    <t>HI Fuel Leakage</t>
  </si>
  <si>
    <t>ST_HI_ETC1Speed</t>
  </si>
  <si>
    <t>0010.056001.155.010.0</t>
  </si>
  <si>
    <t>ST_HIHI_ETC1Speed</t>
  </si>
  <si>
    <t>0010.056001.165.010.0</t>
  </si>
  <si>
    <t>HIHI ETC 1 Overspeed</t>
  </si>
  <si>
    <t>ST_LO_ECUPS_Voltage</t>
  </si>
  <si>
    <t>0010.050101.105.000.0</t>
  </si>
  <si>
    <t>LO ECU Power Supply Voltage</t>
  </si>
  <si>
    <t>ST_HI_ECUPS_Voltage</t>
  </si>
  <si>
    <t>0010.050101.155.000.0</t>
  </si>
  <si>
    <t>HI ECU Power Supply Voltage</t>
  </si>
  <si>
    <t>ST_HI_T_Coolant</t>
  </si>
  <si>
    <t>0010.015201.155.000.0</t>
  </si>
  <si>
    <t>HI T-Coolant (ECU)</t>
  </si>
  <si>
    <t>ST_HIHI_T_Coolant</t>
  </si>
  <si>
    <t>0010.015201.165.000.0</t>
  </si>
  <si>
    <t>HIHI T-Coolant (ECU)</t>
  </si>
  <si>
    <t>ST_HI_T_ChargeAir</t>
  </si>
  <si>
    <t>0010.008201.155.000.0</t>
  </si>
  <si>
    <t>HI T-Charge Air</t>
  </si>
  <si>
    <t>ST_HI_T_LubeOil</t>
  </si>
  <si>
    <t>0010.025201.155.000.0</t>
  </si>
  <si>
    <t>HI T-Lube Oil</t>
  </si>
  <si>
    <t>ST_HIHI_T_LubeOil</t>
  </si>
  <si>
    <t>0010.025201.165.000.0</t>
  </si>
  <si>
    <t>HIHI T-Lube Oil</t>
  </si>
  <si>
    <t>ST_HI_T_ExhaustCombinedA</t>
  </si>
  <si>
    <t>0010.006401.155.010.0</t>
  </si>
  <si>
    <t>HI T-Exhaust Combined A</t>
  </si>
  <si>
    <t>ST_HI_T_ExhaustCombinedB</t>
  </si>
  <si>
    <t>0010.006401.155.020.0</t>
  </si>
  <si>
    <t>HI T-Exhaust Combined B</t>
  </si>
  <si>
    <t>ST_HIHI_T_ChargeAir</t>
  </si>
  <si>
    <t>0010.008201.165.000.0</t>
  </si>
  <si>
    <t>HIHI T-Charge Air</t>
  </si>
  <si>
    <t>ST_HI_T_ECU</t>
  </si>
  <si>
    <t>0010.057304.155.000.0</t>
  </si>
  <si>
    <t>HI T-ECU</t>
  </si>
  <si>
    <t>ST_LOLO_EngineSpeed</t>
  </si>
  <si>
    <t>0010.000501.115.000.0</t>
  </si>
  <si>
    <t>ST_AL_CheckECUErrorCode</t>
  </si>
  <si>
    <t>AL ECU Error/ Check Error Code</t>
  </si>
  <si>
    <t>ST_HIHI_T_Fuel</t>
  </si>
  <si>
    <t>0010.020201.165.000.0</t>
  </si>
  <si>
    <t>HIHI T-Fuel</t>
  </si>
  <si>
    <t>ST_LOLO_ECUPS_Voltage</t>
  </si>
  <si>
    <t>0010.050101.115.000.0</t>
  </si>
  <si>
    <t>LOLO ECU Power Supply Voltage</t>
  </si>
  <si>
    <t>ST_HIHI_ECUPS_Voltage</t>
  </si>
  <si>
    <t>0010.050101.165.000.0</t>
  </si>
  <si>
    <t>HIHI ECU Power Supply Voltage</t>
  </si>
  <si>
    <t>ST_HIHI_T_ExhaustCombinedA</t>
  </si>
  <si>
    <t>0010.006401.165.010.0</t>
  </si>
  <si>
    <t>HIHI T-Exhaust Combined A</t>
  </si>
  <si>
    <t>ST_HIHI_T_ExhaustCombinedB</t>
  </si>
  <si>
    <t>0010.006401.165.020.0</t>
  </si>
  <si>
    <t>HIHI T-Exhaust Combined B</t>
  </si>
  <si>
    <t>ST_HI_T_Fuel</t>
  </si>
  <si>
    <t>0010.020201.155.000.0</t>
  </si>
  <si>
    <t>HI T-Fuel</t>
  </si>
  <si>
    <t>ST_AL_MCROverload</t>
  </si>
  <si>
    <t>0010.002501.205.000.0</t>
  </si>
  <si>
    <t>AL MCR Overload</t>
  </si>
  <si>
    <t>ST_HIHI_EngineOverspeed</t>
  </si>
  <si>
    <t>0010.000501.165.000.0</t>
  </si>
  <si>
    <t>ED1_18 (BVNG_BL100)</t>
  </si>
  <si>
    <t>Type 1 Var1 Ed_01_18</t>
  </si>
  <si>
    <t>- SXU: Mapping war verdreht: 180061 und 180062 sind "remain time until regeneratiopn is completed". 180063 und 180064 "Rest time HC1 until regeneration HC1 necessary (triggertime HC1-HC1 counter time)"
-ECU4 PV Alarme hinzu
- Version auf Ed01_18 erhöht, da FSW 2.2 mit GLNG BL30 schon in Freigabe ist</t>
  </si>
  <si>
    <t>1.1751.031</t>
  </si>
  <si>
    <t>1.1751.032</t>
  </si>
  <si>
    <t>1.4460.001</t>
  </si>
  <si>
    <t>1.4452.001</t>
  </si>
  <si>
    <t>1.4452.002</t>
  </si>
  <si>
    <t>1.4452.003</t>
  </si>
  <si>
    <t>1.4452.004</t>
  </si>
  <si>
    <t>1.4452.005</t>
  </si>
  <si>
    <t>1.4452.006</t>
  </si>
  <si>
    <t>1.5102.886</t>
  </si>
  <si>
    <t>SS Overspeed (ECU)</t>
  </si>
  <si>
    <t>LO P-Lube Oil (ECU)</t>
  </si>
  <si>
    <t>LOLO P-Lube Oil (ECU)</t>
  </si>
  <si>
    <t>LO P-Coolant</t>
  </si>
  <si>
    <t>LOLO P-Coolant</t>
  </si>
  <si>
    <t>LO P-Fuel</t>
  </si>
  <si>
    <t>SS Engine Speed too low</t>
  </si>
  <si>
    <t>0010.025101.105.000.0</t>
  </si>
  <si>
    <t>0010.025101.115.000.0</t>
  </si>
  <si>
    <t>0010.015101.105.000.0</t>
  </si>
  <si>
    <t>0010.015101.115.000.0</t>
  </si>
  <si>
    <t>0010.020101.105.000.0</t>
  </si>
  <si>
    <t>0010.000604.205.000.0</t>
  </si>
  <si>
    <t>0010.000610.205.010.0</t>
  </si>
  <si>
    <t>HI ETC 1 Overspeed</t>
  </si>
  <si>
    <t>#14588 SmartAGN ECU4. Fehlt in 5000/A155</t>
  </si>
  <si>
    <t>#14588 SmartAGN ECU5</t>
  </si>
  <si>
    <t>#14588 SmartAGN ECU6</t>
  </si>
  <si>
    <t>#14588 SmartAGN ECU7</t>
  </si>
  <si>
    <t>#14588 SmartAGN ECU8</t>
  </si>
  <si>
    <t>#14588 SmartAGN ECU9</t>
  </si>
  <si>
    <t>#14588 SmartAGN ECU10</t>
  </si>
  <si>
    <t>#14588 SmartAGN ECU11</t>
  </si>
  <si>
    <t>#14588 SmartAGN ECU12</t>
  </si>
  <si>
    <t>#14588 SmartAGN ECU13</t>
  </si>
  <si>
    <t>0010.078005.200.000.0</t>
  </si>
  <si>
    <t>ST_LO_P_LubeOil</t>
  </si>
  <si>
    <t>ST_LOLO_P_LubeOil</t>
  </si>
  <si>
    <t>ST_LO_P_Coolant</t>
  </si>
  <si>
    <t>ST_LOLO_P_Coolant</t>
  </si>
  <si>
    <t>ST_LO_P_FuelafterFilter</t>
  </si>
  <si>
    <t>ST_AL_AnalogSpeedDemand</t>
  </si>
  <si>
    <t>ST_AL_CANSpeedDemand</t>
  </si>
  <si>
    <t>Destination</t>
  </si>
  <si>
    <t>SysID</t>
  </si>
  <si>
    <t>Source 1</t>
  </si>
  <si>
    <t>Device</t>
  </si>
  <si>
    <t>PV</t>
  </si>
  <si>
    <t>Source 2</t>
  </si>
  <si>
    <t>Mapping</t>
  </si>
  <si>
    <t>Type</t>
  </si>
  <si>
    <t>LM HI P-RA Filter Out at PFM</t>
  </si>
  <si>
    <t>SCRHC1_DepositionLevel</t>
  </si>
  <si>
    <t>SCRHC1_DepositionActive</t>
  </si>
  <si>
    <t>110730.Bit2</t>
  </si>
  <si>
    <t xml:space="preserve">LM_T_ExhaustSCR_HC1Deposition </t>
  </si>
  <si>
    <t>SCRHC1_RegenerationRequested</t>
  </si>
  <si>
    <t>110730.Bit1</t>
  </si>
  <si>
    <t>LM_T_ExhaustSCR_HC1Regen</t>
  </si>
  <si>
    <t>SCRHC1_RegenerationActive</t>
  </si>
  <si>
    <t>110730.Bit0</t>
  </si>
  <si>
    <t xml:space="preserve">SCRHC1_RemainTimeBeforeRegen </t>
  </si>
  <si>
    <t xml:space="preserve">SCRHC1_ExpectedRegenTime </t>
  </si>
  <si>
    <t>LM HI SCR HC1 Deposition</t>
  </si>
  <si>
    <t>LM HIHI SCR HC1 Deposition</t>
  </si>
  <si>
    <t>ECU</t>
  </si>
  <si>
    <t>2.22</t>
  </si>
  <si>
    <t>Multi_Source_Mapping tab added, for mapping SXU and ECU Meassuring points.
Node-Number of ECU4 PV Alarms corrected (line 747 ff)</t>
  </si>
  <si>
    <t>MCS PLC</t>
  </si>
  <si>
    <t>FSW EMS/SysIDMapper</t>
  </si>
  <si>
    <t>FSW EMS</t>
  </si>
  <si>
    <t>FSW EGAT - adapter_HC_Conc</t>
  </si>
  <si>
    <t>FSW EGAT</t>
  </si>
  <si>
    <t>0010.009101.155.000.0</t>
  </si>
  <si>
    <t>ST_HI_P_Crankcase</t>
  </si>
  <si>
    <t>0010.009101.165.000.0</t>
  </si>
  <si>
    <t>ST_HIHI_P_Crankcase</t>
  </si>
  <si>
    <t>0010.020104.205.000.0</t>
  </si>
  <si>
    <t>ST_AL_CommonRailLeakage</t>
  </si>
  <si>
    <t>0010.056001.155.000.0</t>
  </si>
  <si>
    <t>ST_HI_ETCSpeedDifference</t>
  </si>
  <si>
    <t>0010.056001.155.020.0</t>
  </si>
  <si>
    <t>ST_HI_ETC2Speed</t>
  </si>
  <si>
    <t>0010.056001.165.020.0</t>
  </si>
  <si>
    <t>ST_HIHI_ETC2Speed</t>
  </si>
  <si>
    <t>0010.056002.205.020.0</t>
  </si>
  <si>
    <t>ST_AL_ETC2CutInFail</t>
  </si>
  <si>
    <t>0070.080208.010.010.2</t>
  </si>
  <si>
    <t>MMS_EGATConfig1</t>
  </si>
  <si>
    <t>0070.080208.010.020.2</t>
  </si>
  <si>
    <t>MMS_EGATConfig2</t>
  </si>
  <si>
    <t>0070.080208.010.030.2</t>
  </si>
  <si>
    <t>MMS_EGATConfig3</t>
  </si>
  <si>
    <t>0010.015302.105.000.0</t>
  </si>
  <si>
    <t>ST_LO_CoolantLevelInterCooler</t>
  </si>
  <si>
    <t>0010.015104.105.000.0</t>
  </si>
  <si>
    <t>ST_LO_P_CoolantIntercooler</t>
  </si>
  <si>
    <t>0010.015104.115.000.0</t>
  </si>
  <si>
    <t>ST_LOLO_P_CoolantIntercooler</t>
  </si>
  <si>
    <t>0010.015202.155.000.0</t>
  </si>
  <si>
    <t>ST_HI_T_CoolantIntercooler</t>
  </si>
  <si>
    <t>0010.056006.155.010.0</t>
  </si>
  <si>
    <t>ST_HI_ETCIdleSpeed</t>
  </si>
  <si>
    <t>0010.040105.105.000.0</t>
  </si>
  <si>
    <t>ST_LO_P_Priming</t>
  </si>
  <si>
    <t>0012.010200.010.000.0</t>
  </si>
  <si>
    <t>P_DosingAirSUDU1</t>
  </si>
  <si>
    <t>0012.006503.010.010.0</t>
  </si>
  <si>
    <t>0012.089204.154.000.2</t>
  </si>
  <si>
    <t>cLM_HI_SCR_HC2_Deposition</t>
  </si>
  <si>
    <t>InfoTextSXU</t>
  </si>
  <si>
    <t>0012.024400.010.100.2</t>
  </si>
  <si>
    <t>0012.024100.010.100.2</t>
  </si>
  <si>
    <t>0012.024100.154.100.2</t>
  </si>
  <si>
    <t>0012.006200.010.100.2</t>
  </si>
  <si>
    <t>0012.006201.010.100.2</t>
  </si>
  <si>
    <t>0012.006200.154.100.2</t>
  </si>
  <si>
    <t>0012.006200.164.100.2</t>
  </si>
  <si>
    <t>0012.006502.010.100.2</t>
  </si>
  <si>
    <t>0012.006502.154.100.2</t>
  </si>
  <si>
    <t>0012.006502.164.100.2</t>
  </si>
  <si>
    <t>0012.006500.010.100.2</t>
  </si>
  <si>
    <t>0012.006500.154.100.2</t>
  </si>
  <si>
    <t>0012.006500.164.100.2</t>
  </si>
  <si>
    <t>0012.024200.010.100.2</t>
  </si>
  <si>
    <t>0012.024424.010.100.2</t>
  </si>
  <si>
    <t>0012.024424.104.100.2</t>
  </si>
  <si>
    <t>0012.024424.154.100.2</t>
  </si>
  <si>
    <t>0012.024424.114.100.2</t>
  </si>
  <si>
    <t>0012.024424.164.100.2</t>
  </si>
  <si>
    <t>0012.024427.010.110.2</t>
  </si>
  <si>
    <t>0012.024100.104.100.2</t>
  </si>
  <si>
    <t>0012.024200.104.100.2</t>
  </si>
  <si>
    <t>0012.024200.154.100.2</t>
  </si>
  <si>
    <t>0012.024429.010.000.2</t>
  </si>
  <si>
    <t>Config</t>
  </si>
  <si>
    <t>SysId</t>
  </si>
  <si>
    <t>Bit</t>
  </si>
  <si>
    <t>2.23</t>
  </si>
  <si>
    <t>Multi Source fehlende SXU Messstellen</t>
  </si>
  <si>
    <t>EGAT_BypassHandwheelEngageSXU</t>
  </si>
  <si>
    <t>0012.010200.010.000.2</t>
  </si>
  <si>
    <t>cP_DosingAirSUDU1</t>
  </si>
  <si>
    <t>cFB_EGAT_Bypass_PositionClosedReached</t>
  </si>
  <si>
    <t>cFB_EGAT_Bypass_PositionOpenReached</t>
  </si>
  <si>
    <t>cFB_EGAT_BypassTestActive</t>
  </si>
  <si>
    <t>0012.058600.010.000.2</t>
  </si>
  <si>
    <t>0012.058600.010.010.2</t>
  </si>
  <si>
    <t>0012.058601.010.000.2</t>
  </si>
  <si>
    <t>cEGAT_Bypass_HandwheelEngage</t>
  </si>
  <si>
    <t>cP_ExhaustSCRInlet1_redundant</t>
  </si>
  <si>
    <t>0012.058602.010.000.2</t>
  </si>
  <si>
    <t>0012.006503.010.010.2</t>
  </si>
  <si>
    <t>cMaxRAConsumption</t>
  </si>
  <si>
    <t>0012.024427.154.000.2</t>
  </si>
  <si>
    <t>Intermediate Var</t>
  </si>
  <si>
    <t>0012.010200.010.100.2</t>
  </si>
  <si>
    <t>0012.058600.010.100.2</t>
  </si>
  <si>
    <t>0012.058600.010.110.2</t>
  </si>
  <si>
    <t>0012.058601.010.100.2</t>
  </si>
  <si>
    <t>0012.058602.010.100.2</t>
  </si>
  <si>
    <t>0012.006503.010.110.2</t>
  </si>
  <si>
    <t>0012.024427.154.100.2</t>
  </si>
  <si>
    <t>2+3</t>
  </si>
  <si>
    <t>Cmd_EGAT_BypassTest</t>
  </si>
  <si>
    <t>Cmd_EGAT_BypassOpenRemote</t>
  </si>
  <si>
    <t>2.24</t>
  </si>
  <si>
    <t>Farben gelöscht. SXU PVs 180049 - 180051 waren verdreht. Einheiten von 180040, 180041 von digit auf Bool korrigiert</t>
  </si>
  <si>
    <t>0012.024428.010.100.2</t>
  </si>
  <si>
    <t>0012.024429.010.100.2</t>
  </si>
  <si>
    <t>0012.024428.010.000.2</t>
  </si>
  <si>
    <t>cTripRAConsumption</t>
  </si>
  <si>
    <t>cTotalRAConsumption</t>
  </si>
  <si>
    <t>#15256 / #15260: Twisted PV110683,110684 TripRAConsumption and TotalRAConsumption</t>
  </si>
  <si>
    <t>#15260</t>
  </si>
  <si>
    <t>ED1_18 (BVNG BL100)</t>
  </si>
  <si>
    <t>CAN_ID</t>
  </si>
  <si>
    <t>Bewertung</t>
  </si>
  <si>
    <t>Alarmpriority</t>
  </si>
  <si>
    <t>Skal_Faktor</t>
  </si>
  <si>
    <t>Source_Node</t>
  </si>
  <si>
    <t>Binary</t>
  </si>
  <si>
    <t>Ready for System Switch-off</t>
  </si>
  <si>
    <t xml:space="preserve"> </t>
  </si>
  <si>
    <t>SCRHC_MinimumTimeBefRegenECU</t>
  </si>
  <si>
    <t>#15261 
- PV110135, 110136. MUX twisted: LM_HI_T_ChargeAirB: Mux corrected from 9 to 10,  LM_HIHI_T_ChargeAirB: Mux corrected from 10 to 9
- PV110635, PV110642 Unit corrected from bar to mbar and s-factor 100000 to 100</t>
  </si>
  <si>
    <t>0010.075000.010.000.0</t>
  </si>
  <si>
    <t>MMS_ReadyforSystemSwitchOff</t>
  </si>
  <si>
    <t>2.25</t>
  </si>
  <si>
    <t>Type 1 Var1 Ed_01_19</t>
  </si>
  <si>
    <t>#151099
- PV110648 Ready for System Switch-off added</t>
  </si>
  <si>
    <t>P-Coolant Intercooler</t>
  </si>
  <si>
    <t>LM HI P-Coolant Intercooler</t>
  </si>
  <si>
    <t>LM HIHI P-Coolant Intercooler</t>
  </si>
  <si>
    <t>LM LO P-Coolant Intercooler</t>
  </si>
  <si>
    <t>LM LOLO P-Coolant Intercooler</t>
  </si>
  <si>
    <t>2.26</t>
  </si>
  <si>
    <t>#15707: Mapped PV900093 to  LO_P_Priming  instead of LO_RequiredOilPressure , because this is the actual alarm name which is also mapped to EIM EC 8004. Added "Mapped Errorcode" for this PV.
Marked PV900093 as FB1Alarm for ALP+/PV Alarm switchover</t>
  </si>
  <si>
    <t>#14588 SmartAGN:  0 = bypass flap is moving 1 = bypass flap is closed 2 = bypass flap is open 3 = bypass flap position is invalid</t>
  </si>
  <si>
    <t>B_EGAT_Bypass_Closed</t>
  </si>
  <si>
    <t>B_EGAT_Bypass_Opened</t>
  </si>
  <si>
    <t>B_EGAT_EmergByp_test_in_progress</t>
  </si>
  <si>
    <t>FB_EGAT_Bypass_PositionClosedReachedECU</t>
  </si>
  <si>
    <t>FB_EGAT_Bypass_PositionOpenReachedECU</t>
  </si>
  <si>
    <t>FB_EGAT_BypassTestActiveECU</t>
  </si>
  <si>
    <t>1.1756.301</t>
  </si>
  <si>
    <t>1.1756.302</t>
  </si>
  <si>
    <t>1.1756.401</t>
  </si>
  <si>
    <t>1.1756.402</t>
  </si>
  <si>
    <t>B_EGAT_EmergBypHandWheel_Engaged</t>
  </si>
  <si>
    <t>Cmd_ExternalRawWaterPump</t>
  </si>
  <si>
    <t>Cmd_SeaWaterInductor</t>
  </si>
  <si>
    <t>T_RawWater_Cooler_outl</t>
  </si>
  <si>
    <t>LM HI T_RawWater_Cooler_outl</t>
  </si>
  <si>
    <t>LM HIHI T_RawWater_Cooler_outl / - (1?);0 (Actuation)</t>
  </si>
  <si>
    <t>T_RawWater_Cooler_inl / - (1?);0 (Actuation)</t>
  </si>
  <si>
    <t>LM HI T_RawWater_Cooler_inl / - (1?);0 (Actuation)</t>
  </si>
  <si>
    <t>LM HIHI T_RawWater_Cooler_inl / - (1?);0 (Actuation)</t>
  </si>
  <si>
    <t>T_Coolant_Engine_inl / - (1?);0 (Actuation)</t>
  </si>
  <si>
    <t>LM HI T_Coolant_Engine_inl / - (1?);0 (Actuation)</t>
  </si>
  <si>
    <t>LM HIHI T_Coolant_Engine_inl / - (1?);0 (Actuation)</t>
  </si>
  <si>
    <t xml:space="preserve">LM LO T_Coolant_Engine_inl </t>
  </si>
  <si>
    <t>T_coolant_af_cooler / - (1?);0 (Actuation)</t>
  </si>
  <si>
    <t>T_coolant_af_cooler_HI1 / - (1?);0 (Actuation)</t>
  </si>
  <si>
    <t>T_coolant_af_cooler_HI2 / - (1?);0 (Actuation)</t>
  </si>
  <si>
    <t>LM LOLO P-Raw Water / - (1?);0 (Actuation)</t>
  </si>
  <si>
    <t>p_RawWater_Pump_inl / - (1?);0 (Actuation)</t>
  </si>
  <si>
    <t>LM LO p_RawWater_Pump_inl / - (1?);0 (Actuation)</t>
  </si>
  <si>
    <t>P-Lube Oil Pistoncooling / - (1?);0 (Actuation)</t>
  </si>
  <si>
    <t>LM LO P-Lube Oil Pistoncooling / - (1?);0 (Actuation)</t>
  </si>
  <si>
    <t>LM LOLO P-Lube Oil Pistoncool. / - (1?);0 (Actuation)</t>
  </si>
  <si>
    <t>P-Schmieröl letztes Lager / - (1?);0 (Actuation)</t>
  </si>
  <si>
    <t>P-Schmieröl letztes Lager, UGW 1 / - (1?);0 (Actuation)</t>
  </si>
  <si>
    <t>P-Schmieröl letztes Lager, UGW 2 / - (1?);0 (Actuation)</t>
  </si>
  <si>
    <t>p_Exhaust / - (1?);0 (Actuation)</t>
  </si>
  <si>
    <t>LM HI p_Exhaust / - (1?);0 (Actuation)</t>
  </si>
  <si>
    <t>LM HIHI p_Exhaust / - (1?);0 (Actuation)</t>
  </si>
  <si>
    <t>p_coolant_af_cooler / - (1?);0 (Actuation)</t>
  </si>
  <si>
    <t>MonLim_p_coolant_af_cooler_Lo1 / - (1?);0 (Actuation)</t>
  </si>
  <si>
    <t>p_Coolant_Cooler_inl / - (1?);0 (Actuation)</t>
  </si>
  <si>
    <t>LM LO p_Coolant_Cooler_inl / - (1?);0 (Actuation)</t>
  </si>
  <si>
    <t>p_IntakeAir_ETC4</t>
  </si>
  <si>
    <t>LM LO p_Intake_Air ETC4</t>
  </si>
  <si>
    <t>p_IntakeAir_ETC3</t>
  </si>
  <si>
    <t>LM LO p_Intake_Air ETC3</t>
  </si>
  <si>
    <t>p_IntakeAir_ETC2</t>
  </si>
  <si>
    <t>LM LO p_Intake_Air ETC2</t>
  </si>
  <si>
    <t>p_IntakeAir_ETC1</t>
  </si>
  <si>
    <t>LM LO p_Intake_Air ETC1</t>
  </si>
  <si>
    <t>Lev_Fuel_Leackage_BankB / - (1?);0 (Actuation)</t>
  </si>
  <si>
    <t>Lev_LubeOil_OilPan</t>
  </si>
  <si>
    <t>LM HI1 Lev_LubeOil_OilPan</t>
  </si>
  <si>
    <t>LM LO1 Lev_LubeOil_OilPan</t>
  </si>
  <si>
    <t>CMD Oil Refill Pump</t>
  </si>
  <si>
    <t>2.27</t>
  </si>
  <si>
    <t>#15948: GO Navy - ECU9+HUG</t>
  </si>
  <si>
    <t>#15947: BR8000 IMO2</t>
  </si>
  <si>
    <t>Total RA Consumption</t>
  </si>
  <si>
    <t>TM Operating Mode</t>
  </si>
  <si>
    <t>P-Exhaust SCR Inlet 1 rdnt</t>
  </si>
  <si>
    <t>P-Air SUDU1</t>
  </si>
  <si>
    <t>P-Exhaust SCR Outlet 1</t>
  </si>
  <si>
    <t>P-Exhaust SCR Outlet 2</t>
  </si>
  <si>
    <t>LM HIHI T-RA at PDM</t>
  </si>
  <si>
    <t>-#15947: BR8000 IMO2</t>
  </si>
  <si>
    <t>#15948: GreenOcean</t>
  </si>
  <si>
    <t xml:space="preserve">Time Engine Cooling Down      </t>
  </si>
  <si>
    <t xml:space="preserve">State Engine Start_Stop       </t>
  </si>
  <si>
    <t>Type 1 Var1 Ed_01_20</t>
  </si>
  <si>
    <t>ED1_20 (BL120)</t>
  </si>
  <si>
    <t>0012.058600.010.000.0</t>
  </si>
  <si>
    <t>0012.058600.010.010.0</t>
  </si>
  <si>
    <t>0012.058601.010.000.0</t>
  </si>
  <si>
    <t>0012.058602.010.000.0</t>
  </si>
  <si>
    <t xml:space="preserve">- #15948: Added PVs for GO Navy </t>
  </si>
  <si>
    <t>#16173: Remove GreenOcean: Remove ESD/IAP/ Injector Wear. Remove PV110701, 110702,110703,110704,110705,110707,110708
- #15948: GO Navy PV110701 to 110705 for Bypass</t>
  </si>
  <si>
    <t>Cmd EGAT Bypass Open Remote</t>
  </si>
  <si>
    <t>SCR Exhaust Heater State</t>
  </si>
  <si>
    <t>T-Exhaust SCR Heater 1</t>
  </si>
  <si>
    <t>T-Exhaust SCR Heater 2</t>
  </si>
  <si>
    <t>Trip RA Consumption</t>
  </si>
  <si>
    <t>EGAT Bypass Position ECU</t>
  </si>
  <si>
    <t>LM HI SCR HC1 Deposition ECU</t>
  </si>
  <si>
    <t>LM HIHI SCR HC1 Deposition ECU</t>
  </si>
  <si>
    <t>LM SCR HC1 Regeneration ECU</t>
  </si>
  <si>
    <t>P_ExhaustSCRInlet1_redundantECU</t>
  </si>
  <si>
    <t>P_ExhaustSCROutlet1</t>
  </si>
  <si>
    <t>0012.006504.010.000.0</t>
  </si>
  <si>
    <t>P_ExhaustSCROutlet2</t>
  </si>
  <si>
    <t>0012.006505.010.000.0</t>
  </si>
  <si>
    <t>LM_HIHI_T_RAatPFMECU</t>
  </si>
  <si>
    <t>0012.024100.164.000.0</t>
  </si>
  <si>
    <t>TM_OperatingMode</t>
  </si>
  <si>
    <t>0012.089008.010.000.0</t>
  </si>
  <si>
    <t>FB EGAT Bypass Position Closed Reached ECU</t>
  </si>
  <si>
    <t>FB EGAT Bypass Position Open Reached ECU</t>
  </si>
  <si>
    <t>FB EGAT Bypass Test Active ECU</t>
  </si>
  <si>
    <t>EGAT Bypass Handwheel Engage ECU</t>
  </si>
  <si>
    <t>0012.058604.010.000.0</t>
  </si>
  <si>
    <t>EGAT_HAPS_Bypass_Position</t>
  </si>
  <si>
    <t>EGAT HAPS Bypass Position</t>
  </si>
  <si>
    <t>EGAT_BypassHandwheelEngageECU</t>
  </si>
  <si>
    <t>T_RawWaterCoolerOutlet</t>
  </si>
  <si>
    <t>LM_HI_T_RawWaterCoolerOutlet</t>
  </si>
  <si>
    <t>LM_HIHI_T_RawWaterCoolerOutlet</t>
  </si>
  <si>
    <t>T_RawWaterCoolerInlet</t>
  </si>
  <si>
    <t>LM_HI_T_RawWaterCoolerInlet</t>
  </si>
  <si>
    <t>LM_HIHI_T_RawWaterCoolerInlet</t>
  </si>
  <si>
    <t>LM_HI_T_CoolantEngineInlet</t>
  </si>
  <si>
    <t>LM_HIHI_T_CoolantEngineInlet</t>
  </si>
  <si>
    <t>LM_LO_T_CoolantEngineInlet</t>
  </si>
  <si>
    <t>T_CoolantEngineInlet</t>
  </si>
  <si>
    <t>T_CoolantAfterCooler</t>
  </si>
  <si>
    <t>LM_HI_T_CoolantAfterCooler</t>
  </si>
  <si>
    <t>LM_HIHI_T_CoolantAfterCooler</t>
  </si>
  <si>
    <t>P_RawWaterPumpInlet</t>
  </si>
  <si>
    <t>LM_LO_P_RawWaterPumpInlet</t>
  </si>
  <si>
    <t>P_IntakeAirETC1</t>
  </si>
  <si>
    <t>LM_LO_P_IntakeAirETC1</t>
  </si>
  <si>
    <t>P_IntakeAirETC2</t>
  </si>
  <si>
    <t>LM_LO_P_IntakeAirETC2</t>
  </si>
  <si>
    <t>P_IntakeAirETC3</t>
  </si>
  <si>
    <t>LM_LO_P_IntakeAirETC3</t>
  </si>
  <si>
    <t>P_IntakeAirETC4</t>
  </si>
  <si>
    <t>LM_LO_P_IntakeAirETC4</t>
  </si>
  <si>
    <t>P_CoolantCoolerInlet</t>
  </si>
  <si>
    <t>LM_LO_P_CoolantCoolerInlet</t>
  </si>
  <si>
    <t>P_CoolantAfterCooler</t>
  </si>
  <si>
    <t>LM_LO_P_CoolantAfterCooler</t>
  </si>
  <si>
    <t>P_ExhaustEngineOutlet</t>
  </si>
  <si>
    <t>LM_HI_P_ExhaustEngineOutlet</t>
  </si>
  <si>
    <t>LM_HIHI_P_ExhaustEngineOutlet</t>
  </si>
  <si>
    <t>Cmd_RefillPumpOn</t>
  </si>
  <si>
    <t>LevelLubeOilPan</t>
  </si>
  <si>
    <t>LM_HI_LevelLubeOilPan</t>
  </si>
  <si>
    <t>LM_LO_LevelLubeOilPan</t>
  </si>
  <si>
    <t>LevelFuelLeakageBankB</t>
  </si>
  <si>
    <t>0010.025106.010.010.0</t>
  </si>
  <si>
    <t>0010.025106.104.010.0</t>
  </si>
  <si>
    <t>0010.025106.114.010.0</t>
  </si>
  <si>
    <t>P_LubeOilLastBearingECU</t>
  </si>
  <si>
    <t>LM_LO_P_LubeOilLastBearingECU</t>
  </si>
  <si>
    <t>LM_LOLO_P_LubeOilLastBearingECU</t>
  </si>
  <si>
    <t>P_LubeOilPistoncoolECU</t>
  </si>
  <si>
    <t>LM_LO_P_LubeOilPistoncoolECU</t>
  </si>
  <si>
    <t>LM_LOLO_P_LubeOilPistoncoolECU</t>
  </si>
  <si>
    <t>0010.025108.010.010.0</t>
  </si>
  <si>
    <t>0010.025108.104.010.0</t>
  </si>
  <si>
    <t>0010.025108.114.010.0</t>
  </si>
  <si>
    <t>0010.006101.010.010.0</t>
  </si>
  <si>
    <t>0010.006101.154.010.0</t>
  </si>
  <si>
    <t>0010.006101.164.010.0</t>
  </si>
  <si>
    <t>0010.016203.154.000.0</t>
  </si>
  <si>
    <t>0010.016203.164.000.0</t>
  </si>
  <si>
    <t>0010.016204.154.000.0</t>
  </si>
  <si>
    <t>0010.016204.164.000.0</t>
  </si>
  <si>
    <t>0010.015203.154.000.0</t>
  </si>
  <si>
    <t>0010.015203.164.000.0</t>
  </si>
  <si>
    <t>0010.015203.104.000.0</t>
  </si>
  <si>
    <t>0010.015204.154.000.0</t>
  </si>
  <si>
    <t>0010.015204.164.000.0</t>
  </si>
  <si>
    <t>LM_LOLO_P_RawWaterPumpInlet</t>
  </si>
  <si>
    <t>0010.016103.114.000.0</t>
  </si>
  <si>
    <t>0010.016103.104.000.0</t>
  </si>
  <si>
    <t>0010.015108.104.000.0</t>
  </si>
  <si>
    <t>0010.015106.104.000.0</t>
  </si>
  <si>
    <t>0010.005104.104.000.0</t>
  </si>
  <si>
    <t>0010.005105.104.000.0</t>
  </si>
  <si>
    <t>0010.005106.104.000.0</t>
  </si>
  <si>
    <t>0010.005107.104.000.0</t>
  </si>
  <si>
    <t>0010.016203.010.000.0</t>
  </si>
  <si>
    <t>0010.016204.010.000.0</t>
  </si>
  <si>
    <t>0010.015203.010.000.0</t>
  </si>
  <si>
    <t>0010.015204.010.000.0</t>
  </si>
  <si>
    <t>0010.016103.010.000.0</t>
  </si>
  <si>
    <t>0010.015108.010.000.0</t>
  </si>
  <si>
    <t>0010.015106.010.000.0</t>
  </si>
  <si>
    <t>0010.005104.010.000.0</t>
  </si>
  <si>
    <t>0010.005105.010.000.0</t>
  </si>
  <si>
    <t>0010.005106.010.000.0</t>
  </si>
  <si>
    <t>0010.005107.010.000.0</t>
  </si>
  <si>
    <t>0010.020305.010.000.0</t>
  </si>
  <si>
    <t>0010.025204.010.000.0</t>
  </si>
  <si>
    <t>0010.025204.154.000.0</t>
  </si>
  <si>
    <t>0010.025204.104.000.0</t>
  </si>
  <si>
    <t>0010.025401.013.000.0</t>
  </si>
  <si>
    <t>0010.016008.013.000.0</t>
  </si>
  <si>
    <t>0010.016009.013.000.0</t>
  </si>
  <si>
    <t>0010.040408.010.000.0</t>
  </si>
  <si>
    <t xml:space="preserve">StateEngineStartStop       </t>
  </si>
  <si>
    <t xml:space="preserve">TimeEngineCoolingDown      </t>
  </si>
  <si>
    <t>0010.042112.010.030.0</t>
  </si>
  <si>
    <t>#15947: Add PV900181 and PV900180</t>
  </si>
  <si>
    <t>HI P-Crankcase</t>
  </si>
  <si>
    <t>ED1_20(BL120)</t>
  </si>
  <si>
    <t>EIM Refitbox ECU4</t>
  </si>
  <si>
    <t>HIHI P-Crankcase</t>
  </si>
  <si>
    <t>LO P-Coolant Intercooler</t>
  </si>
  <si>
    <t>LOLO P-Coolant Intercooler</t>
  </si>
  <si>
    <t>HI ETC 2 Speed</t>
  </si>
  <si>
    <t>HIHI ETC 2 Overspeed</t>
  </si>
  <si>
    <t>LO Coolant Level Intercooler</t>
  </si>
  <si>
    <t>HI T-Coolant Intercooler</t>
  </si>
  <si>
    <t>AL Common Rail Leakage</t>
  </si>
  <si>
    <t>HI ETC Idle Speed</t>
  </si>
  <si>
    <t>HI ETC Speed Difference</t>
  </si>
  <si>
    <t>ST_HIHI_ETCSpeedDifference</t>
  </si>
  <si>
    <t>0010.056001.165.000.0</t>
  </si>
  <si>
    <t>HIHI ETC Speed Difference</t>
  </si>
  <si>
    <t>0010.006206.205.020.0</t>
  </si>
  <si>
    <t>ST_AL_T_ExhaustL2abovebelowECU</t>
  </si>
  <si>
    <t>0010.006206.205.030.0</t>
  </si>
  <si>
    <t>ST_AL_T_ExhaustL2abovebelowEMU</t>
  </si>
  <si>
    <t>EIM Refitbox: ECU and EMU PVs combined, therefore new SysID</t>
  </si>
  <si>
    <t>2.28</t>
  </si>
  <si>
    <t>T_ExhaustAfterEngine</t>
  </si>
  <si>
    <t>LM_HI_T_ExhaustAfterEngine</t>
  </si>
  <si>
    <t>LM_HIHI_T_ExhaustAfterEngine</t>
  </si>
  <si>
    <t>BT16453/16408: Add PV Alarms for EIM Refitbox ECU4</t>
  </si>
  <si>
    <t>AL ETC 2 Cut in Fail</t>
  </si>
  <si>
    <t>0010.015302.010.000.0</t>
  </si>
  <si>
    <t>CoolantLevelInterCooler</t>
  </si>
  <si>
    <t>Coolant Level Intercooler</t>
  </si>
  <si>
    <t>2.29</t>
  </si>
  <si>
    <t>EMU8: Marked all Alarms as "FB1Alarm", even they don't have a corresponding EMU9 Errorcode yet</t>
  </si>
  <si>
    <t>LO P-Fuel Common Rail</t>
  </si>
  <si>
    <t>0010.020103.105.000.0</t>
  </si>
  <si>
    <t>HI P-Fuel Common Rail</t>
  </si>
  <si>
    <t>0010.020103.155.000.0</t>
  </si>
  <si>
    <t>HI T-Charge Air Seq Ctrl Valve</t>
  </si>
  <si>
    <t>0010.008202.155.000.0</t>
  </si>
  <si>
    <t>HIHI T-Charge Air Seq Ctrl Val</t>
  </si>
  <si>
    <t>0010.008202.165.000.0</t>
  </si>
  <si>
    <t>2.30</t>
  </si>
  <si>
    <t>BT16453/16408: Add PV Alarms for EIM Refitbox ECU4, 110064,110065, 110294,110295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</si>
</sst>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2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0" fontId="25" fillId="0" borderId="0"/>
    <xf numFmtId="0" fontId="9" fillId="13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" fillId="34" borderId="0" applyNumberFormat="0" applyBorder="0" applyAlignment="0" applyProtection="0"/>
    <xf numFmtId="0" fontId="24" fillId="15" borderId="0" applyNumberFormat="0" applyBorder="0" applyAlignment="0" applyProtection="0"/>
    <xf numFmtId="0" fontId="29" fillId="46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9" fillId="43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9" fillId="44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9" fillId="47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9" fillId="48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0" fontId="29" fillId="49" borderId="0" applyNumberFormat="0" applyBorder="0" applyAlignment="0" applyProtection="0"/>
    <xf numFmtId="0" fontId="24" fillId="35" borderId="0" applyNumberFormat="0" applyBorder="0" applyAlignment="0" applyProtection="0"/>
    <xf numFmtId="0" fontId="24" fillId="12" borderId="0" applyNumberFormat="0" applyBorder="0" applyAlignment="0" applyProtection="0"/>
    <xf numFmtId="0" fontId="29" fillId="50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9" fillId="51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9" fillId="52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9" fillId="47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9" fillId="48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9" fillId="53" borderId="0" applyNumberFormat="0" applyBorder="0" applyAlignment="0" applyProtection="0"/>
    <xf numFmtId="0" fontId="24" fillId="32" borderId="0" applyNumberFormat="0" applyBorder="0" applyAlignment="0" applyProtection="0"/>
    <xf numFmtId="0" fontId="18" fillId="9" borderId="17" applyNumberFormat="0" applyAlignment="0" applyProtection="0"/>
    <xf numFmtId="0" fontId="30" fillId="54" borderId="22" applyNumberFormat="0" applyAlignment="0" applyProtection="0"/>
    <xf numFmtId="0" fontId="18" fillId="9" borderId="17" applyNumberFormat="0" applyAlignment="0" applyProtection="0"/>
    <xf numFmtId="0" fontId="19" fillId="9" borderId="16" applyNumberFormat="0" applyAlignment="0" applyProtection="0"/>
    <xf numFmtId="0" fontId="31" fillId="54" borderId="23" applyNumberFormat="0" applyAlignment="0" applyProtection="0"/>
    <xf numFmtId="0" fontId="19" fillId="9" borderId="16" applyNumberFormat="0" applyAlignment="0" applyProtection="0"/>
    <xf numFmtId="0" fontId="17" fillId="8" borderId="16" applyNumberFormat="0" applyAlignment="0" applyProtection="0"/>
    <xf numFmtId="0" fontId="32" fillId="41" borderId="23" applyNumberFormat="0" applyAlignment="0" applyProtection="0"/>
    <xf numFmtId="0" fontId="17" fillId="8" borderId="16" applyNumberFormat="0" applyAlignment="0" applyProtection="0"/>
    <xf numFmtId="0" fontId="1" fillId="0" borderId="21" applyNumberFormat="0" applyFill="0" applyAlignment="0" applyProtection="0"/>
    <xf numFmtId="0" fontId="33" fillId="0" borderId="24" applyNumberFormat="0" applyFill="0" applyAlignment="0" applyProtection="0"/>
    <xf numFmtId="0" fontId="33" fillId="0" borderId="24" applyNumberFormat="0" applyFill="0" applyAlignment="0" applyProtection="0"/>
    <xf numFmtId="0" fontId="1" fillId="0" borderId="21" applyNumberFormat="0" applyFill="0" applyAlignment="0" applyProtection="0"/>
    <xf numFmtId="0" fontId="2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35" fillId="38" borderId="0" applyNumberFormat="0" applyBorder="0" applyAlignment="0" applyProtection="0"/>
    <xf numFmtId="0" fontId="14" fillId="5" borderId="0" applyNumberFormat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16" fillId="7" borderId="0" applyNumberFormat="0" applyBorder="0" applyAlignment="0" applyProtection="0"/>
    <xf numFmtId="0" fontId="37" fillId="55" borderId="0" applyNumberFormat="0" applyBorder="0" applyAlignment="0" applyProtection="0"/>
    <xf numFmtId="0" fontId="16" fillId="7" borderId="0" applyNumberFormat="0" applyBorder="0" applyAlignment="0" applyProtection="0"/>
    <xf numFmtId="0" fontId="36" fillId="55" borderId="0" applyNumberFormat="0" applyBorder="0" applyAlignment="0" applyProtection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26" fillId="11" borderId="20" applyNumberFormat="0" applyFont="0" applyAlignment="0" applyProtection="0"/>
    <xf numFmtId="0" fontId="26" fillId="56" borderId="25" applyNumberFormat="0" applyFont="0" applyAlignment="0" applyProtection="0"/>
    <xf numFmtId="0" fontId="26" fillId="56" borderId="25" applyNumberFormat="0" applyFont="0" applyAlignment="0" applyProtection="0"/>
    <xf numFmtId="0" fontId="26" fillId="11" borderId="20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3" fillId="56" borderId="25" applyNumberFormat="0" applyFont="0" applyAlignment="0" applyProtection="0"/>
    <xf numFmtId="0" fontId="15" fillId="6" borderId="0" applyNumberFormat="0" applyBorder="0" applyAlignment="0" applyProtection="0"/>
    <xf numFmtId="0" fontId="38" fillId="37" borderId="0" applyNumberFormat="0" applyBorder="0" applyAlignment="0" applyProtection="0"/>
    <xf numFmtId="0" fontId="15" fillId="6" borderId="0" applyNumberFormat="0" applyBorder="0" applyAlignment="0" applyProtection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26" fillId="0" borderId="0"/>
    <xf numFmtId="0" fontId="26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13" applyNumberFormat="0" applyFill="0" applyAlignment="0" applyProtection="0"/>
    <xf numFmtId="0" fontId="40" fillId="0" borderId="26" applyNumberFormat="0" applyFill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41" fillId="0" borderId="27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42" fillId="0" borderId="28" applyNumberFormat="0" applyFill="0" applyAlignment="0" applyProtection="0"/>
    <xf numFmtId="0" fontId="13" fillId="0" borderId="15" applyNumberFormat="0" applyFill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18" applyNumberFormat="0" applyFill="0" applyAlignment="0" applyProtection="0"/>
    <xf numFmtId="0" fontId="43" fillId="0" borderId="29" applyNumberFormat="0" applyFill="0" applyAlignment="0" applyProtection="0"/>
    <xf numFmtId="0" fontId="20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10" borderId="19" applyNumberFormat="0" applyAlignment="0" applyProtection="0"/>
    <xf numFmtId="0" fontId="45" fillId="57" borderId="30" applyNumberFormat="0" applyAlignment="0" applyProtection="0"/>
    <xf numFmtId="0" fontId="21" fillId="10" borderId="19" applyNumberFormat="0" applyAlignment="0" applyProtection="0"/>
    <xf numFmtId="0" fontId="47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44" fontId="9" fillId="0" borderId="0" applyFont="0" applyFill="0" applyBorder="0" applyAlignment="0" applyProtection="0"/>
    <xf numFmtId="0" fontId="3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wrapText="1"/>
    </xf>
    <xf numFmtId="0" fontId="1" fillId="0" borderId="12" xfId="0" applyFont="1" applyBorder="1" applyAlignment="1">
      <alignment horizontal="center" vertical="center"/>
    </xf>
    <xf numFmtId="49" fontId="4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49" fontId="6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44" fontId="0" fillId="0" borderId="1" xfId="730" applyFont="1" applyBorder="1" applyAlignment="1">
      <alignment horizontal="center" vertical="center"/>
    </xf>
    <xf numFmtId="0" fontId="0" fillId="0" borderId="12" xfId="0" applyBorder="1"/>
    <xf numFmtId="0" fontId="0" fillId="58" borderId="1" xfId="0" applyFill="1" applyBorder="1"/>
    <xf numFmtId="0" fontId="0" fillId="0" borderId="5" xfId="0" applyBorder="1"/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49" fontId="0" fillId="0" borderId="1" xfId="0" quotePrefix="1" applyNumberFormat="1" applyBorder="1" applyAlignment="1">
      <alignment horizontal="center" wrapText="1"/>
    </xf>
    <xf numFmtId="0" fontId="1" fillId="0" borderId="0" xfId="0" applyFont="1"/>
    <xf numFmtId="0" fontId="1" fillId="0" borderId="5" xfId="0" applyFont="1" applyBorder="1"/>
    <xf numFmtId="0" fontId="0" fillId="0" borderId="0" xfId="0" quotePrefix="1"/>
    <xf numFmtId="16" fontId="0" fillId="0" borderId="0" xfId="0" applyNumberFormat="1" applyAlignment="1">
      <alignment vertical="center"/>
    </xf>
    <xf numFmtId="0" fontId="0" fillId="0" borderId="31" xfId="0" applyBorder="1"/>
    <xf numFmtId="0" fontId="0" fillId="60" borderId="1" xfId="0" applyFill="1" applyBorder="1" applyAlignment="1">
      <alignment vertical="center"/>
    </xf>
    <xf numFmtId="0" fontId="0" fillId="60" borderId="1" xfId="0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61" borderId="1" xfId="0" quotePrefix="1" applyFill="1" applyBorder="1" applyAlignment="1">
      <alignment horizontal="left" vertical="top" wrapText="1"/>
    </xf>
    <xf numFmtId="0" fontId="0" fillId="60" borderId="1" xfId="0" quotePrefix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quotePrefix="1" applyBorder="1" applyAlignment="1">
      <alignment wrapText="1"/>
    </xf>
    <xf numFmtId="0" fontId="0" fillId="0" borderId="12" xfId="0" applyBorder="1" applyAlignment="1">
      <alignment vertical="center"/>
    </xf>
    <xf numFmtId="0" fontId="0" fillId="62" borderId="1" xfId="0" applyFill="1" applyBorder="1" applyAlignment="1">
      <alignment vertical="center"/>
    </xf>
    <xf numFmtId="0" fontId="0" fillId="63" borderId="1" xfId="0" applyFill="1" applyBorder="1" applyAlignment="1">
      <alignment vertical="center"/>
    </xf>
    <xf numFmtId="0" fontId="0" fillId="59" borderId="1" xfId="0" applyFill="1" applyBorder="1" applyAlignment="1">
      <alignment vertical="center"/>
    </xf>
    <xf numFmtId="0" fontId="0" fillId="59" borderId="1" xfId="0" applyFill="1" applyBorder="1" applyAlignment="1">
      <alignment horizontal="center" vertical="center"/>
    </xf>
    <xf numFmtId="0" fontId="0" fillId="59" borderId="1" xfId="0" applyFill="1" applyBorder="1" applyAlignment="1">
      <alignment horizontal="left" wrapText="1"/>
    </xf>
    <xf numFmtId="0" fontId="0" fillId="64" borderId="1" xfId="0" applyFill="1" applyBorder="1" applyAlignment="1">
      <alignment vertical="center"/>
    </xf>
    <xf numFmtId="0" fontId="0" fillId="64" borderId="1" xfId="0" applyFill="1" applyBorder="1" applyAlignment="1">
      <alignment horizontal="center" vertical="center"/>
    </xf>
    <xf numFmtId="0" fontId="0" fillId="64" borderId="1" xfId="0" applyFill="1" applyBorder="1" applyAlignment="1">
      <alignment horizontal="center"/>
    </xf>
    <xf numFmtId="49" fontId="0" fillId="64" borderId="1" xfId="0" applyNumberFormat="1" applyFill="1" applyBorder="1" applyAlignment="1">
      <alignment horizontal="center" wrapText="1"/>
    </xf>
    <xf numFmtId="0" fontId="0" fillId="64" borderId="1" xfId="0" applyFill="1" applyBorder="1" applyAlignment="1">
      <alignment horizontal="left" vertical="center" wrapText="1"/>
    </xf>
    <xf numFmtId="0" fontId="0" fillId="64" borderId="0" xfId="0" applyFill="1"/>
    <xf numFmtId="0" fontId="0" fillId="64" borderId="1" xfId="0" applyFill="1" applyBorder="1" applyAlignment="1">
      <alignment horizontal="left" wrapText="1"/>
    </xf>
    <xf numFmtId="0" fontId="0" fillId="64" borderId="1" xfId="0" quotePrefix="1" applyFill="1" applyBorder="1" applyAlignment="1">
      <alignment horizontal="left" vertical="top" wrapText="1"/>
    </xf>
    <xf numFmtId="0" fontId="0" fillId="59" borderId="1" xfId="0" quotePrefix="1" applyFill="1" applyBorder="1" applyAlignment="1">
      <alignment horizontal="left" vertical="top" wrapText="1"/>
    </xf>
    <xf numFmtId="0" fontId="0" fillId="65" borderId="1" xfId="0" applyFill="1" applyBorder="1" applyAlignment="1">
      <alignment vertical="center"/>
    </xf>
    <xf numFmtId="0" fontId="0" fillId="65" borderId="1" xfId="0" applyFill="1" applyBorder="1" applyAlignment="1">
      <alignment horizontal="center" vertical="center"/>
    </xf>
    <xf numFmtId="0" fontId="0" fillId="65" borderId="1" xfId="0" applyFill="1" applyBorder="1" applyAlignment="1">
      <alignment horizontal="center"/>
    </xf>
    <xf numFmtId="49" fontId="0" fillId="65" borderId="1" xfId="0" applyNumberFormat="1" applyFill="1" applyBorder="1" applyAlignment="1">
      <alignment horizontal="center" wrapText="1"/>
    </xf>
    <xf numFmtId="0" fontId="0" fillId="65" borderId="1" xfId="0" applyFill="1" applyBorder="1" applyAlignment="1">
      <alignment horizontal="left" vertical="center" wrapText="1"/>
    </xf>
    <xf numFmtId="0" fontId="0" fillId="65" borderId="0" xfId="0" applyFill="1"/>
    <xf numFmtId="0" fontId="0" fillId="65" borderId="1" xfId="0" applyFill="1" applyBorder="1" applyAlignment="1">
      <alignment horizontal="left" wrapText="1"/>
    </xf>
    <xf numFmtId="0" fontId="0" fillId="65" borderId="1" xfId="0" quotePrefix="1" applyFill="1" applyBorder="1" applyAlignment="1">
      <alignment horizontal="left" vertical="top" wrapText="1"/>
    </xf>
  </cellXfs>
  <cellStyles count="732">
    <cellStyle name="20 % - Akzent1 2" xfId="4" xr:uid="{00000000-0005-0000-0000-000000000000}"/>
    <cellStyle name="20 % - Akzent1 2 2" xfId="5" xr:uid="{00000000-0005-0000-0000-000001000000}"/>
    <cellStyle name="20 % - Akzent1 2 3" xfId="6" xr:uid="{00000000-0005-0000-0000-000002000000}"/>
    <cellStyle name="20 % - Akzent1 2 4" xfId="7" xr:uid="{00000000-0005-0000-0000-000003000000}"/>
    <cellStyle name="20 % - Akzent2 2" xfId="8" xr:uid="{00000000-0005-0000-0000-000004000000}"/>
    <cellStyle name="20 % - Akzent2 2 2" xfId="9" xr:uid="{00000000-0005-0000-0000-000005000000}"/>
    <cellStyle name="20 % - Akzent2 2 3" xfId="10" xr:uid="{00000000-0005-0000-0000-000006000000}"/>
    <cellStyle name="20 % - Akzent2 2 4" xfId="11" xr:uid="{00000000-0005-0000-0000-000007000000}"/>
    <cellStyle name="20 % - Akzent3 2" xfId="12" xr:uid="{00000000-0005-0000-0000-000008000000}"/>
    <cellStyle name="20 % - Akzent3 2 2" xfId="13" xr:uid="{00000000-0005-0000-0000-000009000000}"/>
    <cellStyle name="20 % - Akzent3 2 3" xfId="14" xr:uid="{00000000-0005-0000-0000-00000A000000}"/>
    <cellStyle name="20 % - Akzent3 2 4" xfId="15" xr:uid="{00000000-0005-0000-0000-00000B000000}"/>
    <cellStyle name="20 % - Akzent4 2" xfId="16" xr:uid="{00000000-0005-0000-0000-00000C000000}"/>
    <cellStyle name="20 % - Akzent4 2 2" xfId="17" xr:uid="{00000000-0005-0000-0000-00000D000000}"/>
    <cellStyle name="20 % - Akzent4 2 3" xfId="18" xr:uid="{00000000-0005-0000-0000-00000E000000}"/>
    <cellStyle name="20 % - Akzent4 2 4" xfId="19" xr:uid="{00000000-0005-0000-0000-00000F000000}"/>
    <cellStyle name="20 % - Akzent5 2" xfId="20" xr:uid="{00000000-0005-0000-0000-000010000000}"/>
    <cellStyle name="20 % - Akzent5 2 2" xfId="21" xr:uid="{00000000-0005-0000-0000-000011000000}"/>
    <cellStyle name="20 % - Akzent5 2 3" xfId="22" xr:uid="{00000000-0005-0000-0000-000012000000}"/>
    <cellStyle name="20 % - Akzent5 2 4" xfId="23" xr:uid="{00000000-0005-0000-0000-000013000000}"/>
    <cellStyle name="20 % - Akzent6 2" xfId="24" xr:uid="{00000000-0005-0000-0000-000014000000}"/>
    <cellStyle name="20 % - Akzent6 2 2" xfId="25" xr:uid="{00000000-0005-0000-0000-000015000000}"/>
    <cellStyle name="20 % - Akzent6 2 3" xfId="26" xr:uid="{00000000-0005-0000-0000-000016000000}"/>
    <cellStyle name="20 % - Akzent6 2 4" xfId="27" xr:uid="{00000000-0005-0000-0000-000017000000}"/>
    <cellStyle name="40 % - Akzent1 2" xfId="28" xr:uid="{00000000-0005-0000-0000-000018000000}"/>
    <cellStyle name="40 % - Akzent1 2 2" xfId="29" xr:uid="{00000000-0005-0000-0000-000019000000}"/>
    <cellStyle name="40 % - Akzent1 2 3" xfId="30" xr:uid="{00000000-0005-0000-0000-00001A000000}"/>
    <cellStyle name="40 % - Akzent1 2 4" xfId="31" xr:uid="{00000000-0005-0000-0000-00001B000000}"/>
    <cellStyle name="40 % - Akzent2 2" xfId="32" xr:uid="{00000000-0005-0000-0000-00001C000000}"/>
    <cellStyle name="40 % - Akzent2 2 2" xfId="33" xr:uid="{00000000-0005-0000-0000-00001D000000}"/>
    <cellStyle name="40 % - Akzent2 2 3" xfId="34" xr:uid="{00000000-0005-0000-0000-00001E000000}"/>
    <cellStyle name="40 % - Akzent2 2 4" xfId="35" xr:uid="{00000000-0005-0000-0000-00001F000000}"/>
    <cellStyle name="40 % - Akzent3 2" xfId="36" xr:uid="{00000000-0005-0000-0000-000020000000}"/>
    <cellStyle name="40 % - Akzent3 2 2" xfId="37" xr:uid="{00000000-0005-0000-0000-000021000000}"/>
    <cellStyle name="40 % - Akzent3 2 3" xfId="38" xr:uid="{00000000-0005-0000-0000-000022000000}"/>
    <cellStyle name="40 % - Akzent3 2 4" xfId="39" xr:uid="{00000000-0005-0000-0000-000023000000}"/>
    <cellStyle name="40 % - Akzent4 2" xfId="40" xr:uid="{00000000-0005-0000-0000-000024000000}"/>
    <cellStyle name="40 % - Akzent4 2 2" xfId="41" xr:uid="{00000000-0005-0000-0000-000025000000}"/>
    <cellStyle name="40 % - Akzent4 2 3" xfId="42" xr:uid="{00000000-0005-0000-0000-000026000000}"/>
    <cellStyle name="40 % - Akzent4 2 4" xfId="43" xr:uid="{00000000-0005-0000-0000-000027000000}"/>
    <cellStyle name="40 % - Akzent5 2" xfId="44" xr:uid="{00000000-0005-0000-0000-000028000000}"/>
    <cellStyle name="40 % - Akzent5 2 2" xfId="45" xr:uid="{00000000-0005-0000-0000-000029000000}"/>
    <cellStyle name="40 % - Akzent5 2 3" xfId="46" xr:uid="{00000000-0005-0000-0000-00002A000000}"/>
    <cellStyle name="40 % - Akzent5 2 4" xfId="47" xr:uid="{00000000-0005-0000-0000-00002B000000}"/>
    <cellStyle name="40 % - Akzent6 2" xfId="48" xr:uid="{00000000-0005-0000-0000-00002C000000}"/>
    <cellStyle name="40 % - Akzent6 2 2" xfId="49" xr:uid="{00000000-0005-0000-0000-00002D000000}"/>
    <cellStyle name="40 % - Akzent6 2 3" xfId="50" xr:uid="{00000000-0005-0000-0000-00002E000000}"/>
    <cellStyle name="40 % - Akzent6 2 4" xfId="51" xr:uid="{00000000-0005-0000-0000-00002F000000}"/>
    <cellStyle name="60 % - Akzent1 2" xfId="52" xr:uid="{00000000-0005-0000-0000-000030000000}"/>
    <cellStyle name="60 % - Akzent1 2 2" xfId="53" xr:uid="{00000000-0005-0000-0000-000031000000}"/>
    <cellStyle name="60 % - Akzent1 2 3" xfId="54" xr:uid="{00000000-0005-0000-0000-000032000000}"/>
    <cellStyle name="60 % - Akzent2 2" xfId="55" xr:uid="{00000000-0005-0000-0000-000033000000}"/>
    <cellStyle name="60 % - Akzent2 2 2" xfId="56" xr:uid="{00000000-0005-0000-0000-000034000000}"/>
    <cellStyle name="60 % - Akzent2 2 3" xfId="57" xr:uid="{00000000-0005-0000-0000-000035000000}"/>
    <cellStyle name="60 % - Akzent3 2" xfId="58" xr:uid="{00000000-0005-0000-0000-000036000000}"/>
    <cellStyle name="60 % - Akzent3 2 2" xfId="59" xr:uid="{00000000-0005-0000-0000-000037000000}"/>
    <cellStyle name="60 % - Akzent3 2 3" xfId="60" xr:uid="{00000000-0005-0000-0000-000038000000}"/>
    <cellStyle name="60 % - Akzent4 2" xfId="61" xr:uid="{00000000-0005-0000-0000-000039000000}"/>
    <cellStyle name="60 % - Akzent4 2 2" xfId="62" xr:uid="{00000000-0005-0000-0000-00003A000000}"/>
    <cellStyle name="60 % - Akzent4 2 3" xfId="63" xr:uid="{00000000-0005-0000-0000-00003B000000}"/>
    <cellStyle name="60 % - Akzent5 2" xfId="64" xr:uid="{00000000-0005-0000-0000-00003C000000}"/>
    <cellStyle name="60 % - Akzent5 2 2" xfId="65" xr:uid="{00000000-0005-0000-0000-00003D000000}"/>
    <cellStyle name="60 % - Akzent5 2 3" xfId="66" xr:uid="{00000000-0005-0000-0000-00003E000000}"/>
    <cellStyle name="60 % - Akzent6 2" xfId="67" xr:uid="{00000000-0005-0000-0000-00003F000000}"/>
    <cellStyle name="60 % - Akzent6 2 2" xfId="68" xr:uid="{00000000-0005-0000-0000-000040000000}"/>
    <cellStyle name="60 % - Akzent6 2 3" xfId="69" xr:uid="{00000000-0005-0000-0000-000041000000}"/>
    <cellStyle name="Akzent1 2" xfId="70" xr:uid="{00000000-0005-0000-0000-000042000000}"/>
    <cellStyle name="Akzent1 2 2" xfId="71" xr:uid="{00000000-0005-0000-0000-000043000000}"/>
    <cellStyle name="Akzent1 2 3" xfId="72" xr:uid="{00000000-0005-0000-0000-000044000000}"/>
    <cellStyle name="Akzent2 2" xfId="73" xr:uid="{00000000-0005-0000-0000-000045000000}"/>
    <cellStyle name="Akzent2 2 2" xfId="74" xr:uid="{00000000-0005-0000-0000-000046000000}"/>
    <cellStyle name="Akzent2 2 3" xfId="75" xr:uid="{00000000-0005-0000-0000-000047000000}"/>
    <cellStyle name="Akzent3 2" xfId="76" xr:uid="{00000000-0005-0000-0000-000048000000}"/>
    <cellStyle name="Akzent3 2 2" xfId="77" xr:uid="{00000000-0005-0000-0000-000049000000}"/>
    <cellStyle name="Akzent3 2 3" xfId="78" xr:uid="{00000000-0005-0000-0000-00004A000000}"/>
    <cellStyle name="Akzent4 2" xfId="79" xr:uid="{00000000-0005-0000-0000-00004B000000}"/>
    <cellStyle name="Akzent4 2 2" xfId="80" xr:uid="{00000000-0005-0000-0000-00004C000000}"/>
    <cellStyle name="Akzent4 2 3" xfId="81" xr:uid="{00000000-0005-0000-0000-00004D000000}"/>
    <cellStyle name="Akzent5 2" xfId="82" xr:uid="{00000000-0005-0000-0000-00004E000000}"/>
    <cellStyle name="Akzent5 2 2" xfId="83" xr:uid="{00000000-0005-0000-0000-00004F000000}"/>
    <cellStyle name="Akzent5 2 3" xfId="84" xr:uid="{00000000-0005-0000-0000-000050000000}"/>
    <cellStyle name="Akzent6 2" xfId="85" xr:uid="{00000000-0005-0000-0000-000051000000}"/>
    <cellStyle name="Akzent6 2 2" xfId="86" xr:uid="{00000000-0005-0000-0000-000052000000}"/>
    <cellStyle name="Akzent6 2 3" xfId="87" xr:uid="{00000000-0005-0000-0000-000053000000}"/>
    <cellStyle name="Ausgabe 2" xfId="88" xr:uid="{00000000-0005-0000-0000-000054000000}"/>
    <cellStyle name="Ausgabe 2 2" xfId="89" xr:uid="{00000000-0005-0000-0000-000055000000}"/>
    <cellStyle name="Ausgabe 2 3" xfId="90" xr:uid="{00000000-0005-0000-0000-000056000000}"/>
    <cellStyle name="Berechnung 2" xfId="91" xr:uid="{00000000-0005-0000-0000-000057000000}"/>
    <cellStyle name="Berechnung 2 2" xfId="92" xr:uid="{00000000-0005-0000-0000-000058000000}"/>
    <cellStyle name="Berechnung 2 3" xfId="93" xr:uid="{00000000-0005-0000-0000-000059000000}"/>
    <cellStyle name="Eingabe 2" xfId="94" xr:uid="{00000000-0005-0000-0000-00005A000000}"/>
    <cellStyle name="Eingabe 2 2" xfId="95" xr:uid="{00000000-0005-0000-0000-00005B000000}"/>
    <cellStyle name="Eingabe 2 3" xfId="96" xr:uid="{00000000-0005-0000-0000-00005C000000}"/>
    <cellStyle name="Ergebnis 2" xfId="97" xr:uid="{00000000-0005-0000-0000-00005D000000}"/>
    <cellStyle name="Ergebnis 2 2" xfId="98" xr:uid="{00000000-0005-0000-0000-00005E000000}"/>
    <cellStyle name="Ergebnis 2 3" xfId="99" xr:uid="{00000000-0005-0000-0000-00005F000000}"/>
    <cellStyle name="Ergebnis 2 4" xfId="100" xr:uid="{00000000-0005-0000-0000-000060000000}"/>
    <cellStyle name="Erklärender Text 2" xfId="101" xr:uid="{00000000-0005-0000-0000-000061000000}"/>
    <cellStyle name="Erklärender Text 2 2" xfId="102" xr:uid="{00000000-0005-0000-0000-000062000000}"/>
    <cellStyle name="Erklärender Text 2 3" xfId="103" xr:uid="{00000000-0005-0000-0000-000063000000}"/>
    <cellStyle name="Gut 2" xfId="104" xr:uid="{00000000-0005-0000-0000-000064000000}"/>
    <cellStyle name="Gut 2 2" xfId="105" xr:uid="{00000000-0005-0000-0000-000065000000}"/>
    <cellStyle name="Gut 2 3" xfId="106" xr:uid="{00000000-0005-0000-0000-000066000000}"/>
    <cellStyle name="Hyperlink 2" xfId="107" xr:uid="{00000000-0005-0000-0000-000067000000}"/>
    <cellStyle name="Hyperlink 2 2" xfId="108" xr:uid="{00000000-0005-0000-0000-000068000000}"/>
    <cellStyle name="Hyperlink 2 2 2" xfId="109" xr:uid="{00000000-0005-0000-0000-000069000000}"/>
    <cellStyle name="Hyperlink 2 2 3" xfId="110" xr:uid="{00000000-0005-0000-0000-00006A000000}"/>
    <cellStyle name="Hyperlink 2 3" xfId="111" xr:uid="{00000000-0005-0000-0000-00006B000000}"/>
    <cellStyle name="Hyperlink 2 4" xfId="112" xr:uid="{00000000-0005-0000-0000-00006C000000}"/>
    <cellStyle name="Hyperlink 3" xfId="113" xr:uid="{00000000-0005-0000-0000-00006D000000}"/>
    <cellStyle name="Hyperlink 4" xfId="114" xr:uid="{00000000-0005-0000-0000-00006E000000}"/>
    <cellStyle name="Hyperlink 4 2" xfId="115" xr:uid="{00000000-0005-0000-0000-00006F000000}"/>
    <cellStyle name="Hyperlink 4 2 2" xfId="116" xr:uid="{00000000-0005-0000-0000-000070000000}"/>
    <cellStyle name="Hyperlink 4 2 2 2" xfId="117" xr:uid="{00000000-0005-0000-0000-000071000000}"/>
    <cellStyle name="Hyperlink 4 2 2 3" xfId="118" xr:uid="{00000000-0005-0000-0000-000072000000}"/>
    <cellStyle name="Hyperlink 4 2 3" xfId="119" xr:uid="{00000000-0005-0000-0000-000073000000}"/>
    <cellStyle name="Hyperlink 4 2 4" xfId="120" xr:uid="{00000000-0005-0000-0000-000074000000}"/>
    <cellStyle name="Hyperlink 4 3" xfId="121" xr:uid="{00000000-0005-0000-0000-000075000000}"/>
    <cellStyle name="Hyperlink 4 4" xfId="122" xr:uid="{00000000-0005-0000-0000-000076000000}"/>
    <cellStyle name="Hyperlink 5" xfId="123" xr:uid="{00000000-0005-0000-0000-000077000000}"/>
    <cellStyle name="Hyperlink 5 2" xfId="124" xr:uid="{00000000-0005-0000-0000-000078000000}"/>
    <cellStyle name="Hyperlink 5 2 2" xfId="125" xr:uid="{00000000-0005-0000-0000-000079000000}"/>
    <cellStyle name="Hyperlink 5 2 3" xfId="126" xr:uid="{00000000-0005-0000-0000-00007A000000}"/>
    <cellStyle name="Hyperlink 5 3" xfId="127" xr:uid="{00000000-0005-0000-0000-00007B000000}"/>
    <cellStyle name="Hyperlink 5 4" xfId="128" xr:uid="{00000000-0005-0000-0000-00007C000000}"/>
    <cellStyle name="Hyperlink 6" xfId="129" xr:uid="{00000000-0005-0000-0000-00007D000000}"/>
    <cellStyle name="Hyperlink 6 2" xfId="130" xr:uid="{00000000-0005-0000-0000-00007E000000}"/>
    <cellStyle name="Hyperlink 6 3" xfId="131" xr:uid="{00000000-0005-0000-0000-00007F000000}"/>
    <cellStyle name="Hyperlink 6 3 2" xfId="132" xr:uid="{00000000-0005-0000-0000-000080000000}"/>
    <cellStyle name="Hyperlink 6 4" xfId="133" xr:uid="{00000000-0005-0000-0000-000081000000}"/>
    <cellStyle name="Hyperlink 7" xfId="134" xr:uid="{00000000-0005-0000-0000-000082000000}"/>
    <cellStyle name="Hyperlink 7 2" xfId="135" xr:uid="{00000000-0005-0000-0000-000083000000}"/>
    <cellStyle name="Hyperlink 7 3" xfId="136" xr:uid="{00000000-0005-0000-0000-000084000000}"/>
    <cellStyle name="Neutral 2" xfId="137" xr:uid="{00000000-0005-0000-0000-000085000000}"/>
    <cellStyle name="Neutral 2 2" xfId="138" xr:uid="{00000000-0005-0000-0000-000086000000}"/>
    <cellStyle name="Neutral 2 3" xfId="139" xr:uid="{00000000-0005-0000-0000-000087000000}"/>
    <cellStyle name="Neutral 3" xfId="140" xr:uid="{00000000-0005-0000-0000-000088000000}"/>
    <cellStyle name="Normal 2" xfId="141" xr:uid="{00000000-0005-0000-0000-000089000000}"/>
    <cellStyle name="Normal 3" xfId="142" xr:uid="{00000000-0005-0000-0000-00008A000000}"/>
    <cellStyle name="Normal 3 2" xfId="143" xr:uid="{00000000-0005-0000-0000-00008B000000}"/>
    <cellStyle name="Normal 3 2 2" xfId="144" xr:uid="{00000000-0005-0000-0000-00008C000000}"/>
    <cellStyle name="Normal 3 2 2 2" xfId="145" xr:uid="{00000000-0005-0000-0000-00008D000000}"/>
    <cellStyle name="Normal 3 2 2 2 2" xfId="146" xr:uid="{00000000-0005-0000-0000-00008E000000}"/>
    <cellStyle name="Normal 3 2 2 3" xfId="147" xr:uid="{00000000-0005-0000-0000-00008F000000}"/>
    <cellStyle name="Normal 3 2 2 4" xfId="148" xr:uid="{00000000-0005-0000-0000-000090000000}"/>
    <cellStyle name="Normal 3 2 3" xfId="149" xr:uid="{00000000-0005-0000-0000-000091000000}"/>
    <cellStyle name="Normal 3 2 3 2" xfId="150" xr:uid="{00000000-0005-0000-0000-000092000000}"/>
    <cellStyle name="Normal 3 2 4" xfId="151" xr:uid="{00000000-0005-0000-0000-000093000000}"/>
    <cellStyle name="Normal 3 2 5" xfId="152" xr:uid="{00000000-0005-0000-0000-000094000000}"/>
    <cellStyle name="Normal 3 3" xfId="153" xr:uid="{00000000-0005-0000-0000-000095000000}"/>
    <cellStyle name="Normal 3 3 2" xfId="154" xr:uid="{00000000-0005-0000-0000-000096000000}"/>
    <cellStyle name="Normal 3 3 2 2" xfId="155" xr:uid="{00000000-0005-0000-0000-000097000000}"/>
    <cellStyle name="Normal 3 3 3" xfId="156" xr:uid="{00000000-0005-0000-0000-000098000000}"/>
    <cellStyle name="Normal 3 3 4" xfId="157" xr:uid="{00000000-0005-0000-0000-000099000000}"/>
    <cellStyle name="Normal 3 4" xfId="158" xr:uid="{00000000-0005-0000-0000-00009A000000}"/>
    <cellStyle name="Normal 3 4 2" xfId="159" xr:uid="{00000000-0005-0000-0000-00009B000000}"/>
    <cellStyle name="Normal 3 5" xfId="160" xr:uid="{00000000-0005-0000-0000-00009C000000}"/>
    <cellStyle name="Normal 3 6" xfId="161" xr:uid="{00000000-0005-0000-0000-00009D000000}"/>
    <cellStyle name="Normal 3 7" xfId="162" xr:uid="{00000000-0005-0000-0000-00009E000000}"/>
    <cellStyle name="Normal_Companion spreadsheet thru 1Q2006 2" xfId="163" xr:uid="{00000000-0005-0000-0000-00009F000000}"/>
    <cellStyle name="Note 2" xfId="164" xr:uid="{00000000-0005-0000-0000-0000A0000000}"/>
    <cellStyle name="Note 2 2" xfId="165" xr:uid="{00000000-0005-0000-0000-0000A1000000}"/>
    <cellStyle name="Note 2 3" xfId="166" xr:uid="{00000000-0005-0000-0000-0000A2000000}"/>
    <cellStyle name="Note 2 3 2" xfId="167" xr:uid="{00000000-0005-0000-0000-0000A3000000}"/>
    <cellStyle name="Note 2 3 3" xfId="168" xr:uid="{00000000-0005-0000-0000-0000A4000000}"/>
    <cellStyle name="Note 2 3 3 2" xfId="169" xr:uid="{00000000-0005-0000-0000-0000A5000000}"/>
    <cellStyle name="Note 2 3 3 3" xfId="170" xr:uid="{00000000-0005-0000-0000-0000A6000000}"/>
    <cellStyle name="Note 2 3 3 3 2" xfId="171" xr:uid="{00000000-0005-0000-0000-0000A7000000}"/>
    <cellStyle name="Note 2 3 3 4" xfId="172" xr:uid="{00000000-0005-0000-0000-0000A8000000}"/>
    <cellStyle name="Note 2 3 3 4 2" xfId="173" xr:uid="{00000000-0005-0000-0000-0000A9000000}"/>
    <cellStyle name="Note 2 3 3 4 3" xfId="174" xr:uid="{00000000-0005-0000-0000-0000AA000000}"/>
    <cellStyle name="Note 2 3 3 4 3 2" xfId="175" xr:uid="{00000000-0005-0000-0000-0000AB000000}"/>
    <cellStyle name="Note 2 3 3 5" xfId="176" xr:uid="{00000000-0005-0000-0000-0000AC000000}"/>
    <cellStyle name="Note 2 3 3 5 2" xfId="177" xr:uid="{00000000-0005-0000-0000-0000AD000000}"/>
    <cellStyle name="Note 2 3 4" xfId="178" xr:uid="{00000000-0005-0000-0000-0000AE000000}"/>
    <cellStyle name="Notiz 2" xfId="179" xr:uid="{00000000-0005-0000-0000-0000AF000000}"/>
    <cellStyle name="Notiz 2 2" xfId="180" xr:uid="{00000000-0005-0000-0000-0000B0000000}"/>
    <cellStyle name="Notiz 2 3" xfId="181" xr:uid="{00000000-0005-0000-0000-0000B1000000}"/>
    <cellStyle name="Notiz 2 4" xfId="182" xr:uid="{00000000-0005-0000-0000-0000B2000000}"/>
    <cellStyle name="Notiz 3" xfId="183" xr:uid="{00000000-0005-0000-0000-0000B3000000}"/>
    <cellStyle name="Notiz 3 2" xfId="184" xr:uid="{00000000-0005-0000-0000-0000B4000000}"/>
    <cellStyle name="Notiz 3 2 2" xfId="185" xr:uid="{00000000-0005-0000-0000-0000B5000000}"/>
    <cellStyle name="Notiz 3 2 3" xfId="186" xr:uid="{00000000-0005-0000-0000-0000B6000000}"/>
    <cellStyle name="Notiz 3 2 4" xfId="187" xr:uid="{00000000-0005-0000-0000-0000B7000000}"/>
    <cellStyle name="Notiz 3 2 4 2" xfId="188" xr:uid="{00000000-0005-0000-0000-0000B8000000}"/>
    <cellStyle name="Notiz 3 2 4 3" xfId="189" xr:uid="{00000000-0005-0000-0000-0000B9000000}"/>
    <cellStyle name="Notiz 3 2 4 3 2" xfId="190" xr:uid="{00000000-0005-0000-0000-0000BA000000}"/>
    <cellStyle name="Notiz 3 2 5" xfId="191" xr:uid="{00000000-0005-0000-0000-0000BB000000}"/>
    <cellStyle name="Notiz 3 2 5 2" xfId="192" xr:uid="{00000000-0005-0000-0000-0000BC000000}"/>
    <cellStyle name="Schlecht 2" xfId="193" xr:uid="{00000000-0005-0000-0000-0000BD000000}"/>
    <cellStyle name="Schlecht 2 2" xfId="194" xr:uid="{00000000-0005-0000-0000-0000BE000000}"/>
    <cellStyle name="Schlecht 2 3" xfId="195" xr:uid="{00000000-0005-0000-0000-0000BF000000}"/>
    <cellStyle name="Standard" xfId="0" builtinId="0"/>
    <cellStyle name="Standard 10" xfId="196" xr:uid="{00000000-0005-0000-0000-0000C1000000}"/>
    <cellStyle name="Standard 10 2" xfId="197" xr:uid="{00000000-0005-0000-0000-0000C2000000}"/>
    <cellStyle name="Standard 10 2 2" xfId="731" xr:uid="{00000000-0005-0000-0000-0000C3000000}"/>
    <cellStyle name="Standard 10_SysID" xfId="673" xr:uid="{00000000-0005-0000-0000-0000C4000000}"/>
    <cellStyle name="Standard 11" xfId="198" xr:uid="{00000000-0005-0000-0000-0000C5000000}"/>
    <cellStyle name="Standard 11 2" xfId="199" xr:uid="{00000000-0005-0000-0000-0000C6000000}"/>
    <cellStyle name="Standard 11 2 2" xfId="200" xr:uid="{00000000-0005-0000-0000-0000C7000000}"/>
    <cellStyle name="Standard 11 2 3" xfId="674" xr:uid="{00000000-0005-0000-0000-0000C8000000}"/>
    <cellStyle name="Standard 11 2_SysID" xfId="675" xr:uid="{00000000-0005-0000-0000-0000C9000000}"/>
    <cellStyle name="Standard 11 3" xfId="201" xr:uid="{00000000-0005-0000-0000-0000CA000000}"/>
    <cellStyle name="Standard 11 4" xfId="202" xr:uid="{00000000-0005-0000-0000-0000CB000000}"/>
    <cellStyle name="Standard 11 4 2" xfId="676" xr:uid="{00000000-0005-0000-0000-0000CC000000}"/>
    <cellStyle name="Standard 11_SysID" xfId="677" xr:uid="{00000000-0005-0000-0000-0000CD000000}"/>
    <cellStyle name="Standard 12" xfId="203" xr:uid="{00000000-0005-0000-0000-0000CE000000}"/>
    <cellStyle name="Standard 12 2" xfId="204" xr:uid="{00000000-0005-0000-0000-0000CF000000}"/>
    <cellStyle name="Standard 12 3" xfId="205" xr:uid="{00000000-0005-0000-0000-0000D0000000}"/>
    <cellStyle name="Standard 12 3 2" xfId="206" xr:uid="{00000000-0005-0000-0000-0000D1000000}"/>
    <cellStyle name="Standard 12_SysID" xfId="678" xr:uid="{00000000-0005-0000-0000-0000D2000000}"/>
    <cellStyle name="Standard 13" xfId="207" xr:uid="{00000000-0005-0000-0000-0000D3000000}"/>
    <cellStyle name="Standard 13 2" xfId="208" xr:uid="{00000000-0005-0000-0000-0000D4000000}"/>
    <cellStyle name="Standard 13 2 2" xfId="679" xr:uid="{00000000-0005-0000-0000-0000D5000000}"/>
    <cellStyle name="Standard 13 2 2 2" xfId="721" xr:uid="{00000000-0005-0000-0000-0000D6000000}"/>
    <cellStyle name="Standard 13 3" xfId="680" xr:uid="{00000000-0005-0000-0000-0000D7000000}"/>
    <cellStyle name="Standard 13 4" xfId="681" xr:uid="{00000000-0005-0000-0000-0000D8000000}"/>
    <cellStyle name="Standard 13_SysID" xfId="682" xr:uid="{00000000-0005-0000-0000-0000D9000000}"/>
    <cellStyle name="Standard 14" xfId="209" xr:uid="{00000000-0005-0000-0000-0000DA000000}"/>
    <cellStyle name="Standard 14 2" xfId="210" xr:uid="{00000000-0005-0000-0000-0000DB000000}"/>
    <cellStyle name="Standard 14 2 2" xfId="683" xr:uid="{00000000-0005-0000-0000-0000DC000000}"/>
    <cellStyle name="Standard 14 2 2 2" xfId="722" xr:uid="{00000000-0005-0000-0000-0000DD000000}"/>
    <cellStyle name="Standard 14 3" xfId="211" xr:uid="{00000000-0005-0000-0000-0000DE000000}"/>
    <cellStyle name="Standard 14 3 2" xfId="212" xr:uid="{00000000-0005-0000-0000-0000DF000000}"/>
    <cellStyle name="Standard 14 3 3" xfId="684" xr:uid="{00000000-0005-0000-0000-0000E0000000}"/>
    <cellStyle name="Standard 14 4" xfId="685" xr:uid="{00000000-0005-0000-0000-0000E1000000}"/>
    <cellStyle name="Standard 14 4 2" xfId="723" xr:uid="{00000000-0005-0000-0000-0000E2000000}"/>
    <cellStyle name="Standard 14_SysID" xfId="686" xr:uid="{00000000-0005-0000-0000-0000E3000000}"/>
    <cellStyle name="Standard 15" xfId="213" xr:uid="{00000000-0005-0000-0000-0000E4000000}"/>
    <cellStyle name="Standard 15 2" xfId="214" xr:uid="{00000000-0005-0000-0000-0000E5000000}"/>
    <cellStyle name="Standard 15 2 2" xfId="687" xr:uid="{00000000-0005-0000-0000-0000E6000000}"/>
    <cellStyle name="Standard 15 3" xfId="215" xr:uid="{00000000-0005-0000-0000-0000E7000000}"/>
    <cellStyle name="Standard 15 4" xfId="688" xr:uid="{00000000-0005-0000-0000-0000E8000000}"/>
    <cellStyle name="Standard 15_SysID" xfId="689" xr:uid="{00000000-0005-0000-0000-0000E9000000}"/>
    <cellStyle name="Standard 16" xfId="216" xr:uid="{00000000-0005-0000-0000-0000EA000000}"/>
    <cellStyle name="Standard 16 2" xfId="217" xr:uid="{00000000-0005-0000-0000-0000EB000000}"/>
    <cellStyle name="Standard 16 2 2" xfId="690" xr:uid="{00000000-0005-0000-0000-0000EC000000}"/>
    <cellStyle name="Standard 16 2 2 2" xfId="724" xr:uid="{00000000-0005-0000-0000-0000ED000000}"/>
    <cellStyle name="Standard 16 3" xfId="691" xr:uid="{00000000-0005-0000-0000-0000EE000000}"/>
    <cellStyle name="Standard 16 4" xfId="692" xr:uid="{00000000-0005-0000-0000-0000EF000000}"/>
    <cellStyle name="Standard 17" xfId="218" xr:uid="{00000000-0005-0000-0000-0000F0000000}"/>
    <cellStyle name="Standard 17 2" xfId="693" xr:uid="{00000000-0005-0000-0000-0000F1000000}"/>
    <cellStyle name="Standard 18" xfId="219" xr:uid="{00000000-0005-0000-0000-0000F2000000}"/>
    <cellStyle name="Standard 18 2" xfId="220" xr:uid="{00000000-0005-0000-0000-0000F3000000}"/>
    <cellStyle name="Standard 18 3" xfId="221" xr:uid="{00000000-0005-0000-0000-0000F4000000}"/>
    <cellStyle name="Standard 18 4" xfId="725" xr:uid="{00000000-0005-0000-0000-0000F5000000}"/>
    <cellStyle name="Standard 19" xfId="3" xr:uid="{00000000-0005-0000-0000-0000F6000000}"/>
    <cellStyle name="Standard 19 2" xfId="694" xr:uid="{00000000-0005-0000-0000-0000F7000000}"/>
    <cellStyle name="Standard 19 3" xfId="719" xr:uid="{00000000-0005-0000-0000-0000F8000000}"/>
    <cellStyle name="Standard 19 4" xfId="717" xr:uid="{00000000-0005-0000-0000-0000F9000000}"/>
    <cellStyle name="Standard 2" xfId="222" xr:uid="{00000000-0005-0000-0000-0000FA000000}"/>
    <cellStyle name="Standard 2 2" xfId="223" xr:uid="{00000000-0005-0000-0000-0000FB000000}"/>
    <cellStyle name="Standard 2 2 2" xfId="224" xr:uid="{00000000-0005-0000-0000-0000FC000000}"/>
    <cellStyle name="Standard 2 2 2 2" xfId="225" xr:uid="{00000000-0005-0000-0000-0000FD000000}"/>
    <cellStyle name="Standard 2 2 3" xfId="226" xr:uid="{00000000-0005-0000-0000-0000FE000000}"/>
    <cellStyle name="Standard 2 3" xfId="227" xr:uid="{00000000-0005-0000-0000-0000FF000000}"/>
    <cellStyle name="Standard 2 3 2" xfId="228" xr:uid="{00000000-0005-0000-0000-000000010000}"/>
    <cellStyle name="Standard 2 3 2 2" xfId="229" xr:uid="{00000000-0005-0000-0000-000001010000}"/>
    <cellStyle name="Standard 2 3 2 3" xfId="230" xr:uid="{00000000-0005-0000-0000-000002010000}"/>
    <cellStyle name="Standard 2 3 3" xfId="231" xr:uid="{00000000-0005-0000-0000-000003010000}"/>
    <cellStyle name="Standard 2 3 3 2" xfId="232" xr:uid="{00000000-0005-0000-0000-000004010000}"/>
    <cellStyle name="Standard 2 3 3 2 2" xfId="233" xr:uid="{00000000-0005-0000-0000-000005010000}"/>
    <cellStyle name="Standard 2 3 3 2 3" xfId="234" xr:uid="{00000000-0005-0000-0000-000006010000}"/>
    <cellStyle name="Standard 2 3 3 3" xfId="235" xr:uid="{00000000-0005-0000-0000-000007010000}"/>
    <cellStyle name="Standard 2 3 3 3 2" xfId="236" xr:uid="{00000000-0005-0000-0000-000008010000}"/>
    <cellStyle name="Standard 2 3 3 3 2 2" xfId="237" xr:uid="{00000000-0005-0000-0000-000009010000}"/>
    <cellStyle name="Standard 2 3 3 3 2 3" xfId="238" xr:uid="{00000000-0005-0000-0000-00000A010000}"/>
    <cellStyle name="Standard 2 3 3 3 3" xfId="239" xr:uid="{00000000-0005-0000-0000-00000B010000}"/>
    <cellStyle name="Standard 2 3 3 3 4" xfId="240" xr:uid="{00000000-0005-0000-0000-00000C010000}"/>
    <cellStyle name="Standard 2 3 3 3 4 2" xfId="241" xr:uid="{00000000-0005-0000-0000-00000D010000}"/>
    <cellStyle name="Standard 2 3 3 3 4 2 2" xfId="242" xr:uid="{00000000-0005-0000-0000-00000E010000}"/>
    <cellStyle name="Standard 2 3 3 3 4 2 2 2" xfId="243" xr:uid="{00000000-0005-0000-0000-00000F010000}"/>
    <cellStyle name="Standard 2 3 3 3 4 2 3" xfId="244" xr:uid="{00000000-0005-0000-0000-000010010000}"/>
    <cellStyle name="Standard 2 3 3 3 4 2 4" xfId="245" xr:uid="{00000000-0005-0000-0000-000011010000}"/>
    <cellStyle name="Standard 2 3 3 3 4 2 5" xfId="246" xr:uid="{00000000-0005-0000-0000-000012010000}"/>
    <cellStyle name="Standard 2 3 3 3 4 2 5 2" xfId="247" xr:uid="{00000000-0005-0000-0000-000013010000}"/>
    <cellStyle name="Standard 2 3 3 3 4 2 5 3" xfId="248" xr:uid="{00000000-0005-0000-0000-000014010000}"/>
    <cellStyle name="Standard 2 3 3 3 4 2 5 3 2" xfId="249" xr:uid="{00000000-0005-0000-0000-000015010000}"/>
    <cellStyle name="Standard 2 3 3 3 4 2 6" xfId="250" xr:uid="{00000000-0005-0000-0000-000016010000}"/>
    <cellStyle name="Standard 2 3 3 3 4 2 6 2" xfId="251" xr:uid="{00000000-0005-0000-0000-000017010000}"/>
    <cellStyle name="Standard 2 3 3 3 5" xfId="252" xr:uid="{00000000-0005-0000-0000-000018010000}"/>
    <cellStyle name="Standard 2 3 3 3 5 2" xfId="253" xr:uid="{00000000-0005-0000-0000-000019010000}"/>
    <cellStyle name="Standard 2 3 3 3 6" xfId="254" xr:uid="{00000000-0005-0000-0000-00001A010000}"/>
    <cellStyle name="Standard 2 3 3 3 6 2" xfId="255" xr:uid="{00000000-0005-0000-0000-00001B010000}"/>
    <cellStyle name="Standard 2 3 3 3 6 3" xfId="256" xr:uid="{00000000-0005-0000-0000-00001C010000}"/>
    <cellStyle name="Standard 2 3 3 3 6 3 2" xfId="257" xr:uid="{00000000-0005-0000-0000-00001D010000}"/>
    <cellStyle name="Standard 2 3 3 3 7" xfId="258" xr:uid="{00000000-0005-0000-0000-00001E010000}"/>
    <cellStyle name="Standard 2 3 3 3 7 2" xfId="259" xr:uid="{00000000-0005-0000-0000-00001F010000}"/>
    <cellStyle name="Standard 2 3 3 4" xfId="260" xr:uid="{00000000-0005-0000-0000-000020010000}"/>
    <cellStyle name="Standard 2 3 3 4 2" xfId="261" xr:uid="{00000000-0005-0000-0000-000021010000}"/>
    <cellStyle name="Standard 2 3 3 4 2 2" xfId="262" xr:uid="{00000000-0005-0000-0000-000022010000}"/>
    <cellStyle name="Standard 2 3 3 4 2 2 2" xfId="263" xr:uid="{00000000-0005-0000-0000-000023010000}"/>
    <cellStyle name="Standard 2 3 3 4 2 3" xfId="264" xr:uid="{00000000-0005-0000-0000-000024010000}"/>
    <cellStyle name="Standard 2 3 3 4 2 4" xfId="265" xr:uid="{00000000-0005-0000-0000-000025010000}"/>
    <cellStyle name="Standard 2 3 3 4 2 5" xfId="266" xr:uid="{00000000-0005-0000-0000-000026010000}"/>
    <cellStyle name="Standard 2 3 3 4 2 5 2" xfId="267" xr:uid="{00000000-0005-0000-0000-000027010000}"/>
    <cellStyle name="Standard 2 3 3 4 2 5 3" xfId="268" xr:uid="{00000000-0005-0000-0000-000028010000}"/>
    <cellStyle name="Standard 2 3 3 4 2 5 3 2" xfId="269" xr:uid="{00000000-0005-0000-0000-000029010000}"/>
    <cellStyle name="Standard 2 3 3 4 2 6" xfId="270" xr:uid="{00000000-0005-0000-0000-00002A010000}"/>
    <cellStyle name="Standard 2 3 3 4 2 6 2" xfId="271" xr:uid="{00000000-0005-0000-0000-00002B010000}"/>
    <cellStyle name="Standard 2 3 3 5" xfId="272" xr:uid="{00000000-0005-0000-0000-00002C010000}"/>
    <cellStyle name="Standard 2 3 3 5 2" xfId="273" xr:uid="{00000000-0005-0000-0000-00002D010000}"/>
    <cellStyle name="Standard 2 3 3 6" xfId="274" xr:uid="{00000000-0005-0000-0000-00002E010000}"/>
    <cellStyle name="Standard 2 3 3 6 2" xfId="275" xr:uid="{00000000-0005-0000-0000-00002F010000}"/>
    <cellStyle name="Standard 2 3 3 6 3" xfId="276" xr:uid="{00000000-0005-0000-0000-000030010000}"/>
    <cellStyle name="Standard 2 3 3 6 3 2" xfId="277" xr:uid="{00000000-0005-0000-0000-000031010000}"/>
    <cellStyle name="Standard 2 3 3 7" xfId="278" xr:uid="{00000000-0005-0000-0000-000032010000}"/>
    <cellStyle name="Standard 2 3 3 7 2" xfId="279" xr:uid="{00000000-0005-0000-0000-000033010000}"/>
    <cellStyle name="Standard 2 3 3 7 3" xfId="280" xr:uid="{00000000-0005-0000-0000-000034010000}"/>
    <cellStyle name="Standard 2 3 3 7 3 2" xfId="281" xr:uid="{00000000-0005-0000-0000-000035010000}"/>
    <cellStyle name="Standard 2 3 3 8" xfId="282" xr:uid="{00000000-0005-0000-0000-000036010000}"/>
    <cellStyle name="Standard 2 3 3 8 2" xfId="283" xr:uid="{00000000-0005-0000-0000-000037010000}"/>
    <cellStyle name="Standard 2 3 4" xfId="284" xr:uid="{00000000-0005-0000-0000-000038010000}"/>
    <cellStyle name="Standard 2 3 5" xfId="285" xr:uid="{00000000-0005-0000-0000-000039010000}"/>
    <cellStyle name="Standard 2 3 6" xfId="727" xr:uid="{00000000-0005-0000-0000-00003A010000}"/>
    <cellStyle name="Standard 2 3 7" xfId="726" xr:uid="{00000000-0005-0000-0000-00003B010000}"/>
    <cellStyle name="Standard 2 4" xfId="286" xr:uid="{00000000-0005-0000-0000-00003C010000}"/>
    <cellStyle name="Standard 2 4 2" xfId="287" xr:uid="{00000000-0005-0000-0000-00003D010000}"/>
    <cellStyle name="Standard 2 4 2 2" xfId="288" xr:uid="{00000000-0005-0000-0000-00003E010000}"/>
    <cellStyle name="Standard 2 4 2 3" xfId="289" xr:uid="{00000000-0005-0000-0000-00003F010000}"/>
    <cellStyle name="Standard 2 4 3" xfId="290" xr:uid="{00000000-0005-0000-0000-000040010000}"/>
    <cellStyle name="Standard 2 4 3 2" xfId="291" xr:uid="{00000000-0005-0000-0000-000041010000}"/>
    <cellStyle name="Standard 2 4 3 2 2" xfId="292" xr:uid="{00000000-0005-0000-0000-000042010000}"/>
    <cellStyle name="Standard 2 4 3 2 3" xfId="293" xr:uid="{00000000-0005-0000-0000-000043010000}"/>
    <cellStyle name="Standard 2 4 3 3" xfId="294" xr:uid="{00000000-0005-0000-0000-000044010000}"/>
    <cellStyle name="Standard 2 4 3 3 2" xfId="295" xr:uid="{00000000-0005-0000-0000-000045010000}"/>
    <cellStyle name="Standard 2 4 3 3 2 2" xfId="296" xr:uid="{00000000-0005-0000-0000-000046010000}"/>
    <cellStyle name="Standard 2 4 3 3 2 3" xfId="297" xr:uid="{00000000-0005-0000-0000-000047010000}"/>
    <cellStyle name="Standard 2 4 3 3 3" xfId="298" xr:uid="{00000000-0005-0000-0000-000048010000}"/>
    <cellStyle name="Standard 2 4 3 3 4" xfId="299" xr:uid="{00000000-0005-0000-0000-000049010000}"/>
    <cellStyle name="Standard 2 4 3 3 4 2" xfId="300" xr:uid="{00000000-0005-0000-0000-00004A010000}"/>
    <cellStyle name="Standard 2 4 3 3 4 2 2" xfId="301" xr:uid="{00000000-0005-0000-0000-00004B010000}"/>
    <cellStyle name="Standard 2 4 3 3 4 2 2 2" xfId="302" xr:uid="{00000000-0005-0000-0000-00004C010000}"/>
    <cellStyle name="Standard 2 4 3 3 4 2 3" xfId="303" xr:uid="{00000000-0005-0000-0000-00004D010000}"/>
    <cellStyle name="Standard 2 4 3 3 4 2 4" xfId="304" xr:uid="{00000000-0005-0000-0000-00004E010000}"/>
    <cellStyle name="Standard 2 4 3 3 4 2 5" xfId="305" xr:uid="{00000000-0005-0000-0000-00004F010000}"/>
    <cellStyle name="Standard 2 4 3 3 4 2 5 2" xfId="306" xr:uid="{00000000-0005-0000-0000-000050010000}"/>
    <cellStyle name="Standard 2 4 3 3 4 2 5 3" xfId="307" xr:uid="{00000000-0005-0000-0000-000051010000}"/>
    <cellStyle name="Standard 2 4 3 3 4 2 5 3 2" xfId="308" xr:uid="{00000000-0005-0000-0000-000052010000}"/>
    <cellStyle name="Standard 2 4 3 3 4 2 6" xfId="309" xr:uid="{00000000-0005-0000-0000-000053010000}"/>
    <cellStyle name="Standard 2 4 3 3 4 2 6 2" xfId="310" xr:uid="{00000000-0005-0000-0000-000054010000}"/>
    <cellStyle name="Standard 2 4 3 3 5" xfId="311" xr:uid="{00000000-0005-0000-0000-000055010000}"/>
    <cellStyle name="Standard 2 4 3 3 5 2" xfId="312" xr:uid="{00000000-0005-0000-0000-000056010000}"/>
    <cellStyle name="Standard 2 4 3 3 6" xfId="313" xr:uid="{00000000-0005-0000-0000-000057010000}"/>
    <cellStyle name="Standard 2 4 3 3 6 2" xfId="314" xr:uid="{00000000-0005-0000-0000-000058010000}"/>
    <cellStyle name="Standard 2 4 3 3 6 3" xfId="315" xr:uid="{00000000-0005-0000-0000-000059010000}"/>
    <cellStyle name="Standard 2 4 3 3 6 3 2" xfId="316" xr:uid="{00000000-0005-0000-0000-00005A010000}"/>
    <cellStyle name="Standard 2 4 3 3 7" xfId="317" xr:uid="{00000000-0005-0000-0000-00005B010000}"/>
    <cellStyle name="Standard 2 4 3 3 7 2" xfId="318" xr:uid="{00000000-0005-0000-0000-00005C010000}"/>
    <cellStyle name="Standard 2 4 3 4" xfId="319" xr:uid="{00000000-0005-0000-0000-00005D010000}"/>
    <cellStyle name="Standard 2 4 3 4 2" xfId="320" xr:uid="{00000000-0005-0000-0000-00005E010000}"/>
    <cellStyle name="Standard 2 4 3 4 2 2" xfId="321" xr:uid="{00000000-0005-0000-0000-00005F010000}"/>
    <cellStyle name="Standard 2 4 3 4 2 2 2" xfId="322" xr:uid="{00000000-0005-0000-0000-000060010000}"/>
    <cellStyle name="Standard 2 4 3 4 2 3" xfId="323" xr:uid="{00000000-0005-0000-0000-000061010000}"/>
    <cellStyle name="Standard 2 4 3 4 2 4" xfId="324" xr:uid="{00000000-0005-0000-0000-000062010000}"/>
    <cellStyle name="Standard 2 4 3 4 2 5" xfId="325" xr:uid="{00000000-0005-0000-0000-000063010000}"/>
    <cellStyle name="Standard 2 4 3 4 2 5 2" xfId="326" xr:uid="{00000000-0005-0000-0000-000064010000}"/>
    <cellStyle name="Standard 2 4 3 4 2 5 3" xfId="327" xr:uid="{00000000-0005-0000-0000-000065010000}"/>
    <cellStyle name="Standard 2 4 3 4 2 5 3 2" xfId="328" xr:uid="{00000000-0005-0000-0000-000066010000}"/>
    <cellStyle name="Standard 2 4 3 4 2 6" xfId="329" xr:uid="{00000000-0005-0000-0000-000067010000}"/>
    <cellStyle name="Standard 2 4 3 4 2 6 2" xfId="330" xr:uid="{00000000-0005-0000-0000-000068010000}"/>
    <cellStyle name="Standard 2 4 3 5" xfId="331" xr:uid="{00000000-0005-0000-0000-000069010000}"/>
    <cellStyle name="Standard 2 4 3 5 2" xfId="332" xr:uid="{00000000-0005-0000-0000-00006A010000}"/>
    <cellStyle name="Standard 2 4 3 6" xfId="333" xr:uid="{00000000-0005-0000-0000-00006B010000}"/>
    <cellStyle name="Standard 2 4 3 6 2" xfId="334" xr:uid="{00000000-0005-0000-0000-00006C010000}"/>
    <cellStyle name="Standard 2 4 3 6 3" xfId="335" xr:uid="{00000000-0005-0000-0000-00006D010000}"/>
    <cellStyle name="Standard 2 4 3 6 3 2" xfId="336" xr:uid="{00000000-0005-0000-0000-00006E010000}"/>
    <cellStyle name="Standard 2 4 3 7" xfId="337" xr:uid="{00000000-0005-0000-0000-00006F010000}"/>
    <cellStyle name="Standard 2 4 3 7 2" xfId="338" xr:uid="{00000000-0005-0000-0000-000070010000}"/>
    <cellStyle name="Standard 2 4 3 7 3" xfId="339" xr:uid="{00000000-0005-0000-0000-000071010000}"/>
    <cellStyle name="Standard 2 4 3 7 3 2" xfId="340" xr:uid="{00000000-0005-0000-0000-000072010000}"/>
    <cellStyle name="Standard 2 4 3 8" xfId="341" xr:uid="{00000000-0005-0000-0000-000073010000}"/>
    <cellStyle name="Standard 2 4 3 8 2" xfId="342" xr:uid="{00000000-0005-0000-0000-000074010000}"/>
    <cellStyle name="Standard 2 5" xfId="343" xr:uid="{00000000-0005-0000-0000-000075010000}"/>
    <cellStyle name="Standard 2 6" xfId="344" xr:uid="{00000000-0005-0000-0000-000076010000}"/>
    <cellStyle name="Standard 2 6 2" xfId="345" xr:uid="{00000000-0005-0000-0000-000077010000}"/>
    <cellStyle name="Standard 2 6 3" xfId="346" xr:uid="{00000000-0005-0000-0000-000078010000}"/>
    <cellStyle name="Standard 2 6 4" xfId="728" xr:uid="{00000000-0005-0000-0000-000079010000}"/>
    <cellStyle name="Standard 2 7" xfId="347" xr:uid="{00000000-0005-0000-0000-00007A010000}"/>
    <cellStyle name="Standard 20" xfId="695" xr:uid="{00000000-0005-0000-0000-00007B010000}"/>
    <cellStyle name="Standard 20 2" xfId="729" xr:uid="{00000000-0005-0000-0000-00007C010000}"/>
    <cellStyle name="Standard 21" xfId="696" xr:uid="{00000000-0005-0000-0000-00007D010000}"/>
    <cellStyle name="Standard 22" xfId="697" xr:uid="{00000000-0005-0000-0000-00007E010000}"/>
    <cellStyle name="Standard 23" xfId="698" xr:uid="{00000000-0005-0000-0000-00007F010000}"/>
    <cellStyle name="Standard 24" xfId="699" xr:uid="{00000000-0005-0000-0000-000080010000}"/>
    <cellStyle name="Standard 25" xfId="700" xr:uid="{00000000-0005-0000-0000-000081010000}"/>
    <cellStyle name="Standard 26" xfId="720" xr:uid="{00000000-0005-0000-0000-000082010000}"/>
    <cellStyle name="Standard 3" xfId="348" xr:uid="{00000000-0005-0000-0000-000083010000}"/>
    <cellStyle name="Standard 3 2" xfId="349" xr:uid="{00000000-0005-0000-0000-000084010000}"/>
    <cellStyle name="Standard 3 2 2" xfId="672" xr:uid="{00000000-0005-0000-0000-000085010000}"/>
    <cellStyle name="Standard 3 3" xfId="350" xr:uid="{00000000-0005-0000-0000-000086010000}"/>
    <cellStyle name="Standard 3 4" xfId="351" xr:uid="{00000000-0005-0000-0000-000087010000}"/>
    <cellStyle name="Standard 3 5" xfId="352" xr:uid="{00000000-0005-0000-0000-000088010000}"/>
    <cellStyle name="Standard 3 6" xfId="669" xr:uid="{00000000-0005-0000-0000-000089010000}"/>
    <cellStyle name="Standard 3_SysID" xfId="701" xr:uid="{00000000-0005-0000-0000-00008A010000}"/>
    <cellStyle name="Standard 4" xfId="353" xr:uid="{00000000-0005-0000-0000-00008B010000}"/>
    <cellStyle name="Standard 4 10" xfId="354" xr:uid="{00000000-0005-0000-0000-00008C010000}"/>
    <cellStyle name="Standard 4 10 2" xfId="702" xr:uid="{00000000-0005-0000-0000-00008D010000}"/>
    <cellStyle name="Standard 4 11" xfId="355" xr:uid="{00000000-0005-0000-0000-00008E010000}"/>
    <cellStyle name="Standard 4 12" xfId="670" xr:uid="{00000000-0005-0000-0000-00008F010000}"/>
    <cellStyle name="Standard 4 13" xfId="718" xr:uid="{00000000-0005-0000-0000-000090010000}"/>
    <cellStyle name="Standard 4 2" xfId="356" xr:uid="{00000000-0005-0000-0000-000091010000}"/>
    <cellStyle name="Standard 4 2 2" xfId="357" xr:uid="{00000000-0005-0000-0000-000092010000}"/>
    <cellStyle name="Standard 4 2 2 2" xfId="358" xr:uid="{00000000-0005-0000-0000-000093010000}"/>
    <cellStyle name="Standard 4 2 2 2 2" xfId="359" xr:uid="{00000000-0005-0000-0000-000094010000}"/>
    <cellStyle name="Standard 4 2 2 2 2 2" xfId="360" xr:uid="{00000000-0005-0000-0000-000095010000}"/>
    <cellStyle name="Standard 4 2 2 2 2 2 2" xfId="361" xr:uid="{00000000-0005-0000-0000-000096010000}"/>
    <cellStyle name="Standard 4 2 2 2 2 3" xfId="362" xr:uid="{00000000-0005-0000-0000-000097010000}"/>
    <cellStyle name="Standard 4 2 2 2 2 4" xfId="363" xr:uid="{00000000-0005-0000-0000-000098010000}"/>
    <cellStyle name="Standard 4 2 2 2 3" xfId="364" xr:uid="{00000000-0005-0000-0000-000099010000}"/>
    <cellStyle name="Standard 4 2 2 2 3 2" xfId="365" xr:uid="{00000000-0005-0000-0000-00009A010000}"/>
    <cellStyle name="Standard 4 2 2 2 4" xfId="366" xr:uid="{00000000-0005-0000-0000-00009B010000}"/>
    <cellStyle name="Standard 4 2 2 2 5" xfId="367" xr:uid="{00000000-0005-0000-0000-00009C010000}"/>
    <cellStyle name="Standard 4 2 2 3" xfId="368" xr:uid="{00000000-0005-0000-0000-00009D010000}"/>
    <cellStyle name="Standard 4 2 2 3 2" xfId="369" xr:uid="{00000000-0005-0000-0000-00009E010000}"/>
    <cellStyle name="Standard 4 2 2 3 2 2" xfId="370" xr:uid="{00000000-0005-0000-0000-00009F010000}"/>
    <cellStyle name="Standard 4 2 2 3 3" xfId="371" xr:uid="{00000000-0005-0000-0000-0000A0010000}"/>
    <cellStyle name="Standard 4 2 2 3 4" xfId="372" xr:uid="{00000000-0005-0000-0000-0000A1010000}"/>
    <cellStyle name="Standard 4 2 2 4" xfId="373" xr:uid="{00000000-0005-0000-0000-0000A2010000}"/>
    <cellStyle name="Standard 4 2 2 4 2" xfId="374" xr:uid="{00000000-0005-0000-0000-0000A3010000}"/>
    <cellStyle name="Standard 4 2 2 5" xfId="375" xr:uid="{00000000-0005-0000-0000-0000A4010000}"/>
    <cellStyle name="Standard 4 2 2 6" xfId="376" xr:uid="{00000000-0005-0000-0000-0000A5010000}"/>
    <cellStyle name="Standard 4 2 3" xfId="377" xr:uid="{00000000-0005-0000-0000-0000A6010000}"/>
    <cellStyle name="Standard 4 2 3 2" xfId="378" xr:uid="{00000000-0005-0000-0000-0000A7010000}"/>
    <cellStyle name="Standard 4 2 3 2 2" xfId="379" xr:uid="{00000000-0005-0000-0000-0000A8010000}"/>
    <cellStyle name="Standard 4 2 3 2 2 2" xfId="380" xr:uid="{00000000-0005-0000-0000-0000A9010000}"/>
    <cellStyle name="Standard 4 2 3 2 2 2 2" xfId="381" xr:uid="{00000000-0005-0000-0000-0000AA010000}"/>
    <cellStyle name="Standard 4 2 3 2 2 3" xfId="382" xr:uid="{00000000-0005-0000-0000-0000AB010000}"/>
    <cellStyle name="Standard 4 2 3 2 2 4" xfId="383" xr:uid="{00000000-0005-0000-0000-0000AC010000}"/>
    <cellStyle name="Standard 4 2 3 2 3" xfId="384" xr:uid="{00000000-0005-0000-0000-0000AD010000}"/>
    <cellStyle name="Standard 4 2 3 2 3 2" xfId="385" xr:uid="{00000000-0005-0000-0000-0000AE010000}"/>
    <cellStyle name="Standard 4 2 3 2 4" xfId="386" xr:uid="{00000000-0005-0000-0000-0000AF010000}"/>
    <cellStyle name="Standard 4 2 3 2 5" xfId="387" xr:uid="{00000000-0005-0000-0000-0000B0010000}"/>
    <cellStyle name="Standard 4 2 3 3" xfId="388" xr:uid="{00000000-0005-0000-0000-0000B1010000}"/>
    <cellStyle name="Standard 4 2 3 3 2" xfId="389" xr:uid="{00000000-0005-0000-0000-0000B2010000}"/>
    <cellStyle name="Standard 4 2 3 3 2 2" xfId="390" xr:uid="{00000000-0005-0000-0000-0000B3010000}"/>
    <cellStyle name="Standard 4 2 3 3 3" xfId="391" xr:uid="{00000000-0005-0000-0000-0000B4010000}"/>
    <cellStyle name="Standard 4 2 3 3 4" xfId="392" xr:uid="{00000000-0005-0000-0000-0000B5010000}"/>
    <cellStyle name="Standard 4 2 3 4" xfId="393" xr:uid="{00000000-0005-0000-0000-0000B6010000}"/>
    <cellStyle name="Standard 4 2 3 4 2" xfId="394" xr:uid="{00000000-0005-0000-0000-0000B7010000}"/>
    <cellStyle name="Standard 4 2 3 5" xfId="395" xr:uid="{00000000-0005-0000-0000-0000B8010000}"/>
    <cellStyle name="Standard 4 2 3 6" xfId="396" xr:uid="{00000000-0005-0000-0000-0000B9010000}"/>
    <cellStyle name="Standard 4 2 4" xfId="397" xr:uid="{00000000-0005-0000-0000-0000BA010000}"/>
    <cellStyle name="Standard 4 2 4 2" xfId="398" xr:uid="{00000000-0005-0000-0000-0000BB010000}"/>
    <cellStyle name="Standard 4 2 4 2 2" xfId="399" xr:uid="{00000000-0005-0000-0000-0000BC010000}"/>
    <cellStyle name="Standard 4 2 4 2 2 2" xfId="400" xr:uid="{00000000-0005-0000-0000-0000BD010000}"/>
    <cellStyle name="Standard 4 2 4 2 3" xfId="401" xr:uid="{00000000-0005-0000-0000-0000BE010000}"/>
    <cellStyle name="Standard 4 2 4 2 4" xfId="402" xr:uid="{00000000-0005-0000-0000-0000BF010000}"/>
    <cellStyle name="Standard 4 2 4 3" xfId="403" xr:uid="{00000000-0005-0000-0000-0000C0010000}"/>
    <cellStyle name="Standard 4 2 4 3 2" xfId="404" xr:uid="{00000000-0005-0000-0000-0000C1010000}"/>
    <cellStyle name="Standard 4 2 4 4" xfId="405" xr:uid="{00000000-0005-0000-0000-0000C2010000}"/>
    <cellStyle name="Standard 4 2 4 5" xfId="406" xr:uid="{00000000-0005-0000-0000-0000C3010000}"/>
    <cellStyle name="Standard 4 2 5" xfId="407" xr:uid="{00000000-0005-0000-0000-0000C4010000}"/>
    <cellStyle name="Standard 4 2 5 2" xfId="408" xr:uid="{00000000-0005-0000-0000-0000C5010000}"/>
    <cellStyle name="Standard 4 2 5 2 2" xfId="409" xr:uid="{00000000-0005-0000-0000-0000C6010000}"/>
    <cellStyle name="Standard 4 2 5 3" xfId="410" xr:uid="{00000000-0005-0000-0000-0000C7010000}"/>
    <cellStyle name="Standard 4 2 5 4" xfId="411" xr:uid="{00000000-0005-0000-0000-0000C8010000}"/>
    <cellStyle name="Standard 4 2 6" xfId="412" xr:uid="{00000000-0005-0000-0000-0000C9010000}"/>
    <cellStyle name="Standard 4 2 6 2" xfId="413" xr:uid="{00000000-0005-0000-0000-0000CA010000}"/>
    <cellStyle name="Standard 4 2 7" xfId="414" xr:uid="{00000000-0005-0000-0000-0000CB010000}"/>
    <cellStyle name="Standard 4 2 7 2" xfId="703" xr:uid="{00000000-0005-0000-0000-0000CC010000}"/>
    <cellStyle name="Standard 4 2 8" xfId="415" xr:uid="{00000000-0005-0000-0000-0000CD010000}"/>
    <cellStyle name="Standard 4 2_SysID" xfId="704" xr:uid="{00000000-0005-0000-0000-0000CE010000}"/>
    <cellStyle name="Standard 4 3" xfId="416" xr:uid="{00000000-0005-0000-0000-0000CF010000}"/>
    <cellStyle name="Standard 4 3 2" xfId="417" xr:uid="{00000000-0005-0000-0000-0000D0010000}"/>
    <cellStyle name="Standard 4 3 2 2" xfId="418" xr:uid="{00000000-0005-0000-0000-0000D1010000}"/>
    <cellStyle name="Standard 4 3 2 2 2" xfId="419" xr:uid="{00000000-0005-0000-0000-0000D2010000}"/>
    <cellStyle name="Standard 4 3 2 2 2 2" xfId="420" xr:uid="{00000000-0005-0000-0000-0000D3010000}"/>
    <cellStyle name="Standard 4 3 2 2 3" xfId="421" xr:uid="{00000000-0005-0000-0000-0000D4010000}"/>
    <cellStyle name="Standard 4 3 2 2 4" xfId="422" xr:uid="{00000000-0005-0000-0000-0000D5010000}"/>
    <cellStyle name="Standard 4 3 2 3" xfId="423" xr:uid="{00000000-0005-0000-0000-0000D6010000}"/>
    <cellStyle name="Standard 4 3 2 3 2" xfId="424" xr:uid="{00000000-0005-0000-0000-0000D7010000}"/>
    <cellStyle name="Standard 4 3 2 4" xfId="425" xr:uid="{00000000-0005-0000-0000-0000D8010000}"/>
    <cellStyle name="Standard 4 3 2 5" xfId="426" xr:uid="{00000000-0005-0000-0000-0000D9010000}"/>
    <cellStyle name="Standard 4 3 3" xfId="427" xr:uid="{00000000-0005-0000-0000-0000DA010000}"/>
    <cellStyle name="Standard 4 3 3 2" xfId="428" xr:uid="{00000000-0005-0000-0000-0000DB010000}"/>
    <cellStyle name="Standard 4 3 3 2 2" xfId="429" xr:uid="{00000000-0005-0000-0000-0000DC010000}"/>
    <cellStyle name="Standard 4 3 3 3" xfId="430" xr:uid="{00000000-0005-0000-0000-0000DD010000}"/>
    <cellStyle name="Standard 4 3 3 4" xfId="431" xr:uid="{00000000-0005-0000-0000-0000DE010000}"/>
    <cellStyle name="Standard 4 3 4" xfId="432" xr:uid="{00000000-0005-0000-0000-0000DF010000}"/>
    <cellStyle name="Standard 4 3 4 2" xfId="433" xr:uid="{00000000-0005-0000-0000-0000E0010000}"/>
    <cellStyle name="Standard 4 3 5" xfId="434" xr:uid="{00000000-0005-0000-0000-0000E1010000}"/>
    <cellStyle name="Standard 4 3 6" xfId="435" xr:uid="{00000000-0005-0000-0000-0000E2010000}"/>
    <cellStyle name="Standard 4 4" xfId="436" xr:uid="{00000000-0005-0000-0000-0000E3010000}"/>
    <cellStyle name="Standard 4 4 2" xfId="437" xr:uid="{00000000-0005-0000-0000-0000E4010000}"/>
    <cellStyle name="Standard 4 4 2 2" xfId="438" xr:uid="{00000000-0005-0000-0000-0000E5010000}"/>
    <cellStyle name="Standard 4 4 2 2 2" xfId="439" xr:uid="{00000000-0005-0000-0000-0000E6010000}"/>
    <cellStyle name="Standard 4 4 2 2 2 2" xfId="440" xr:uid="{00000000-0005-0000-0000-0000E7010000}"/>
    <cellStyle name="Standard 4 4 2 2 3" xfId="441" xr:uid="{00000000-0005-0000-0000-0000E8010000}"/>
    <cellStyle name="Standard 4 4 2 2 4" xfId="442" xr:uid="{00000000-0005-0000-0000-0000E9010000}"/>
    <cellStyle name="Standard 4 4 2 3" xfId="443" xr:uid="{00000000-0005-0000-0000-0000EA010000}"/>
    <cellStyle name="Standard 4 4 2 3 2" xfId="444" xr:uid="{00000000-0005-0000-0000-0000EB010000}"/>
    <cellStyle name="Standard 4 4 2 4" xfId="445" xr:uid="{00000000-0005-0000-0000-0000EC010000}"/>
    <cellStyle name="Standard 4 4 2 5" xfId="446" xr:uid="{00000000-0005-0000-0000-0000ED010000}"/>
    <cellStyle name="Standard 4 4 3" xfId="447" xr:uid="{00000000-0005-0000-0000-0000EE010000}"/>
    <cellStyle name="Standard 4 4 3 2" xfId="448" xr:uid="{00000000-0005-0000-0000-0000EF010000}"/>
    <cellStyle name="Standard 4 4 3 2 2" xfId="449" xr:uid="{00000000-0005-0000-0000-0000F0010000}"/>
    <cellStyle name="Standard 4 4 3 3" xfId="450" xr:uid="{00000000-0005-0000-0000-0000F1010000}"/>
    <cellStyle name="Standard 4 4 3 4" xfId="451" xr:uid="{00000000-0005-0000-0000-0000F2010000}"/>
    <cellStyle name="Standard 4 4 4" xfId="452" xr:uid="{00000000-0005-0000-0000-0000F3010000}"/>
    <cellStyle name="Standard 4 4 4 2" xfId="453" xr:uid="{00000000-0005-0000-0000-0000F4010000}"/>
    <cellStyle name="Standard 4 4 5" xfId="454" xr:uid="{00000000-0005-0000-0000-0000F5010000}"/>
    <cellStyle name="Standard 4 4 6" xfId="455" xr:uid="{00000000-0005-0000-0000-0000F6010000}"/>
    <cellStyle name="Standard 4 5" xfId="456" xr:uid="{00000000-0005-0000-0000-0000F7010000}"/>
    <cellStyle name="Standard 4 5 2" xfId="457" xr:uid="{00000000-0005-0000-0000-0000F8010000}"/>
    <cellStyle name="Standard 4 5 2 2" xfId="458" xr:uid="{00000000-0005-0000-0000-0000F9010000}"/>
    <cellStyle name="Standard 4 5 2 2 2" xfId="459" xr:uid="{00000000-0005-0000-0000-0000FA010000}"/>
    <cellStyle name="Standard 4 5 2 3" xfId="460" xr:uid="{00000000-0005-0000-0000-0000FB010000}"/>
    <cellStyle name="Standard 4 5 2 4" xfId="461" xr:uid="{00000000-0005-0000-0000-0000FC010000}"/>
    <cellStyle name="Standard 4 5 3" xfId="462" xr:uid="{00000000-0005-0000-0000-0000FD010000}"/>
    <cellStyle name="Standard 4 5 3 2" xfId="463" xr:uid="{00000000-0005-0000-0000-0000FE010000}"/>
    <cellStyle name="Standard 4 5 4" xfId="464" xr:uid="{00000000-0005-0000-0000-0000FF010000}"/>
    <cellStyle name="Standard 4 5 5" xfId="465" xr:uid="{00000000-0005-0000-0000-000000020000}"/>
    <cellStyle name="Standard 4 6" xfId="466" xr:uid="{00000000-0005-0000-0000-000001020000}"/>
    <cellStyle name="Standard 4 6 2" xfId="467" xr:uid="{00000000-0005-0000-0000-000002020000}"/>
    <cellStyle name="Standard 4 6 2 2" xfId="468" xr:uid="{00000000-0005-0000-0000-000003020000}"/>
    <cellStyle name="Standard 4 6 3" xfId="469" xr:uid="{00000000-0005-0000-0000-000004020000}"/>
    <cellStyle name="Standard 4 6 4" xfId="470" xr:uid="{00000000-0005-0000-0000-000005020000}"/>
    <cellStyle name="Standard 4 7" xfId="471" xr:uid="{00000000-0005-0000-0000-000006020000}"/>
    <cellStyle name="Standard 4 7 2" xfId="472" xr:uid="{00000000-0005-0000-0000-000007020000}"/>
    <cellStyle name="Standard 4 8" xfId="473" xr:uid="{00000000-0005-0000-0000-000008020000}"/>
    <cellStyle name="Standard 4 8 2" xfId="474" xr:uid="{00000000-0005-0000-0000-000009020000}"/>
    <cellStyle name="Standard 4 9" xfId="475" xr:uid="{00000000-0005-0000-0000-00000A020000}"/>
    <cellStyle name="Standard 4_SysID" xfId="705" xr:uid="{00000000-0005-0000-0000-00000B020000}"/>
    <cellStyle name="Standard 5" xfId="476" xr:uid="{00000000-0005-0000-0000-00000C020000}"/>
    <cellStyle name="Standard 5 10" xfId="477" xr:uid="{00000000-0005-0000-0000-00000D020000}"/>
    <cellStyle name="Standard 5 11" xfId="478" xr:uid="{00000000-0005-0000-0000-00000E020000}"/>
    <cellStyle name="Standard 5 12" xfId="671" xr:uid="{00000000-0005-0000-0000-00000F020000}"/>
    <cellStyle name="Standard 5 2" xfId="479" xr:uid="{00000000-0005-0000-0000-000010020000}"/>
    <cellStyle name="Standard 5 2 2" xfId="480" xr:uid="{00000000-0005-0000-0000-000011020000}"/>
    <cellStyle name="Standard 5 2 2 2" xfId="481" xr:uid="{00000000-0005-0000-0000-000012020000}"/>
    <cellStyle name="Standard 5 2 2 2 2" xfId="482" xr:uid="{00000000-0005-0000-0000-000013020000}"/>
    <cellStyle name="Standard 5 2 2 2 2 2" xfId="483" xr:uid="{00000000-0005-0000-0000-000014020000}"/>
    <cellStyle name="Standard 5 2 2 2 2 2 2" xfId="484" xr:uid="{00000000-0005-0000-0000-000015020000}"/>
    <cellStyle name="Standard 5 2 2 2 2 3" xfId="485" xr:uid="{00000000-0005-0000-0000-000016020000}"/>
    <cellStyle name="Standard 5 2 2 2 2 4" xfId="486" xr:uid="{00000000-0005-0000-0000-000017020000}"/>
    <cellStyle name="Standard 5 2 2 2 3" xfId="487" xr:uid="{00000000-0005-0000-0000-000018020000}"/>
    <cellStyle name="Standard 5 2 2 2 3 2" xfId="488" xr:uid="{00000000-0005-0000-0000-000019020000}"/>
    <cellStyle name="Standard 5 2 2 2 4" xfId="489" xr:uid="{00000000-0005-0000-0000-00001A020000}"/>
    <cellStyle name="Standard 5 2 2 2 5" xfId="490" xr:uid="{00000000-0005-0000-0000-00001B020000}"/>
    <cellStyle name="Standard 5 2 2 3" xfId="491" xr:uid="{00000000-0005-0000-0000-00001C020000}"/>
    <cellStyle name="Standard 5 2 2 3 2" xfId="492" xr:uid="{00000000-0005-0000-0000-00001D020000}"/>
    <cellStyle name="Standard 5 2 2 3 2 2" xfId="493" xr:uid="{00000000-0005-0000-0000-00001E020000}"/>
    <cellStyle name="Standard 5 2 2 3 3" xfId="494" xr:uid="{00000000-0005-0000-0000-00001F020000}"/>
    <cellStyle name="Standard 5 2 2 3 4" xfId="495" xr:uid="{00000000-0005-0000-0000-000020020000}"/>
    <cellStyle name="Standard 5 2 2 4" xfId="496" xr:uid="{00000000-0005-0000-0000-000021020000}"/>
    <cellStyle name="Standard 5 2 2 4 2" xfId="497" xr:uid="{00000000-0005-0000-0000-000022020000}"/>
    <cellStyle name="Standard 5 2 2 5" xfId="498" xr:uid="{00000000-0005-0000-0000-000023020000}"/>
    <cellStyle name="Standard 5 2 2 6" xfId="499" xr:uid="{00000000-0005-0000-0000-000024020000}"/>
    <cellStyle name="Standard 5 2 3" xfId="500" xr:uid="{00000000-0005-0000-0000-000025020000}"/>
    <cellStyle name="Standard 5 2 3 2" xfId="501" xr:uid="{00000000-0005-0000-0000-000026020000}"/>
    <cellStyle name="Standard 5 2 3 2 2" xfId="502" xr:uid="{00000000-0005-0000-0000-000027020000}"/>
    <cellStyle name="Standard 5 2 3 2 2 2" xfId="503" xr:uid="{00000000-0005-0000-0000-000028020000}"/>
    <cellStyle name="Standard 5 2 3 2 2 2 2" xfId="504" xr:uid="{00000000-0005-0000-0000-000029020000}"/>
    <cellStyle name="Standard 5 2 3 2 2 3" xfId="505" xr:uid="{00000000-0005-0000-0000-00002A020000}"/>
    <cellStyle name="Standard 5 2 3 2 2 4" xfId="506" xr:uid="{00000000-0005-0000-0000-00002B020000}"/>
    <cellStyle name="Standard 5 2 3 2 3" xfId="507" xr:uid="{00000000-0005-0000-0000-00002C020000}"/>
    <cellStyle name="Standard 5 2 3 2 3 2" xfId="508" xr:uid="{00000000-0005-0000-0000-00002D020000}"/>
    <cellStyle name="Standard 5 2 3 2 4" xfId="509" xr:uid="{00000000-0005-0000-0000-00002E020000}"/>
    <cellStyle name="Standard 5 2 3 2 5" xfId="510" xr:uid="{00000000-0005-0000-0000-00002F020000}"/>
    <cellStyle name="Standard 5 2 3 3" xfId="511" xr:uid="{00000000-0005-0000-0000-000030020000}"/>
    <cellStyle name="Standard 5 2 3 3 2" xfId="512" xr:uid="{00000000-0005-0000-0000-000031020000}"/>
    <cellStyle name="Standard 5 2 3 3 2 2" xfId="513" xr:uid="{00000000-0005-0000-0000-000032020000}"/>
    <cellStyle name="Standard 5 2 3 3 3" xfId="514" xr:uid="{00000000-0005-0000-0000-000033020000}"/>
    <cellStyle name="Standard 5 2 3 3 4" xfId="515" xr:uid="{00000000-0005-0000-0000-000034020000}"/>
    <cellStyle name="Standard 5 2 3 4" xfId="516" xr:uid="{00000000-0005-0000-0000-000035020000}"/>
    <cellStyle name="Standard 5 2 3 4 2" xfId="517" xr:uid="{00000000-0005-0000-0000-000036020000}"/>
    <cellStyle name="Standard 5 2 3 5" xfId="518" xr:uid="{00000000-0005-0000-0000-000037020000}"/>
    <cellStyle name="Standard 5 2 3 6" xfId="519" xr:uid="{00000000-0005-0000-0000-000038020000}"/>
    <cellStyle name="Standard 5 2 4" xfId="520" xr:uid="{00000000-0005-0000-0000-000039020000}"/>
    <cellStyle name="Standard 5 2 4 2" xfId="521" xr:uid="{00000000-0005-0000-0000-00003A020000}"/>
    <cellStyle name="Standard 5 2 4 2 2" xfId="522" xr:uid="{00000000-0005-0000-0000-00003B020000}"/>
    <cellStyle name="Standard 5 2 4 2 2 2" xfId="523" xr:uid="{00000000-0005-0000-0000-00003C020000}"/>
    <cellStyle name="Standard 5 2 4 2 3" xfId="524" xr:uid="{00000000-0005-0000-0000-00003D020000}"/>
    <cellStyle name="Standard 5 2 4 2 4" xfId="525" xr:uid="{00000000-0005-0000-0000-00003E020000}"/>
    <cellStyle name="Standard 5 2 4 3" xfId="526" xr:uid="{00000000-0005-0000-0000-00003F020000}"/>
    <cellStyle name="Standard 5 2 4 3 2" xfId="527" xr:uid="{00000000-0005-0000-0000-000040020000}"/>
    <cellStyle name="Standard 5 2 4 4" xfId="528" xr:uid="{00000000-0005-0000-0000-000041020000}"/>
    <cellStyle name="Standard 5 2 4 5" xfId="529" xr:uid="{00000000-0005-0000-0000-000042020000}"/>
    <cellStyle name="Standard 5 2 5" xfId="530" xr:uid="{00000000-0005-0000-0000-000043020000}"/>
    <cellStyle name="Standard 5 2 5 2" xfId="531" xr:uid="{00000000-0005-0000-0000-000044020000}"/>
    <cellStyle name="Standard 5 2 5 2 2" xfId="532" xr:uid="{00000000-0005-0000-0000-000045020000}"/>
    <cellStyle name="Standard 5 2 5 3" xfId="533" xr:uid="{00000000-0005-0000-0000-000046020000}"/>
    <cellStyle name="Standard 5 2 5 4" xfId="534" xr:uid="{00000000-0005-0000-0000-000047020000}"/>
    <cellStyle name="Standard 5 2 6" xfId="535" xr:uid="{00000000-0005-0000-0000-000048020000}"/>
    <cellStyle name="Standard 5 2 6 2" xfId="536" xr:uid="{00000000-0005-0000-0000-000049020000}"/>
    <cellStyle name="Standard 5 2 7" xfId="537" xr:uid="{00000000-0005-0000-0000-00004A020000}"/>
    <cellStyle name="Standard 5 2 8" xfId="538" xr:uid="{00000000-0005-0000-0000-00004B020000}"/>
    <cellStyle name="Standard 5 3" xfId="539" xr:uid="{00000000-0005-0000-0000-00004C020000}"/>
    <cellStyle name="Standard 5 3 2" xfId="540" xr:uid="{00000000-0005-0000-0000-00004D020000}"/>
    <cellStyle name="Standard 5 3 2 2" xfId="541" xr:uid="{00000000-0005-0000-0000-00004E020000}"/>
    <cellStyle name="Standard 5 3 2 2 2" xfId="542" xr:uid="{00000000-0005-0000-0000-00004F020000}"/>
    <cellStyle name="Standard 5 3 2 2 2 2" xfId="543" xr:uid="{00000000-0005-0000-0000-000050020000}"/>
    <cellStyle name="Standard 5 3 2 2 3" xfId="544" xr:uid="{00000000-0005-0000-0000-000051020000}"/>
    <cellStyle name="Standard 5 3 2 2 4" xfId="545" xr:uid="{00000000-0005-0000-0000-000052020000}"/>
    <cellStyle name="Standard 5 3 2 3" xfId="546" xr:uid="{00000000-0005-0000-0000-000053020000}"/>
    <cellStyle name="Standard 5 3 2 3 2" xfId="547" xr:uid="{00000000-0005-0000-0000-000054020000}"/>
    <cellStyle name="Standard 5 3 2 4" xfId="548" xr:uid="{00000000-0005-0000-0000-000055020000}"/>
    <cellStyle name="Standard 5 3 2 5" xfId="549" xr:uid="{00000000-0005-0000-0000-000056020000}"/>
    <cellStyle name="Standard 5 3 3" xfId="550" xr:uid="{00000000-0005-0000-0000-000057020000}"/>
    <cellStyle name="Standard 5 3 3 2" xfId="551" xr:uid="{00000000-0005-0000-0000-000058020000}"/>
    <cellStyle name="Standard 5 3 3 2 2" xfId="552" xr:uid="{00000000-0005-0000-0000-000059020000}"/>
    <cellStyle name="Standard 5 3 3 3" xfId="553" xr:uid="{00000000-0005-0000-0000-00005A020000}"/>
    <cellStyle name="Standard 5 3 3 4" xfId="554" xr:uid="{00000000-0005-0000-0000-00005B020000}"/>
    <cellStyle name="Standard 5 3 4" xfId="555" xr:uid="{00000000-0005-0000-0000-00005C020000}"/>
    <cellStyle name="Standard 5 3 4 2" xfId="556" xr:uid="{00000000-0005-0000-0000-00005D020000}"/>
    <cellStyle name="Standard 5 3 5" xfId="557" xr:uid="{00000000-0005-0000-0000-00005E020000}"/>
    <cellStyle name="Standard 5 3 6" xfId="558" xr:uid="{00000000-0005-0000-0000-00005F020000}"/>
    <cellStyle name="Standard 5 4" xfId="559" xr:uid="{00000000-0005-0000-0000-000060020000}"/>
    <cellStyle name="Standard 5 4 2" xfId="560" xr:uid="{00000000-0005-0000-0000-000061020000}"/>
    <cellStyle name="Standard 5 4 2 2" xfId="561" xr:uid="{00000000-0005-0000-0000-000062020000}"/>
    <cellStyle name="Standard 5 4 2 2 2" xfId="562" xr:uid="{00000000-0005-0000-0000-000063020000}"/>
    <cellStyle name="Standard 5 4 2 2 2 2" xfId="563" xr:uid="{00000000-0005-0000-0000-000064020000}"/>
    <cellStyle name="Standard 5 4 2 2 3" xfId="564" xr:uid="{00000000-0005-0000-0000-000065020000}"/>
    <cellStyle name="Standard 5 4 2 2 4" xfId="565" xr:uid="{00000000-0005-0000-0000-000066020000}"/>
    <cellStyle name="Standard 5 4 2 3" xfId="566" xr:uid="{00000000-0005-0000-0000-000067020000}"/>
    <cellStyle name="Standard 5 4 2 3 2" xfId="567" xr:uid="{00000000-0005-0000-0000-000068020000}"/>
    <cellStyle name="Standard 5 4 2 4" xfId="568" xr:uid="{00000000-0005-0000-0000-000069020000}"/>
    <cellStyle name="Standard 5 4 2 5" xfId="569" xr:uid="{00000000-0005-0000-0000-00006A020000}"/>
    <cellStyle name="Standard 5 4 3" xfId="570" xr:uid="{00000000-0005-0000-0000-00006B020000}"/>
    <cellStyle name="Standard 5 4 3 2" xfId="571" xr:uid="{00000000-0005-0000-0000-00006C020000}"/>
    <cellStyle name="Standard 5 4 3 2 2" xfId="572" xr:uid="{00000000-0005-0000-0000-00006D020000}"/>
    <cellStyle name="Standard 5 4 3 3" xfId="573" xr:uid="{00000000-0005-0000-0000-00006E020000}"/>
    <cellStyle name="Standard 5 4 3 4" xfId="574" xr:uid="{00000000-0005-0000-0000-00006F020000}"/>
    <cellStyle name="Standard 5 4 4" xfId="575" xr:uid="{00000000-0005-0000-0000-000070020000}"/>
    <cellStyle name="Standard 5 4 4 2" xfId="576" xr:uid="{00000000-0005-0000-0000-000071020000}"/>
    <cellStyle name="Standard 5 4 5" xfId="577" xr:uid="{00000000-0005-0000-0000-000072020000}"/>
    <cellStyle name="Standard 5 4 6" xfId="578" xr:uid="{00000000-0005-0000-0000-000073020000}"/>
    <cellStyle name="Standard 5 5" xfId="579" xr:uid="{00000000-0005-0000-0000-000074020000}"/>
    <cellStyle name="Standard 5 5 2" xfId="580" xr:uid="{00000000-0005-0000-0000-000075020000}"/>
    <cellStyle name="Standard 5 5 2 2" xfId="581" xr:uid="{00000000-0005-0000-0000-000076020000}"/>
    <cellStyle name="Standard 5 5 2 2 2" xfId="582" xr:uid="{00000000-0005-0000-0000-000077020000}"/>
    <cellStyle name="Standard 5 5 2 3" xfId="583" xr:uid="{00000000-0005-0000-0000-000078020000}"/>
    <cellStyle name="Standard 5 5 2 4" xfId="584" xr:uid="{00000000-0005-0000-0000-000079020000}"/>
    <cellStyle name="Standard 5 5 3" xfId="585" xr:uid="{00000000-0005-0000-0000-00007A020000}"/>
    <cellStyle name="Standard 5 5 3 2" xfId="586" xr:uid="{00000000-0005-0000-0000-00007B020000}"/>
    <cellStyle name="Standard 5 5 4" xfId="587" xr:uid="{00000000-0005-0000-0000-00007C020000}"/>
    <cellStyle name="Standard 5 5 5" xfId="588" xr:uid="{00000000-0005-0000-0000-00007D020000}"/>
    <cellStyle name="Standard 5 6" xfId="589" xr:uid="{00000000-0005-0000-0000-00007E020000}"/>
    <cellStyle name="Standard 5 6 2" xfId="590" xr:uid="{00000000-0005-0000-0000-00007F020000}"/>
    <cellStyle name="Standard 5 6 2 2" xfId="591" xr:uid="{00000000-0005-0000-0000-000080020000}"/>
    <cellStyle name="Standard 5 6 3" xfId="592" xr:uid="{00000000-0005-0000-0000-000081020000}"/>
    <cellStyle name="Standard 5 6 4" xfId="593" xr:uid="{00000000-0005-0000-0000-000082020000}"/>
    <cellStyle name="Standard 5 7" xfId="594" xr:uid="{00000000-0005-0000-0000-000083020000}"/>
    <cellStyle name="Standard 5 7 2" xfId="595" xr:uid="{00000000-0005-0000-0000-000084020000}"/>
    <cellStyle name="Standard 5 8" xfId="596" xr:uid="{00000000-0005-0000-0000-000085020000}"/>
    <cellStyle name="Standard 5 9" xfId="597" xr:uid="{00000000-0005-0000-0000-000086020000}"/>
    <cellStyle name="Standard 5_SysID" xfId="706" xr:uid="{00000000-0005-0000-0000-000087020000}"/>
    <cellStyle name="Standard 6" xfId="598" xr:uid="{00000000-0005-0000-0000-000088020000}"/>
    <cellStyle name="Standard 6 2" xfId="599" xr:uid="{00000000-0005-0000-0000-000089020000}"/>
    <cellStyle name="Standard 6 3" xfId="600" xr:uid="{00000000-0005-0000-0000-00008A020000}"/>
    <cellStyle name="Standard 6 3 2" xfId="601" xr:uid="{00000000-0005-0000-0000-00008B020000}"/>
    <cellStyle name="Standard 6 3 3" xfId="602" xr:uid="{00000000-0005-0000-0000-00008C020000}"/>
    <cellStyle name="Standard 6 3 3 2" xfId="603" xr:uid="{00000000-0005-0000-0000-00008D020000}"/>
    <cellStyle name="Standard 6_SysID" xfId="707" xr:uid="{00000000-0005-0000-0000-00008E020000}"/>
    <cellStyle name="Standard 7" xfId="604" xr:uid="{00000000-0005-0000-0000-00008F020000}"/>
    <cellStyle name="Standard 7 2" xfId="605" xr:uid="{00000000-0005-0000-0000-000090020000}"/>
    <cellStyle name="Standard 7 3" xfId="606" xr:uid="{00000000-0005-0000-0000-000091020000}"/>
    <cellStyle name="Standard 7 3 2" xfId="607" xr:uid="{00000000-0005-0000-0000-000092020000}"/>
    <cellStyle name="Standard 7 3 3" xfId="608" xr:uid="{00000000-0005-0000-0000-000093020000}"/>
    <cellStyle name="Standard 7 3 3 2" xfId="609" xr:uid="{00000000-0005-0000-0000-000094020000}"/>
    <cellStyle name="Standard 7 3 4" xfId="610" xr:uid="{00000000-0005-0000-0000-000095020000}"/>
    <cellStyle name="Standard 7 3 4 2" xfId="611" xr:uid="{00000000-0005-0000-0000-000096020000}"/>
    <cellStyle name="Standard 7 3 4 3" xfId="612" xr:uid="{00000000-0005-0000-0000-000097020000}"/>
    <cellStyle name="Standard 7 3 4 3 2" xfId="613" xr:uid="{00000000-0005-0000-0000-000098020000}"/>
    <cellStyle name="Standard 7 3 5" xfId="614" xr:uid="{00000000-0005-0000-0000-000099020000}"/>
    <cellStyle name="Standard 7 3 5 2" xfId="615" xr:uid="{00000000-0005-0000-0000-00009A020000}"/>
    <cellStyle name="Standard 7_SysID" xfId="708" xr:uid="{00000000-0005-0000-0000-00009B020000}"/>
    <cellStyle name="Standard 8" xfId="616" xr:uid="{00000000-0005-0000-0000-00009C020000}"/>
    <cellStyle name="Standard 8 2" xfId="617" xr:uid="{00000000-0005-0000-0000-00009D020000}"/>
    <cellStyle name="Standard 8 2 2" xfId="618" xr:uid="{00000000-0005-0000-0000-00009E020000}"/>
    <cellStyle name="Standard 8 2 2 2" xfId="619" xr:uid="{00000000-0005-0000-0000-00009F020000}"/>
    <cellStyle name="Standard 8 2 2 2 2" xfId="620" xr:uid="{00000000-0005-0000-0000-0000A0020000}"/>
    <cellStyle name="Standard 8 2 2 3" xfId="621" xr:uid="{00000000-0005-0000-0000-0000A1020000}"/>
    <cellStyle name="Standard 8 2 2 4" xfId="622" xr:uid="{00000000-0005-0000-0000-0000A2020000}"/>
    <cellStyle name="Standard 8 2 3" xfId="623" xr:uid="{00000000-0005-0000-0000-0000A3020000}"/>
    <cellStyle name="Standard 8 2 3 2" xfId="624" xr:uid="{00000000-0005-0000-0000-0000A4020000}"/>
    <cellStyle name="Standard 8 2 4" xfId="625" xr:uid="{00000000-0005-0000-0000-0000A5020000}"/>
    <cellStyle name="Standard 8 2 4 2" xfId="709" xr:uid="{00000000-0005-0000-0000-0000A6020000}"/>
    <cellStyle name="Standard 8 2 5" xfId="626" xr:uid="{00000000-0005-0000-0000-0000A7020000}"/>
    <cellStyle name="Standard 8 2_SysID" xfId="710" xr:uid="{00000000-0005-0000-0000-0000A8020000}"/>
    <cellStyle name="Standard 8 3" xfId="627" xr:uid="{00000000-0005-0000-0000-0000A9020000}"/>
    <cellStyle name="Standard 8 3 2" xfId="628" xr:uid="{00000000-0005-0000-0000-0000AA020000}"/>
    <cellStyle name="Standard 8 3 2 2" xfId="629" xr:uid="{00000000-0005-0000-0000-0000AB020000}"/>
    <cellStyle name="Standard 8 3 3" xfId="630" xr:uid="{00000000-0005-0000-0000-0000AC020000}"/>
    <cellStyle name="Standard 8 3 4" xfId="631" xr:uid="{00000000-0005-0000-0000-0000AD020000}"/>
    <cellStyle name="Standard 8 4" xfId="632" xr:uid="{00000000-0005-0000-0000-0000AE020000}"/>
    <cellStyle name="Standard 8 4 2" xfId="633" xr:uid="{00000000-0005-0000-0000-0000AF020000}"/>
    <cellStyle name="Standard 8 5" xfId="634" xr:uid="{00000000-0005-0000-0000-0000B0020000}"/>
    <cellStyle name="Standard 8 5 2" xfId="711" xr:uid="{00000000-0005-0000-0000-0000B1020000}"/>
    <cellStyle name="Standard 8 6" xfId="635" xr:uid="{00000000-0005-0000-0000-0000B2020000}"/>
    <cellStyle name="Standard 8_SysID" xfId="712" xr:uid="{00000000-0005-0000-0000-0000B3020000}"/>
    <cellStyle name="Standard 9" xfId="636" xr:uid="{00000000-0005-0000-0000-0000B4020000}"/>
    <cellStyle name="Standard 9 2" xfId="637" xr:uid="{00000000-0005-0000-0000-0000B5020000}"/>
    <cellStyle name="Standard 9 2 2" xfId="638" xr:uid="{00000000-0005-0000-0000-0000B6020000}"/>
    <cellStyle name="Standard 9 2 2 2" xfId="639" xr:uid="{00000000-0005-0000-0000-0000B7020000}"/>
    <cellStyle name="Standard 9 2 3" xfId="640" xr:uid="{00000000-0005-0000-0000-0000B8020000}"/>
    <cellStyle name="Standard 9 2 3 2" xfId="713" xr:uid="{00000000-0005-0000-0000-0000B9020000}"/>
    <cellStyle name="Standard 9 2 4" xfId="641" xr:uid="{00000000-0005-0000-0000-0000BA020000}"/>
    <cellStyle name="Standard 9 2_SysID" xfId="714" xr:uid="{00000000-0005-0000-0000-0000BB020000}"/>
    <cellStyle name="Standard 9 3" xfId="642" xr:uid="{00000000-0005-0000-0000-0000BC020000}"/>
    <cellStyle name="Standard 9 3 2" xfId="643" xr:uid="{00000000-0005-0000-0000-0000BD020000}"/>
    <cellStyle name="Standard 9 4" xfId="644" xr:uid="{00000000-0005-0000-0000-0000BE020000}"/>
    <cellStyle name="Standard 9 4 2" xfId="715" xr:uid="{00000000-0005-0000-0000-0000BF020000}"/>
    <cellStyle name="Standard 9 5" xfId="645" xr:uid="{00000000-0005-0000-0000-0000C0020000}"/>
    <cellStyle name="Standard 9_SysID" xfId="716" xr:uid="{00000000-0005-0000-0000-0000C1020000}"/>
    <cellStyle name="Standard_40-080_Vorlage_freies_Excel-Dokument_v1.00" xfId="1" xr:uid="{00000000-0005-0000-0000-0000C2020000}"/>
    <cellStyle name="Überschrift" xfId="2" builtinId="15" customBuiltin="1"/>
    <cellStyle name="Überschrift 1 2" xfId="646" xr:uid="{00000000-0005-0000-0000-0000C4020000}"/>
    <cellStyle name="Überschrift 1 2 2" xfId="647" xr:uid="{00000000-0005-0000-0000-0000C5020000}"/>
    <cellStyle name="Überschrift 1 2 3" xfId="648" xr:uid="{00000000-0005-0000-0000-0000C6020000}"/>
    <cellStyle name="Überschrift 2 2" xfId="649" xr:uid="{00000000-0005-0000-0000-0000C7020000}"/>
    <cellStyle name="Überschrift 2 2 2" xfId="650" xr:uid="{00000000-0005-0000-0000-0000C8020000}"/>
    <cellStyle name="Überschrift 2 2 3" xfId="651" xr:uid="{00000000-0005-0000-0000-0000C9020000}"/>
    <cellStyle name="Überschrift 3 2" xfId="652" xr:uid="{00000000-0005-0000-0000-0000CA020000}"/>
    <cellStyle name="Überschrift 3 2 2" xfId="653" xr:uid="{00000000-0005-0000-0000-0000CB020000}"/>
    <cellStyle name="Überschrift 3 2 3" xfId="654" xr:uid="{00000000-0005-0000-0000-0000CC020000}"/>
    <cellStyle name="Überschrift 4 2" xfId="655" xr:uid="{00000000-0005-0000-0000-0000CD020000}"/>
    <cellStyle name="Überschrift 4 2 2" xfId="656" xr:uid="{00000000-0005-0000-0000-0000CE020000}"/>
    <cellStyle name="Überschrift 4 2 3" xfId="657" xr:uid="{00000000-0005-0000-0000-0000CF020000}"/>
    <cellStyle name="Überschrift 5" xfId="658" xr:uid="{00000000-0005-0000-0000-0000D0020000}"/>
    <cellStyle name="Verknüpfte Zelle 2" xfId="659" xr:uid="{00000000-0005-0000-0000-0000D1020000}"/>
    <cellStyle name="Verknüpfte Zelle 2 2" xfId="660" xr:uid="{00000000-0005-0000-0000-0000D2020000}"/>
    <cellStyle name="Verknüpfte Zelle 2 3" xfId="661" xr:uid="{00000000-0005-0000-0000-0000D3020000}"/>
    <cellStyle name="Währung" xfId="730" builtinId="4"/>
    <cellStyle name="Warnender Text 2" xfId="662" xr:uid="{00000000-0005-0000-0000-0000D5020000}"/>
    <cellStyle name="Warnender Text 2 2" xfId="663" xr:uid="{00000000-0005-0000-0000-0000D6020000}"/>
    <cellStyle name="Warnender Text 2 3" xfId="664" xr:uid="{00000000-0005-0000-0000-0000D7020000}"/>
    <cellStyle name="Warnender Text 2 4" xfId="665" xr:uid="{00000000-0005-0000-0000-0000D8020000}"/>
    <cellStyle name="Zelle überprüfen 2" xfId="666" xr:uid="{00000000-0005-0000-0000-0000D9020000}"/>
    <cellStyle name="Zelle überprüfen 2 2" xfId="667" xr:uid="{00000000-0005-0000-0000-0000DA020000}"/>
    <cellStyle name="Zelle überprüfen 2 3" xfId="668" xr:uid="{00000000-0005-0000-0000-0000DB020000}"/>
  </cellStyles>
  <dxfs count="6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B1:K64"/>
  <sheetViews>
    <sheetView topLeftCell="A50" zoomScaleNormal="100" workbookViewId="0">
      <selection activeCell="E64" sqref="E64"/>
    </sheetView>
  </sheetViews>
  <sheetFormatPr baseColWidth="10" defaultColWidth="9.140625" defaultRowHeight="15" outlineLevelRow="1" x14ac:dyDescent="0.25"/>
  <cols>
    <col min="1" max="1" width="9.140625" style="1"/>
    <col min="2" max="2" width="17.42578125" style="50" bestFit="1" customWidth="1"/>
    <col min="3" max="3" width="19.85546875" style="43" bestFit="1" customWidth="1"/>
    <col min="4" max="4" width="28.140625" style="1" bestFit="1" customWidth="1"/>
    <col min="5" max="5" width="74" style="11" customWidth="1"/>
    <col min="6" max="6" width="10" style="1" bestFit="1" customWidth="1"/>
    <col min="7" max="9" width="9.140625" style="1"/>
    <col min="10" max="10" width="13.42578125" style="1" bestFit="1" customWidth="1"/>
    <col min="11" max="11" width="13.42578125" style="1" customWidth="1"/>
    <col min="12" max="12" width="19.7109375" style="1" customWidth="1"/>
    <col min="13" max="13" width="15.5703125" style="1" bestFit="1" customWidth="1"/>
    <col min="14" max="14" width="13" style="1" bestFit="1" customWidth="1"/>
    <col min="15" max="15" width="17.42578125" style="1" bestFit="1" customWidth="1"/>
    <col min="16" max="18" width="10.140625" style="1" bestFit="1" customWidth="1"/>
    <col min="19" max="16384" width="9.140625" style="1"/>
  </cols>
  <sheetData>
    <row r="1" spans="2:11" ht="20.25" x14ac:dyDescent="0.3">
      <c r="B1" s="15" t="s">
        <v>974</v>
      </c>
      <c r="E1" s="16"/>
    </row>
    <row r="2" spans="2:11" x14ac:dyDescent="0.25">
      <c r="B2" s="17" t="s">
        <v>971</v>
      </c>
      <c r="C2" s="73" t="s">
        <v>6</v>
      </c>
      <c r="E2" s="1"/>
    </row>
    <row r="3" spans="2:11" x14ac:dyDescent="0.25">
      <c r="B3" s="17" t="s">
        <v>972</v>
      </c>
      <c r="C3" s="73" t="s">
        <v>950</v>
      </c>
      <c r="D3" s="18"/>
      <c r="E3" s="1"/>
    </row>
    <row r="4" spans="2:11" x14ac:dyDescent="0.25">
      <c r="C4" s="74"/>
      <c r="D4" s="11"/>
      <c r="E4" s="1"/>
      <c r="J4" s="8" t="s">
        <v>96</v>
      </c>
      <c r="K4" s="9"/>
    </row>
    <row r="5" spans="2:11" x14ac:dyDescent="0.25">
      <c r="B5" s="51" t="s">
        <v>973</v>
      </c>
      <c r="C5" s="75" t="s">
        <v>0</v>
      </c>
      <c r="D5" s="40"/>
      <c r="E5" s="1"/>
      <c r="J5" s="4" t="s">
        <v>97</v>
      </c>
      <c r="K5" s="5" t="s">
        <v>98</v>
      </c>
    </row>
    <row r="6" spans="2:11" x14ac:dyDescent="0.25">
      <c r="B6" s="52" t="s">
        <v>970</v>
      </c>
      <c r="C6" s="21" t="str">
        <f>LOOKUP(2,1/(NOT(ISBLANK(C:C))),D:D)</f>
        <v>Type 1 Var1 Ed_01_20</v>
      </c>
      <c r="E6" s="1"/>
      <c r="J6" s="6" t="s">
        <v>99</v>
      </c>
      <c r="K6" s="7" t="s">
        <v>100</v>
      </c>
    </row>
    <row r="8" spans="2:11" x14ac:dyDescent="0.25">
      <c r="B8" s="51" t="s">
        <v>976</v>
      </c>
      <c r="C8" s="75" t="s">
        <v>2</v>
      </c>
      <c r="D8" s="19" t="s">
        <v>1272</v>
      </c>
      <c r="E8" s="20" t="s">
        <v>1</v>
      </c>
      <c r="F8" s="19" t="s">
        <v>5</v>
      </c>
    </row>
    <row r="9" spans="2:11" hidden="1" outlineLevel="1" x14ac:dyDescent="0.25">
      <c r="B9" s="53" t="s">
        <v>3</v>
      </c>
      <c r="C9" s="22">
        <v>42333</v>
      </c>
      <c r="D9" s="2" t="s">
        <v>1273</v>
      </c>
      <c r="E9" s="12" t="s">
        <v>4</v>
      </c>
      <c r="F9" s="21" t="s">
        <v>6</v>
      </c>
    </row>
    <row r="10" spans="2:11" hidden="1" outlineLevel="1" x14ac:dyDescent="0.25">
      <c r="B10" s="53" t="s">
        <v>948</v>
      </c>
      <c r="C10" s="22">
        <v>42339</v>
      </c>
      <c r="D10" s="2" t="s">
        <v>1273</v>
      </c>
      <c r="E10" s="12" t="s">
        <v>949</v>
      </c>
      <c r="F10" s="21" t="s">
        <v>950</v>
      </c>
    </row>
    <row r="11" spans="2:11" hidden="1" outlineLevel="1" x14ac:dyDescent="0.25">
      <c r="B11" s="53" t="s">
        <v>952</v>
      </c>
      <c r="C11" s="22">
        <v>42339</v>
      </c>
      <c r="D11" s="2" t="s">
        <v>1273</v>
      </c>
      <c r="E11" s="13" t="s">
        <v>951</v>
      </c>
      <c r="F11" s="21" t="s">
        <v>950</v>
      </c>
      <c r="J11"/>
    </row>
    <row r="12" spans="2:11" ht="180" hidden="1" outlineLevel="1" x14ac:dyDescent="0.25">
      <c r="B12" s="53" t="s">
        <v>953</v>
      </c>
      <c r="C12" s="22">
        <v>42341</v>
      </c>
      <c r="D12" s="21" t="s">
        <v>1273</v>
      </c>
      <c r="E12" s="12" t="s">
        <v>954</v>
      </c>
      <c r="F12" s="21" t="s">
        <v>6</v>
      </c>
      <c r="J12"/>
    </row>
    <row r="13" spans="2:11" hidden="1" outlineLevel="1" x14ac:dyDescent="0.25">
      <c r="B13" s="53" t="s">
        <v>957</v>
      </c>
      <c r="C13" s="22">
        <v>42396</v>
      </c>
      <c r="D13" s="2" t="s">
        <v>1273</v>
      </c>
      <c r="E13" s="12" t="s">
        <v>956</v>
      </c>
      <c r="F13" s="21" t="s">
        <v>6</v>
      </c>
      <c r="J13"/>
    </row>
    <row r="14" spans="2:11" hidden="1" outlineLevel="1" x14ac:dyDescent="0.25">
      <c r="B14" s="53" t="s">
        <v>960</v>
      </c>
      <c r="C14" s="22">
        <v>42408</v>
      </c>
      <c r="D14" s="2" t="s">
        <v>1273</v>
      </c>
      <c r="E14" s="12" t="s">
        <v>961</v>
      </c>
      <c r="F14" s="21" t="s">
        <v>6</v>
      </c>
      <c r="J14"/>
    </row>
    <row r="15" spans="2:11" hidden="1" outlineLevel="1" x14ac:dyDescent="0.25">
      <c r="B15" s="53" t="s">
        <v>962</v>
      </c>
      <c r="C15" s="22">
        <v>42415</v>
      </c>
      <c r="D15" s="2" t="s">
        <v>1273</v>
      </c>
      <c r="E15" s="12" t="s">
        <v>963</v>
      </c>
      <c r="F15" s="21" t="s">
        <v>6</v>
      </c>
      <c r="J15"/>
    </row>
    <row r="16" spans="2:11" ht="30" hidden="1" outlineLevel="1" x14ac:dyDescent="0.25">
      <c r="B16" s="53" t="s">
        <v>964</v>
      </c>
      <c r="C16" s="22">
        <v>42445</v>
      </c>
      <c r="D16" s="2" t="s">
        <v>1273</v>
      </c>
      <c r="E16" s="12" t="s">
        <v>965</v>
      </c>
      <c r="F16" s="21" t="s">
        <v>6</v>
      </c>
      <c r="J16"/>
    </row>
    <row r="17" spans="2:10" hidden="1" outlineLevel="1" x14ac:dyDescent="0.25">
      <c r="B17" s="53" t="s">
        <v>966</v>
      </c>
      <c r="C17" s="22">
        <v>42467</v>
      </c>
      <c r="D17" s="2" t="s">
        <v>1273</v>
      </c>
      <c r="E17" s="49" t="s">
        <v>967</v>
      </c>
      <c r="F17" s="21" t="s">
        <v>6</v>
      </c>
      <c r="J17"/>
    </row>
    <row r="18" spans="2:10" hidden="1" outlineLevel="1" x14ac:dyDescent="0.25">
      <c r="B18" s="53" t="s">
        <v>968</v>
      </c>
      <c r="C18" s="22">
        <v>42507</v>
      </c>
      <c r="D18" s="2" t="s">
        <v>1273</v>
      </c>
      <c r="E18" s="12" t="s">
        <v>969</v>
      </c>
      <c r="F18" s="21" t="s">
        <v>6</v>
      </c>
      <c r="J18"/>
    </row>
    <row r="19" spans="2:10" hidden="1" outlineLevel="1" x14ac:dyDescent="0.25">
      <c r="B19" s="23" t="s">
        <v>977</v>
      </c>
      <c r="C19" s="22">
        <v>42523</v>
      </c>
      <c r="D19" s="2" t="s">
        <v>1273</v>
      </c>
      <c r="E19" s="12" t="s">
        <v>975</v>
      </c>
      <c r="F19" s="21" t="s">
        <v>950</v>
      </c>
      <c r="J19"/>
    </row>
    <row r="20" spans="2:10" hidden="1" outlineLevel="1" x14ac:dyDescent="0.25">
      <c r="B20" s="23" t="s">
        <v>1274</v>
      </c>
      <c r="C20" s="22">
        <v>42557</v>
      </c>
      <c r="D20" s="2" t="s">
        <v>1273</v>
      </c>
      <c r="E20" s="12" t="s">
        <v>969</v>
      </c>
      <c r="F20" s="21" t="s">
        <v>6</v>
      </c>
      <c r="J20"/>
    </row>
    <row r="21" spans="2:10" hidden="1" outlineLevel="1" x14ac:dyDescent="0.25">
      <c r="B21" s="53" t="s">
        <v>1275</v>
      </c>
      <c r="C21" s="22">
        <v>42787</v>
      </c>
      <c r="D21" s="2" t="s">
        <v>1273</v>
      </c>
      <c r="E21" s="12" t="s">
        <v>1276</v>
      </c>
      <c r="F21" s="21" t="s">
        <v>950</v>
      </c>
    </row>
    <row r="22" spans="2:10" hidden="1" outlineLevel="1" x14ac:dyDescent="0.25">
      <c r="B22" s="53" t="s">
        <v>1277</v>
      </c>
      <c r="C22" s="22">
        <v>42682</v>
      </c>
      <c r="D22" s="2" t="s">
        <v>1273</v>
      </c>
      <c r="E22" s="12" t="s">
        <v>980</v>
      </c>
      <c r="F22" s="21" t="s">
        <v>6</v>
      </c>
    </row>
    <row r="23" spans="2:10" hidden="1" outlineLevel="1" x14ac:dyDescent="0.25">
      <c r="B23" s="53" t="s">
        <v>1278</v>
      </c>
      <c r="C23" s="22">
        <v>42744</v>
      </c>
      <c r="D23" s="2" t="s">
        <v>1273</v>
      </c>
      <c r="E23" s="12" t="s">
        <v>1003</v>
      </c>
      <c r="F23" s="21" t="s">
        <v>6</v>
      </c>
    </row>
    <row r="24" spans="2:10" hidden="1" outlineLevel="1" x14ac:dyDescent="0.25">
      <c r="B24" s="53" t="s">
        <v>1279</v>
      </c>
      <c r="C24" s="22">
        <v>42768</v>
      </c>
      <c r="D24" s="2" t="s">
        <v>1273</v>
      </c>
      <c r="E24" s="12" t="s">
        <v>1004</v>
      </c>
      <c r="F24" s="21" t="s">
        <v>6</v>
      </c>
    </row>
    <row r="25" spans="2:10" hidden="1" outlineLevel="1" x14ac:dyDescent="0.25">
      <c r="B25" s="53" t="s">
        <v>1280</v>
      </c>
      <c r="C25" s="22">
        <v>42814</v>
      </c>
      <c r="D25" s="2" t="s">
        <v>1273</v>
      </c>
      <c r="E25" s="12" t="s">
        <v>1269</v>
      </c>
      <c r="F25" s="21" t="s">
        <v>6</v>
      </c>
    </row>
    <row r="26" spans="2:10" hidden="1" outlineLevel="1" x14ac:dyDescent="0.25">
      <c r="B26" s="53" t="s">
        <v>1281</v>
      </c>
      <c r="C26" s="22">
        <v>42815</v>
      </c>
      <c r="D26" s="2" t="s">
        <v>1273</v>
      </c>
      <c r="E26" s="12" t="s">
        <v>1282</v>
      </c>
      <c r="F26" s="21" t="s">
        <v>950</v>
      </c>
    </row>
    <row r="27" spans="2:10" hidden="1" outlineLevel="1" x14ac:dyDescent="0.25">
      <c r="B27" s="54" t="s">
        <v>1290</v>
      </c>
      <c r="C27" s="22">
        <v>42853</v>
      </c>
      <c r="D27" s="2" t="s">
        <v>1273</v>
      </c>
      <c r="E27" s="12" t="s">
        <v>1289</v>
      </c>
      <c r="F27" s="21" t="s">
        <v>6</v>
      </c>
    </row>
    <row r="28" spans="2:10" hidden="1" outlineLevel="1" x14ac:dyDescent="0.25">
      <c r="B28" s="54" t="s">
        <v>1291</v>
      </c>
      <c r="C28" s="22">
        <v>42978</v>
      </c>
      <c r="D28" s="2" t="s">
        <v>1273</v>
      </c>
      <c r="E28" s="12" t="s">
        <v>1292</v>
      </c>
      <c r="F28" s="21" t="s">
        <v>6</v>
      </c>
    </row>
    <row r="29" spans="2:10" hidden="1" outlineLevel="1" x14ac:dyDescent="0.25">
      <c r="B29" s="54" t="s">
        <v>1415</v>
      </c>
      <c r="C29" s="22">
        <v>43049</v>
      </c>
      <c r="D29" s="2" t="s">
        <v>1273</v>
      </c>
      <c r="E29" s="12" t="s">
        <v>1416</v>
      </c>
      <c r="F29" s="21" t="s">
        <v>6</v>
      </c>
    </row>
    <row r="30" spans="2:10" hidden="1" outlineLevel="1" x14ac:dyDescent="0.25">
      <c r="B30" s="54" t="s">
        <v>2162</v>
      </c>
      <c r="C30" s="22">
        <v>43049</v>
      </c>
      <c r="D30" s="2" t="s">
        <v>2163</v>
      </c>
      <c r="E30" s="12" t="s">
        <v>2164</v>
      </c>
      <c r="F30" s="21" t="s">
        <v>950</v>
      </c>
    </row>
    <row r="31" spans="2:10" hidden="1" outlineLevel="1" x14ac:dyDescent="0.25">
      <c r="B31" s="54" t="s">
        <v>2165</v>
      </c>
      <c r="C31" s="22">
        <v>43165</v>
      </c>
      <c r="D31" s="2"/>
      <c r="E31" s="12" t="s">
        <v>2166</v>
      </c>
      <c r="F31" s="21" t="s">
        <v>6</v>
      </c>
    </row>
    <row r="32" spans="2:10" hidden="1" outlineLevel="1" collapsed="1" x14ac:dyDescent="0.25">
      <c r="B32" s="54" t="s">
        <v>2196</v>
      </c>
      <c r="C32" s="22">
        <v>43236</v>
      </c>
      <c r="D32" s="2"/>
      <c r="E32" s="12" t="s">
        <v>2195</v>
      </c>
      <c r="F32" s="21" t="s">
        <v>6</v>
      </c>
    </row>
    <row r="33" spans="2:6" hidden="1" outlineLevel="1" x14ac:dyDescent="0.25">
      <c r="B33" s="54" t="s">
        <v>2197</v>
      </c>
      <c r="C33" s="22">
        <v>43319</v>
      </c>
      <c r="D33" s="2"/>
      <c r="E33" s="12" t="s">
        <v>2198</v>
      </c>
      <c r="F33" s="21" t="s">
        <v>6</v>
      </c>
    </row>
    <row r="34" spans="2:6" hidden="1" outlineLevel="1" x14ac:dyDescent="0.25">
      <c r="B34" s="54" t="s">
        <v>2203</v>
      </c>
      <c r="C34" s="22">
        <v>43411</v>
      </c>
      <c r="D34" s="2"/>
      <c r="E34" s="12" t="s">
        <v>2204</v>
      </c>
      <c r="F34" s="21" t="s">
        <v>6</v>
      </c>
    </row>
    <row r="35" spans="2:6" hidden="1" outlineLevel="1" x14ac:dyDescent="0.25">
      <c r="B35" s="54" t="s">
        <v>2221</v>
      </c>
      <c r="C35" s="22">
        <v>43433</v>
      </c>
      <c r="D35" s="2"/>
      <c r="E35" s="12" t="s">
        <v>2222</v>
      </c>
      <c r="F35" s="21" t="s">
        <v>6</v>
      </c>
    </row>
    <row r="36" spans="2:6" hidden="1" outlineLevel="1" x14ac:dyDescent="0.25">
      <c r="B36" s="54" t="s">
        <v>2229</v>
      </c>
      <c r="C36" s="22">
        <v>43669</v>
      </c>
      <c r="D36" s="2"/>
      <c r="E36" s="12" t="s">
        <v>2230</v>
      </c>
      <c r="F36" s="21" t="s">
        <v>6</v>
      </c>
    </row>
    <row r="37" spans="2:6" ht="30" hidden="1" outlineLevel="1" x14ac:dyDescent="0.25">
      <c r="B37" s="54" t="s">
        <v>2235</v>
      </c>
      <c r="C37" s="22">
        <v>43699</v>
      </c>
      <c r="D37" s="2" t="s">
        <v>2234</v>
      </c>
      <c r="E37" s="12" t="s">
        <v>2441</v>
      </c>
      <c r="F37" s="21" t="s">
        <v>950</v>
      </c>
    </row>
    <row r="38" spans="2:6" collapsed="1" x14ac:dyDescent="0.25">
      <c r="B38" s="54" t="s">
        <v>2443</v>
      </c>
      <c r="C38" s="22">
        <v>43700</v>
      </c>
      <c r="D38" s="2" t="s">
        <v>2496</v>
      </c>
      <c r="E38" s="12" t="s">
        <v>2444</v>
      </c>
      <c r="F38" s="21" t="s">
        <v>6</v>
      </c>
    </row>
    <row r="39" spans="2:6" x14ac:dyDescent="0.25">
      <c r="B39" s="54" t="s">
        <v>2445</v>
      </c>
      <c r="C39" s="22">
        <v>43781</v>
      </c>
      <c r="D39" s="2" t="s">
        <v>2496</v>
      </c>
      <c r="E39" s="12" t="s">
        <v>2446</v>
      </c>
      <c r="F39" s="21" t="s">
        <v>6</v>
      </c>
    </row>
    <row r="40" spans="2:6" x14ac:dyDescent="0.25">
      <c r="B40" s="54" t="s">
        <v>2447</v>
      </c>
      <c r="C40" s="22">
        <v>43783</v>
      </c>
      <c r="D40" s="2" t="s">
        <v>2496</v>
      </c>
      <c r="E40" s="12" t="s">
        <v>2448</v>
      </c>
      <c r="F40" s="21" t="s">
        <v>6</v>
      </c>
    </row>
    <row r="41" spans="2:6" x14ac:dyDescent="0.25">
      <c r="B41" s="54" t="s">
        <v>2481</v>
      </c>
      <c r="C41" s="22">
        <v>43846</v>
      </c>
      <c r="D41" s="2" t="s">
        <v>2496</v>
      </c>
      <c r="E41" s="12" t="s">
        <v>980</v>
      </c>
      <c r="F41" s="21" t="s">
        <v>950</v>
      </c>
    </row>
    <row r="42" spans="2:6" x14ac:dyDescent="0.25">
      <c r="B42" s="54" t="s">
        <v>2497</v>
      </c>
      <c r="C42" s="22">
        <v>43880</v>
      </c>
      <c r="D42" s="2" t="s">
        <v>2496</v>
      </c>
      <c r="E42" s="37" t="s">
        <v>2495</v>
      </c>
      <c r="F42" s="21" t="s">
        <v>950</v>
      </c>
    </row>
    <row r="43" spans="2:6" x14ac:dyDescent="0.25">
      <c r="B43" s="54" t="s">
        <v>2502</v>
      </c>
      <c r="C43" s="22">
        <v>43945</v>
      </c>
      <c r="D43" s="2" t="s">
        <v>2496</v>
      </c>
      <c r="E43" s="37" t="s">
        <v>2503</v>
      </c>
      <c r="F43" s="21" t="s">
        <v>950</v>
      </c>
    </row>
    <row r="44" spans="2:6" x14ac:dyDescent="0.25">
      <c r="B44" s="54" t="s">
        <v>2502</v>
      </c>
      <c r="C44" s="22">
        <v>43945</v>
      </c>
      <c r="D44" s="2" t="s">
        <v>2496</v>
      </c>
      <c r="E44" s="37" t="s">
        <v>2504</v>
      </c>
      <c r="F44" s="21" t="s">
        <v>950</v>
      </c>
    </row>
    <row r="45" spans="2:6" ht="105" x14ac:dyDescent="0.25">
      <c r="B45" s="54" t="s">
        <v>2518</v>
      </c>
      <c r="C45" s="22">
        <v>44064</v>
      </c>
      <c r="D45" s="21" t="s">
        <v>2496</v>
      </c>
      <c r="E45" s="79" t="s">
        <v>2519</v>
      </c>
      <c r="F45" s="21" t="s">
        <v>950</v>
      </c>
    </row>
    <row r="46" spans="2:6" x14ac:dyDescent="0.25">
      <c r="B46" s="54" t="s">
        <v>2518</v>
      </c>
      <c r="C46" s="22">
        <v>44064</v>
      </c>
      <c r="D46" s="21" t="s">
        <v>2496</v>
      </c>
      <c r="E46" s="37" t="s">
        <v>2521</v>
      </c>
      <c r="F46" s="21" t="s">
        <v>950</v>
      </c>
    </row>
    <row r="47" spans="2:6" ht="30" x14ac:dyDescent="0.25">
      <c r="B47" s="54" t="s">
        <v>2522</v>
      </c>
      <c r="C47" s="22">
        <v>44235</v>
      </c>
      <c r="D47" s="21" t="s">
        <v>2525</v>
      </c>
      <c r="E47" s="80" t="s">
        <v>2523</v>
      </c>
      <c r="F47" s="21" t="s">
        <v>950</v>
      </c>
    </row>
    <row r="48" spans="2:6" ht="30" x14ac:dyDescent="0.25">
      <c r="B48" s="54" t="s">
        <v>2778</v>
      </c>
      <c r="C48" s="22">
        <v>44459</v>
      </c>
      <c r="D48" s="21" t="s">
        <v>2779</v>
      </c>
      <c r="E48" s="81" t="s">
        <v>2780</v>
      </c>
      <c r="F48" s="21" t="s">
        <v>950</v>
      </c>
    </row>
    <row r="49" spans="2:6" ht="45" x14ac:dyDescent="0.25">
      <c r="B49" s="54" t="s">
        <v>3015</v>
      </c>
      <c r="C49" s="22">
        <v>44518</v>
      </c>
      <c r="D49" s="21" t="s">
        <v>2779</v>
      </c>
      <c r="E49" s="81" t="s">
        <v>2812</v>
      </c>
      <c r="F49" s="21" t="s">
        <v>950</v>
      </c>
    </row>
    <row r="50" spans="2:6" ht="75" x14ac:dyDescent="0.25">
      <c r="B50" s="54" t="s">
        <v>3015</v>
      </c>
      <c r="C50" s="22">
        <v>44586</v>
      </c>
      <c r="D50" s="21" t="s">
        <v>3129</v>
      </c>
      <c r="E50" s="81" t="s">
        <v>3130</v>
      </c>
      <c r="F50" s="21" t="s">
        <v>950</v>
      </c>
    </row>
    <row r="51" spans="2:6" ht="30" x14ac:dyDescent="0.25">
      <c r="B51" s="54" t="s">
        <v>3197</v>
      </c>
      <c r="C51" s="22">
        <v>44613</v>
      </c>
      <c r="D51" s="21" t="s">
        <v>3129</v>
      </c>
      <c r="E51" s="79" t="s">
        <v>3198</v>
      </c>
      <c r="F51" s="21" t="s">
        <v>950</v>
      </c>
    </row>
    <row r="52" spans="2:6" x14ac:dyDescent="0.25">
      <c r="B52" s="54" t="s">
        <v>3269</v>
      </c>
      <c r="C52" s="76">
        <v>44628</v>
      </c>
      <c r="D52" s="21" t="s">
        <v>3129</v>
      </c>
      <c r="E52" s="11" t="s">
        <v>3270</v>
      </c>
      <c r="F52" s="1" t="s">
        <v>950</v>
      </c>
    </row>
    <row r="53" spans="2:6" ht="30" x14ac:dyDescent="0.25">
      <c r="B53" s="54" t="s">
        <v>3297</v>
      </c>
      <c r="C53" s="22">
        <v>44637</v>
      </c>
      <c r="D53" s="21" t="s">
        <v>3129</v>
      </c>
      <c r="E53" s="79" t="s">
        <v>3298</v>
      </c>
      <c r="F53" s="21" t="s">
        <v>950</v>
      </c>
    </row>
    <row r="54" spans="2:6" ht="30" x14ac:dyDescent="0.25">
      <c r="B54" s="54" t="s">
        <v>3297</v>
      </c>
      <c r="C54" s="22">
        <v>44714</v>
      </c>
      <c r="D54" s="21" t="s">
        <v>3129</v>
      </c>
      <c r="E54" s="80" t="s">
        <v>3304</v>
      </c>
      <c r="F54" s="21" t="s">
        <v>950</v>
      </c>
    </row>
    <row r="55" spans="2:6" ht="60" x14ac:dyDescent="0.25">
      <c r="B55" s="54" t="s">
        <v>3297</v>
      </c>
      <c r="C55" s="22">
        <v>44714</v>
      </c>
      <c r="D55" s="21" t="s">
        <v>3129</v>
      </c>
      <c r="E55" s="82" t="s">
        <v>3316</v>
      </c>
      <c r="F55" s="21" t="s">
        <v>950</v>
      </c>
    </row>
    <row r="56" spans="2:6" ht="30" x14ac:dyDescent="0.25">
      <c r="B56" s="54" t="s">
        <v>3319</v>
      </c>
      <c r="C56" s="22">
        <v>44979</v>
      </c>
      <c r="D56" s="21" t="s">
        <v>3320</v>
      </c>
      <c r="E56" s="82" t="s">
        <v>3321</v>
      </c>
      <c r="F56" s="21" t="s">
        <v>950</v>
      </c>
    </row>
    <row r="57" spans="2:6" ht="60" x14ac:dyDescent="0.25">
      <c r="B57" s="54" t="s">
        <v>3327</v>
      </c>
      <c r="C57" s="22">
        <v>45030</v>
      </c>
      <c r="D57" s="21" t="s">
        <v>3399</v>
      </c>
      <c r="E57" s="81" t="s">
        <v>3328</v>
      </c>
      <c r="F57" s="21" t="s">
        <v>950</v>
      </c>
    </row>
    <row r="58" spans="2:6" x14ac:dyDescent="0.25">
      <c r="B58" s="54" t="s">
        <v>3385</v>
      </c>
      <c r="C58" s="22">
        <v>45485</v>
      </c>
      <c r="D58" s="21" t="s">
        <v>3399</v>
      </c>
      <c r="E58" s="78" t="s">
        <v>3405</v>
      </c>
      <c r="F58" s="21" t="s">
        <v>950</v>
      </c>
    </row>
    <row r="59" spans="2:6" x14ac:dyDescent="0.25">
      <c r="B59" s="54" t="s">
        <v>3385</v>
      </c>
      <c r="C59" s="22">
        <v>45485</v>
      </c>
      <c r="D59" s="21" t="s">
        <v>3399</v>
      </c>
      <c r="E59" s="77" t="s">
        <v>3395</v>
      </c>
      <c r="F59" s="21" t="s">
        <v>950</v>
      </c>
    </row>
    <row r="60" spans="2:6" ht="45" x14ac:dyDescent="0.25">
      <c r="B60" s="54" t="s">
        <v>3385</v>
      </c>
      <c r="C60" s="22">
        <v>45489</v>
      </c>
      <c r="D60" s="21" t="s">
        <v>3399</v>
      </c>
      <c r="E60" s="78" t="s">
        <v>3406</v>
      </c>
      <c r="F60" s="21" t="s">
        <v>950</v>
      </c>
    </row>
    <row r="61" spans="2:6" x14ac:dyDescent="0.25">
      <c r="B61" s="54" t="s">
        <v>3385</v>
      </c>
      <c r="C61" s="22">
        <v>45538</v>
      </c>
      <c r="D61" s="21" t="s">
        <v>3399</v>
      </c>
      <c r="E61" s="78" t="s">
        <v>3523</v>
      </c>
      <c r="F61" s="21" t="s">
        <v>950</v>
      </c>
    </row>
    <row r="62" spans="2:6" x14ac:dyDescent="0.25">
      <c r="B62" s="54" t="s">
        <v>3545</v>
      </c>
      <c r="C62" s="22">
        <v>45621</v>
      </c>
      <c r="D62" s="21" t="s">
        <v>3399</v>
      </c>
      <c r="E62" s="96" t="s">
        <v>3549</v>
      </c>
      <c r="F62" s="21" t="s">
        <v>950</v>
      </c>
    </row>
    <row r="63" spans="2:6" ht="30" x14ac:dyDescent="0.25">
      <c r="B63" s="54" t="s">
        <v>3554</v>
      </c>
      <c r="C63" s="22">
        <v>45686</v>
      </c>
      <c r="D63" s="21" t="s">
        <v>3399</v>
      </c>
      <c r="E63" s="97" t="s">
        <v>3555</v>
      </c>
      <c r="F63" s="21" t="s">
        <v>950</v>
      </c>
    </row>
    <row r="64" spans="2:6" ht="30" x14ac:dyDescent="0.25">
      <c r="B64" s="54" t="s">
        <v>3564</v>
      </c>
      <c r="C64" s="22">
        <v>45621</v>
      </c>
      <c r="D64" s="21" t="s">
        <v>3399</v>
      </c>
      <c r="E64" s="105" t="s">
        <v>3565</v>
      </c>
      <c r="F64" s="21" t="s">
        <v>6</v>
      </c>
    </row>
  </sheetData>
  <phoneticPr fontId="49" type="noConversion"/>
  <pageMargins left="0.7" right="0.7" top="0.75" bottom="0.75" header="0.3" footer="0.3"/>
  <pageSetup paperSize="9" orientation="portrait" r:id="rId1"/>
  <ignoredErrors>
    <ignoredError sqref="B39:B4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theme="4"/>
  </sheetPr>
  <dimension ref="A1:BD824"/>
  <sheetViews>
    <sheetView tabSelected="1" zoomScale="85" zoomScaleNormal="85" workbookViewId="0">
      <pane ySplit="3" topLeftCell="A79" activePane="bottomLeft" state="frozen"/>
      <selection activeCell="Q51" sqref="Q51"/>
      <selection pane="bottomLeft" activeCell="M87" sqref="M87"/>
    </sheetView>
  </sheetViews>
  <sheetFormatPr baseColWidth="10" defaultColWidth="9.140625" defaultRowHeight="15" outlineLevelCol="1" x14ac:dyDescent="0.25"/>
  <cols>
    <col min="1" max="1" width="16.140625" bestFit="1" customWidth="1"/>
    <col min="2" max="2" width="41.85546875" style="44" bestFit="1" customWidth="1"/>
    <col min="3" max="3" width="20.42578125" style="44" customWidth="1"/>
    <col min="4" max="4" width="50.42578125" style="44" bestFit="1" customWidth="1"/>
    <col min="5" max="5" width="7" style="44" customWidth="1"/>
    <col min="6" max="6" width="12.7109375" style="44" customWidth="1"/>
    <col min="7" max="7" width="7.5703125" style="43" customWidth="1"/>
    <col min="8" max="8" width="13.85546875" style="43" customWidth="1"/>
    <col min="9" max="9" width="7.5703125" style="43" customWidth="1"/>
    <col min="10" max="10" width="10.7109375" style="43" customWidth="1"/>
    <col min="11" max="11" width="13.42578125" style="43" customWidth="1"/>
    <col min="12" max="12" width="9.85546875" style="1" customWidth="1"/>
    <col min="13" max="13" width="18.42578125" style="62" customWidth="1"/>
    <col min="14" max="14" width="38.140625" style="59" bestFit="1" customWidth="1"/>
    <col min="15" max="15" width="9.140625" customWidth="1"/>
    <col min="16" max="16" width="20.42578125" style="43" customWidth="1" outlineLevel="1"/>
    <col min="17" max="17" width="61.5703125" style="57" customWidth="1" outlineLevel="1"/>
    <col min="18" max="18" width="9.140625" customWidth="1"/>
    <col min="19" max="20" width="28.85546875" customWidth="1"/>
    <col min="21" max="22" width="9.140625" customWidth="1"/>
    <col min="23" max="23" width="25.28515625" customWidth="1"/>
    <col min="24" max="34" width="9.140625" customWidth="1"/>
  </cols>
  <sheetData>
    <row r="1" spans="1:56" x14ac:dyDescent="0.25">
      <c r="S1" t="s">
        <v>1285</v>
      </c>
      <c r="T1" t="s">
        <v>1284</v>
      </c>
    </row>
    <row r="2" spans="1:56" x14ac:dyDescent="0.25">
      <c r="S2" t="s">
        <v>1283</v>
      </c>
      <c r="T2" t="s">
        <v>1283</v>
      </c>
      <c r="U2" t="s">
        <v>2678</v>
      </c>
    </row>
    <row r="3" spans="1:56" ht="90" x14ac:dyDescent="0.5">
      <c r="A3" s="3" t="s">
        <v>106</v>
      </c>
      <c r="B3" s="10" t="s">
        <v>1414</v>
      </c>
      <c r="C3" s="10" t="s">
        <v>8</v>
      </c>
      <c r="D3" s="10" t="s">
        <v>5</v>
      </c>
      <c r="E3" s="10" t="s">
        <v>9</v>
      </c>
      <c r="F3" s="10" t="s">
        <v>10</v>
      </c>
      <c r="G3" s="10" t="s">
        <v>11</v>
      </c>
      <c r="H3" s="38" t="s">
        <v>2184</v>
      </c>
      <c r="I3" s="10" t="s">
        <v>13</v>
      </c>
      <c r="J3" s="10" t="s">
        <v>14</v>
      </c>
      <c r="K3" s="10" t="s">
        <v>15</v>
      </c>
      <c r="L3" s="38" t="s">
        <v>2442</v>
      </c>
      <c r="M3" s="63" t="s">
        <v>1134</v>
      </c>
      <c r="N3" s="58" t="s">
        <v>2488</v>
      </c>
      <c r="P3" s="38" t="s">
        <v>2514</v>
      </c>
      <c r="Q3" s="61" t="s">
        <v>1</v>
      </c>
      <c r="S3" s="39" t="s">
        <v>1267</v>
      </c>
      <c r="T3" s="39" t="s">
        <v>1268</v>
      </c>
      <c r="U3" s="55" t="s">
        <v>2681</v>
      </c>
      <c r="V3" t="s">
        <v>2682</v>
      </c>
      <c r="W3" t="s">
        <v>5</v>
      </c>
      <c r="X3" t="s">
        <v>3307</v>
      </c>
      <c r="Y3" t="s">
        <v>11</v>
      </c>
      <c r="Z3" t="s">
        <v>13</v>
      </c>
      <c r="AA3" t="s">
        <v>3308</v>
      </c>
      <c r="AB3" t="s">
        <v>3309</v>
      </c>
      <c r="AC3" t="s">
        <v>3310</v>
      </c>
      <c r="AD3" t="s">
        <v>3311</v>
      </c>
      <c r="AE3" t="s">
        <v>3314</v>
      </c>
      <c r="AF3" t="s">
        <v>3314</v>
      </c>
      <c r="AG3" t="s">
        <v>3314</v>
      </c>
      <c r="AH3" t="s">
        <v>3314</v>
      </c>
      <c r="AI3" t="s">
        <v>3314</v>
      </c>
      <c r="AJ3" t="s">
        <v>3314</v>
      </c>
      <c r="AK3" t="s">
        <v>3314</v>
      </c>
      <c r="AL3" t="s">
        <v>3314</v>
      </c>
      <c r="AM3" t="s">
        <v>3314</v>
      </c>
      <c r="AN3" t="s">
        <v>3314</v>
      </c>
      <c r="AO3" t="s">
        <v>3314</v>
      </c>
      <c r="AP3" t="s">
        <v>3314</v>
      </c>
      <c r="AQ3" t="s">
        <v>3314</v>
      </c>
      <c r="AR3" t="s">
        <v>3314</v>
      </c>
      <c r="AS3" t="s">
        <v>3314</v>
      </c>
      <c r="AT3" t="s">
        <v>3314</v>
      </c>
      <c r="AU3" t="s">
        <v>3314</v>
      </c>
      <c r="AV3" t="s">
        <v>3314</v>
      </c>
      <c r="AW3" t="s">
        <v>3314</v>
      </c>
      <c r="AX3" t="s">
        <v>3314</v>
      </c>
      <c r="AY3" t="s">
        <v>3314</v>
      </c>
      <c r="AZ3" t="s">
        <v>3314</v>
      </c>
      <c r="BA3" t="s">
        <v>3314</v>
      </c>
      <c r="BB3" t="s">
        <v>3314</v>
      </c>
      <c r="BC3" t="s">
        <v>3314</v>
      </c>
      <c r="BD3" t="s">
        <v>3314</v>
      </c>
    </row>
    <row r="4" spans="1:56" x14ac:dyDescent="0.25">
      <c r="B4" s="45" t="s">
        <v>1417</v>
      </c>
      <c r="C4" s="45" t="s">
        <v>1324</v>
      </c>
      <c r="D4" s="45" t="s">
        <v>1293</v>
      </c>
      <c r="E4" s="45">
        <v>109001</v>
      </c>
      <c r="F4" s="45">
        <v>1048</v>
      </c>
      <c r="G4" s="21">
        <v>0</v>
      </c>
      <c r="H4" s="21">
        <v>2</v>
      </c>
      <c r="I4" s="21" t="s">
        <v>147</v>
      </c>
      <c r="J4" s="21">
        <v>100000</v>
      </c>
      <c r="K4" s="21">
        <v>0</v>
      </c>
      <c r="L4" s="2"/>
      <c r="M4" s="64"/>
      <c r="N4" s="42"/>
      <c r="P4" s="21"/>
      <c r="Q4" s="12" t="s">
        <v>1411</v>
      </c>
      <c r="R4">
        <f t="shared" ref="R4:R35" si="0">COUNTIF(C:C,C4)</f>
        <v>1</v>
      </c>
      <c r="S4" s="21"/>
      <c r="T4" s="21"/>
      <c r="W4" t="e">
        <f>INDEX(#REF!,MATCH($E4,#REF!,0))</f>
        <v>#REF!</v>
      </c>
      <c r="X4" t="e">
        <f>INDEX(#REF!,MATCH($E4,#REF!,0))</f>
        <v>#REF!</v>
      </c>
      <c r="Y4" t="e">
        <f>INDEX(#REF!,MATCH($E4,#REF!,0))</f>
        <v>#REF!</v>
      </c>
      <c r="Z4" t="e">
        <f>INDEX(#REF!,MATCH($E4,#REF!,0))</f>
        <v>#REF!</v>
      </c>
      <c r="AA4" t="e">
        <f>INDEX(#REF!,MATCH($E4,#REF!,0))</f>
        <v>#REF!</v>
      </c>
      <c r="AB4" t="e">
        <f>INDEX(#REF!,MATCH($E4,#REF!,0))</f>
        <v>#REF!</v>
      </c>
      <c r="AC4" t="e">
        <f>INDEX(#REF!,MATCH($E4,#REF!,0))</f>
        <v>#REF!</v>
      </c>
      <c r="AD4" t="e">
        <f>INDEX(#REF!,MATCH($E4,#REF!,0))</f>
        <v>#REF!</v>
      </c>
      <c r="AE4" t="e">
        <f>AND(X4=F4,G4=Y4,AC4=J4,AD4=H4)</f>
        <v>#REF!</v>
      </c>
    </row>
    <row r="5" spans="1:56" x14ac:dyDescent="0.25">
      <c r="B5" s="45" t="s">
        <v>1418</v>
      </c>
      <c r="C5" s="45" t="s">
        <v>1325</v>
      </c>
      <c r="D5" s="45" t="s">
        <v>1294</v>
      </c>
      <c r="E5" s="45">
        <v>109002</v>
      </c>
      <c r="F5" s="45">
        <v>1048</v>
      </c>
      <c r="G5" s="21">
        <v>1</v>
      </c>
      <c r="H5" s="21">
        <v>2</v>
      </c>
      <c r="I5" s="21" t="s">
        <v>147</v>
      </c>
      <c r="J5" s="21">
        <v>100000</v>
      </c>
      <c r="K5" s="21">
        <v>0</v>
      </c>
      <c r="L5" s="2"/>
      <c r="M5" s="64"/>
      <c r="N5" s="42"/>
      <c r="P5" s="21"/>
      <c r="Q5" s="12" t="s">
        <v>1411</v>
      </c>
      <c r="R5">
        <f t="shared" si="0"/>
        <v>1</v>
      </c>
      <c r="S5" s="21"/>
      <c r="T5" s="21"/>
      <c r="W5" t="e">
        <f>INDEX(#REF!,MATCH($E5,#REF!,0))</f>
        <v>#REF!</v>
      </c>
      <c r="X5" t="e">
        <f>INDEX(#REF!,MATCH($E5,#REF!,0))</f>
        <v>#REF!</v>
      </c>
      <c r="Y5" t="e">
        <f>INDEX(#REF!,MATCH($E5,#REF!,0))</f>
        <v>#REF!</v>
      </c>
      <c r="Z5" t="e">
        <f>INDEX(#REF!,MATCH($E5,#REF!,0))</f>
        <v>#REF!</v>
      </c>
      <c r="AA5" t="e">
        <f>INDEX(#REF!,MATCH($E5,#REF!,0))</f>
        <v>#REF!</v>
      </c>
      <c r="AB5" t="e">
        <f>INDEX(#REF!,MATCH($E5,#REF!,0))</f>
        <v>#REF!</v>
      </c>
      <c r="AC5" t="e">
        <f>INDEX(#REF!,MATCH($E5,#REF!,0))</f>
        <v>#REF!</v>
      </c>
      <c r="AD5" t="e">
        <f>INDEX(#REF!,MATCH($E5,#REF!,0))</f>
        <v>#REF!</v>
      </c>
      <c r="AE5" t="e">
        <f t="shared" ref="AE5:AE72" si="1">AND(X5=F5,G5=Y5,AC5=J5,AD5=H5)</f>
        <v>#REF!</v>
      </c>
    </row>
    <row r="6" spans="1:56" x14ac:dyDescent="0.25">
      <c r="B6" s="45" t="s">
        <v>1419</v>
      </c>
      <c r="C6" s="45" t="s">
        <v>1326</v>
      </c>
      <c r="D6" s="45" t="s">
        <v>1295</v>
      </c>
      <c r="E6" s="45">
        <v>109003</v>
      </c>
      <c r="F6" s="45">
        <v>1048</v>
      </c>
      <c r="G6" s="21">
        <v>2</v>
      </c>
      <c r="H6" s="21">
        <v>2</v>
      </c>
      <c r="I6" s="21" t="s">
        <v>147</v>
      </c>
      <c r="J6" s="21">
        <v>100000</v>
      </c>
      <c r="K6" s="21">
        <v>0</v>
      </c>
      <c r="L6" s="2"/>
      <c r="M6" s="64"/>
      <c r="N6" s="42"/>
      <c r="P6" s="21"/>
      <c r="Q6" s="12" t="s">
        <v>1411</v>
      </c>
      <c r="R6">
        <f t="shared" si="0"/>
        <v>1</v>
      </c>
      <c r="S6" s="21"/>
      <c r="T6" s="21"/>
      <c r="W6" t="e">
        <f>INDEX(#REF!,MATCH($E6,#REF!,0))</f>
        <v>#REF!</v>
      </c>
      <c r="X6" t="e">
        <f>INDEX(#REF!,MATCH($E6,#REF!,0))</f>
        <v>#REF!</v>
      </c>
      <c r="Y6" t="e">
        <f>INDEX(#REF!,MATCH($E6,#REF!,0))</f>
        <v>#REF!</v>
      </c>
      <c r="Z6" t="e">
        <f>INDEX(#REF!,MATCH($E6,#REF!,0))</f>
        <v>#REF!</v>
      </c>
      <c r="AA6" t="e">
        <f>INDEX(#REF!,MATCH($E6,#REF!,0))</f>
        <v>#REF!</v>
      </c>
      <c r="AB6" t="e">
        <f>INDEX(#REF!,MATCH($E6,#REF!,0))</f>
        <v>#REF!</v>
      </c>
      <c r="AC6" t="e">
        <f>INDEX(#REF!,MATCH($E6,#REF!,0))</f>
        <v>#REF!</v>
      </c>
      <c r="AD6" t="e">
        <f>INDEX(#REF!,MATCH($E6,#REF!,0))</f>
        <v>#REF!</v>
      </c>
      <c r="AE6" t="e">
        <f t="shared" si="1"/>
        <v>#REF!</v>
      </c>
    </row>
    <row r="7" spans="1:56" x14ac:dyDescent="0.25">
      <c r="B7" s="45" t="s">
        <v>1420</v>
      </c>
      <c r="C7" s="45" t="s">
        <v>1327</v>
      </c>
      <c r="D7" s="45" t="s">
        <v>1296</v>
      </c>
      <c r="E7" s="45">
        <v>109004</v>
      </c>
      <c r="F7" s="45">
        <v>1048</v>
      </c>
      <c r="G7" s="21">
        <v>3</v>
      </c>
      <c r="H7" s="21">
        <v>2</v>
      </c>
      <c r="I7" s="21" t="s">
        <v>210</v>
      </c>
      <c r="J7" s="21">
        <v>100</v>
      </c>
      <c r="K7" s="21">
        <v>0</v>
      </c>
      <c r="L7" s="2"/>
      <c r="M7" s="64"/>
      <c r="N7" s="42"/>
      <c r="P7" s="21"/>
      <c r="Q7" s="12" t="s">
        <v>1411</v>
      </c>
      <c r="R7">
        <f t="shared" si="0"/>
        <v>1</v>
      </c>
      <c r="S7" s="21"/>
      <c r="T7" s="21"/>
      <c r="W7" t="e">
        <f>INDEX(#REF!,MATCH($E7,#REF!,0))</f>
        <v>#REF!</v>
      </c>
      <c r="X7" t="e">
        <f>INDEX(#REF!,MATCH($E7,#REF!,0))</f>
        <v>#REF!</v>
      </c>
      <c r="Y7" t="e">
        <f>INDEX(#REF!,MATCH($E7,#REF!,0))</f>
        <v>#REF!</v>
      </c>
      <c r="Z7" t="e">
        <f>INDEX(#REF!,MATCH($E7,#REF!,0))</f>
        <v>#REF!</v>
      </c>
      <c r="AA7" t="e">
        <f>INDEX(#REF!,MATCH($E7,#REF!,0))</f>
        <v>#REF!</v>
      </c>
      <c r="AB7" t="e">
        <f>INDEX(#REF!,MATCH($E7,#REF!,0))</f>
        <v>#REF!</v>
      </c>
      <c r="AC7" t="e">
        <f>INDEX(#REF!,MATCH($E7,#REF!,0))</f>
        <v>#REF!</v>
      </c>
      <c r="AD7" t="e">
        <f>INDEX(#REF!,MATCH($E7,#REF!,0))</f>
        <v>#REF!</v>
      </c>
      <c r="AE7" t="e">
        <f t="shared" si="1"/>
        <v>#REF!</v>
      </c>
    </row>
    <row r="8" spans="1:56" x14ac:dyDescent="0.25">
      <c r="B8" s="45" t="s">
        <v>1421</v>
      </c>
      <c r="C8" s="45" t="s">
        <v>1328</v>
      </c>
      <c r="D8" s="45" t="s">
        <v>1297</v>
      </c>
      <c r="E8" s="45">
        <v>109005</v>
      </c>
      <c r="F8" s="45">
        <v>1048</v>
      </c>
      <c r="G8" s="21">
        <v>4</v>
      </c>
      <c r="H8" s="21">
        <v>2</v>
      </c>
      <c r="I8" s="21" t="s">
        <v>210</v>
      </c>
      <c r="J8" s="21">
        <v>100</v>
      </c>
      <c r="K8" s="21">
        <v>0</v>
      </c>
      <c r="L8" s="2"/>
      <c r="M8" s="64"/>
      <c r="N8" s="42"/>
      <c r="P8" s="21"/>
      <c r="Q8" s="12" t="s">
        <v>1411</v>
      </c>
      <c r="R8">
        <f t="shared" si="0"/>
        <v>1</v>
      </c>
      <c r="S8" s="21"/>
      <c r="T8" s="21"/>
      <c r="W8" t="e">
        <f>INDEX(#REF!,MATCH($E8,#REF!,0))</f>
        <v>#REF!</v>
      </c>
      <c r="X8" t="e">
        <f>INDEX(#REF!,MATCH($E8,#REF!,0))</f>
        <v>#REF!</v>
      </c>
      <c r="Y8" t="e">
        <f>INDEX(#REF!,MATCH($E8,#REF!,0))</f>
        <v>#REF!</v>
      </c>
      <c r="Z8" t="e">
        <f>INDEX(#REF!,MATCH($E8,#REF!,0))</f>
        <v>#REF!</v>
      </c>
      <c r="AA8" t="e">
        <f>INDEX(#REF!,MATCH($E8,#REF!,0))</f>
        <v>#REF!</v>
      </c>
      <c r="AB8" t="e">
        <f>INDEX(#REF!,MATCH($E8,#REF!,0))</f>
        <v>#REF!</v>
      </c>
      <c r="AC8" t="e">
        <f>INDEX(#REF!,MATCH($E8,#REF!,0))</f>
        <v>#REF!</v>
      </c>
      <c r="AD8" t="e">
        <f>INDEX(#REF!,MATCH($E8,#REF!,0))</f>
        <v>#REF!</v>
      </c>
      <c r="AE8" t="e">
        <f t="shared" si="1"/>
        <v>#REF!</v>
      </c>
    </row>
    <row r="9" spans="1:56" x14ac:dyDescent="0.25">
      <c r="B9" s="45" t="s">
        <v>1422</v>
      </c>
      <c r="C9" s="45" t="s">
        <v>1329</v>
      </c>
      <c r="D9" s="45" t="s">
        <v>1298</v>
      </c>
      <c r="E9" s="45">
        <v>109006</v>
      </c>
      <c r="F9" s="45">
        <v>1048</v>
      </c>
      <c r="G9" s="21">
        <v>5</v>
      </c>
      <c r="H9" s="21">
        <v>2</v>
      </c>
      <c r="I9" s="21" t="s">
        <v>210</v>
      </c>
      <c r="J9" s="21">
        <v>100</v>
      </c>
      <c r="K9" s="21">
        <v>0</v>
      </c>
      <c r="L9" s="2"/>
      <c r="M9" s="64"/>
      <c r="N9" s="42"/>
      <c r="P9" s="21"/>
      <c r="Q9" s="12" t="s">
        <v>1411</v>
      </c>
      <c r="R9">
        <f t="shared" si="0"/>
        <v>1</v>
      </c>
      <c r="S9" s="21"/>
      <c r="T9" s="21"/>
      <c r="W9" t="e">
        <f>INDEX(#REF!,MATCH($E9,#REF!,0))</f>
        <v>#REF!</v>
      </c>
      <c r="X9" t="e">
        <f>INDEX(#REF!,MATCH($E9,#REF!,0))</f>
        <v>#REF!</v>
      </c>
      <c r="Y9" t="e">
        <f>INDEX(#REF!,MATCH($E9,#REF!,0))</f>
        <v>#REF!</v>
      </c>
      <c r="Z9" t="e">
        <f>INDEX(#REF!,MATCH($E9,#REF!,0))</f>
        <v>#REF!</v>
      </c>
      <c r="AA9" t="e">
        <f>INDEX(#REF!,MATCH($E9,#REF!,0))</f>
        <v>#REF!</v>
      </c>
      <c r="AB9" t="e">
        <f>INDEX(#REF!,MATCH($E9,#REF!,0))</f>
        <v>#REF!</v>
      </c>
      <c r="AC9" t="e">
        <f>INDEX(#REF!,MATCH($E9,#REF!,0))</f>
        <v>#REF!</v>
      </c>
      <c r="AD9" t="e">
        <f>INDEX(#REF!,MATCH($E9,#REF!,0))</f>
        <v>#REF!</v>
      </c>
      <c r="AE9" t="e">
        <f t="shared" si="1"/>
        <v>#REF!</v>
      </c>
    </row>
    <row r="10" spans="1:56" x14ac:dyDescent="0.25">
      <c r="B10" s="45" t="s">
        <v>1423</v>
      </c>
      <c r="C10" s="45" t="s">
        <v>1330</v>
      </c>
      <c r="D10" s="45" t="s">
        <v>1299</v>
      </c>
      <c r="E10" s="45">
        <v>109007</v>
      </c>
      <c r="F10" s="45">
        <v>1048</v>
      </c>
      <c r="G10" s="21">
        <v>6</v>
      </c>
      <c r="H10" s="21">
        <v>2</v>
      </c>
      <c r="I10" s="21" t="s">
        <v>1355</v>
      </c>
      <c r="J10" s="21">
        <v>1000</v>
      </c>
      <c r="K10" s="21">
        <v>0</v>
      </c>
      <c r="L10" s="2"/>
      <c r="M10" s="64"/>
      <c r="N10" s="42"/>
      <c r="P10" s="21"/>
      <c r="Q10" s="12" t="s">
        <v>1411</v>
      </c>
      <c r="R10">
        <f t="shared" si="0"/>
        <v>1</v>
      </c>
      <c r="S10" s="21"/>
      <c r="T10" s="21"/>
      <c r="W10" t="e">
        <f>INDEX(#REF!,MATCH($E10,#REF!,0))</f>
        <v>#REF!</v>
      </c>
      <c r="X10" t="e">
        <f>INDEX(#REF!,MATCH($E10,#REF!,0))</f>
        <v>#REF!</v>
      </c>
      <c r="Y10" t="e">
        <f>INDEX(#REF!,MATCH($E10,#REF!,0))</f>
        <v>#REF!</v>
      </c>
      <c r="Z10" t="e">
        <f>INDEX(#REF!,MATCH($E10,#REF!,0))</f>
        <v>#REF!</v>
      </c>
      <c r="AA10" t="e">
        <f>INDEX(#REF!,MATCH($E10,#REF!,0))</f>
        <v>#REF!</v>
      </c>
      <c r="AB10" t="e">
        <f>INDEX(#REF!,MATCH($E10,#REF!,0))</f>
        <v>#REF!</v>
      </c>
      <c r="AC10" t="e">
        <f>INDEX(#REF!,MATCH($E10,#REF!,0))</f>
        <v>#REF!</v>
      </c>
      <c r="AD10" t="e">
        <f>INDEX(#REF!,MATCH($E10,#REF!,0))</f>
        <v>#REF!</v>
      </c>
      <c r="AE10" t="e">
        <f t="shared" si="1"/>
        <v>#REF!</v>
      </c>
    </row>
    <row r="11" spans="1:56" x14ac:dyDescent="0.25">
      <c r="B11" s="45" t="s">
        <v>1424</v>
      </c>
      <c r="C11" s="45" t="s">
        <v>1331</v>
      </c>
      <c r="D11" s="45" t="s">
        <v>1300</v>
      </c>
      <c r="E11" s="45">
        <v>109008</v>
      </c>
      <c r="F11" s="45">
        <v>1048</v>
      </c>
      <c r="G11" s="21">
        <v>7</v>
      </c>
      <c r="H11" s="21">
        <v>2</v>
      </c>
      <c r="I11" s="21" t="s">
        <v>1356</v>
      </c>
      <c r="J11" s="21">
        <v>1000</v>
      </c>
      <c r="K11" s="21">
        <v>0</v>
      </c>
      <c r="L11" s="2"/>
      <c r="M11" s="64"/>
      <c r="N11" s="42"/>
      <c r="P11" s="21"/>
      <c r="Q11" s="12" t="s">
        <v>1411</v>
      </c>
      <c r="R11">
        <f t="shared" si="0"/>
        <v>1</v>
      </c>
      <c r="S11" s="21"/>
      <c r="T11" s="21"/>
      <c r="W11" t="e">
        <f>INDEX(#REF!,MATCH($E11,#REF!,0))</f>
        <v>#REF!</v>
      </c>
      <c r="X11" t="e">
        <f>INDEX(#REF!,MATCH($E11,#REF!,0))</f>
        <v>#REF!</v>
      </c>
      <c r="Y11" t="e">
        <f>INDEX(#REF!,MATCH($E11,#REF!,0))</f>
        <v>#REF!</v>
      </c>
      <c r="Z11" t="e">
        <f>INDEX(#REF!,MATCH($E11,#REF!,0))</f>
        <v>#REF!</v>
      </c>
      <c r="AA11" t="e">
        <f>INDEX(#REF!,MATCH($E11,#REF!,0))</f>
        <v>#REF!</v>
      </c>
      <c r="AB11" t="e">
        <f>INDEX(#REF!,MATCH($E11,#REF!,0))</f>
        <v>#REF!</v>
      </c>
      <c r="AC11" t="e">
        <f>INDEX(#REF!,MATCH($E11,#REF!,0))</f>
        <v>#REF!</v>
      </c>
      <c r="AD11" t="e">
        <f>INDEX(#REF!,MATCH($E11,#REF!,0))</f>
        <v>#REF!</v>
      </c>
      <c r="AE11" t="e">
        <f t="shared" si="1"/>
        <v>#REF!</v>
      </c>
    </row>
    <row r="12" spans="1:56" x14ac:dyDescent="0.25">
      <c r="B12" s="45" t="s">
        <v>1425</v>
      </c>
      <c r="C12" s="45" t="s">
        <v>1332</v>
      </c>
      <c r="D12" s="45" t="s">
        <v>1301</v>
      </c>
      <c r="E12" s="45">
        <v>109009</v>
      </c>
      <c r="F12" s="45">
        <v>1048</v>
      </c>
      <c r="G12" s="21">
        <v>8</v>
      </c>
      <c r="H12" s="21">
        <v>2</v>
      </c>
      <c r="I12" s="21" t="s">
        <v>1356</v>
      </c>
      <c r="J12" s="21">
        <v>1000</v>
      </c>
      <c r="K12" s="21">
        <v>0</v>
      </c>
      <c r="L12" s="2"/>
      <c r="M12" s="64"/>
      <c r="N12" s="42"/>
      <c r="P12" s="21"/>
      <c r="Q12" s="12" t="s">
        <v>1411</v>
      </c>
      <c r="R12">
        <f t="shared" si="0"/>
        <v>1</v>
      </c>
      <c r="S12" s="21"/>
      <c r="T12" s="21"/>
      <c r="W12" t="e">
        <f>INDEX(#REF!,MATCH($E12,#REF!,0))</f>
        <v>#REF!</v>
      </c>
      <c r="X12" t="e">
        <f>INDEX(#REF!,MATCH($E12,#REF!,0))</f>
        <v>#REF!</v>
      </c>
      <c r="Y12" t="e">
        <f>INDEX(#REF!,MATCH($E12,#REF!,0))</f>
        <v>#REF!</v>
      </c>
      <c r="Z12" t="e">
        <f>INDEX(#REF!,MATCH($E12,#REF!,0))</f>
        <v>#REF!</v>
      </c>
      <c r="AA12" t="e">
        <f>INDEX(#REF!,MATCH($E12,#REF!,0))</f>
        <v>#REF!</v>
      </c>
      <c r="AB12" t="e">
        <f>INDEX(#REF!,MATCH($E12,#REF!,0))</f>
        <v>#REF!</v>
      </c>
      <c r="AC12" t="e">
        <f>INDEX(#REF!,MATCH($E12,#REF!,0))</f>
        <v>#REF!</v>
      </c>
      <c r="AD12" t="e">
        <f>INDEX(#REF!,MATCH($E12,#REF!,0))</f>
        <v>#REF!</v>
      </c>
      <c r="AE12" t="e">
        <f t="shared" si="1"/>
        <v>#REF!</v>
      </c>
    </row>
    <row r="13" spans="1:56" x14ac:dyDescent="0.25">
      <c r="B13" s="45" t="s">
        <v>1426</v>
      </c>
      <c r="C13" s="45" t="s">
        <v>1333</v>
      </c>
      <c r="D13" s="45" t="s">
        <v>1302</v>
      </c>
      <c r="E13" s="45">
        <v>109010</v>
      </c>
      <c r="F13" s="45">
        <v>1048</v>
      </c>
      <c r="G13" s="21">
        <v>9</v>
      </c>
      <c r="H13" s="21">
        <v>2</v>
      </c>
      <c r="I13" s="21" t="s">
        <v>26</v>
      </c>
      <c r="J13" s="21">
        <v>1</v>
      </c>
      <c r="K13" s="21">
        <v>0</v>
      </c>
      <c r="L13" s="2"/>
      <c r="M13" s="64"/>
      <c r="N13" s="42"/>
      <c r="P13" s="21"/>
      <c r="Q13" s="12" t="s">
        <v>1411</v>
      </c>
      <c r="R13">
        <f t="shared" si="0"/>
        <v>1</v>
      </c>
      <c r="S13" s="21"/>
      <c r="T13" s="21"/>
      <c r="W13" t="e">
        <f>INDEX(#REF!,MATCH($E13,#REF!,0))</f>
        <v>#REF!</v>
      </c>
      <c r="X13" t="e">
        <f>INDEX(#REF!,MATCH($E13,#REF!,0))</f>
        <v>#REF!</v>
      </c>
      <c r="Y13" t="e">
        <f>INDEX(#REF!,MATCH($E13,#REF!,0))</f>
        <v>#REF!</v>
      </c>
      <c r="Z13" t="e">
        <f>INDEX(#REF!,MATCH($E13,#REF!,0))</f>
        <v>#REF!</v>
      </c>
      <c r="AA13" t="e">
        <f>INDEX(#REF!,MATCH($E13,#REF!,0))</f>
        <v>#REF!</v>
      </c>
      <c r="AB13" t="e">
        <f>INDEX(#REF!,MATCH($E13,#REF!,0))</f>
        <v>#REF!</v>
      </c>
      <c r="AC13" t="e">
        <f>INDEX(#REF!,MATCH($E13,#REF!,0))</f>
        <v>#REF!</v>
      </c>
      <c r="AD13" t="e">
        <f>INDEX(#REF!,MATCH($E13,#REF!,0))</f>
        <v>#REF!</v>
      </c>
      <c r="AE13" t="e">
        <f t="shared" si="1"/>
        <v>#REF!</v>
      </c>
    </row>
    <row r="14" spans="1:56" x14ac:dyDescent="0.25">
      <c r="B14" s="45" t="s">
        <v>1427</v>
      </c>
      <c r="C14" s="45" t="s">
        <v>1334</v>
      </c>
      <c r="D14" s="45" t="s">
        <v>1303</v>
      </c>
      <c r="E14" s="45">
        <v>109011</v>
      </c>
      <c r="F14" s="45">
        <v>1048</v>
      </c>
      <c r="G14" s="21">
        <v>10</v>
      </c>
      <c r="H14" s="21">
        <v>2</v>
      </c>
      <c r="I14" s="21" t="s">
        <v>147</v>
      </c>
      <c r="J14" s="21">
        <v>100000</v>
      </c>
      <c r="K14" s="21">
        <v>0</v>
      </c>
      <c r="L14" s="2"/>
      <c r="M14" s="64"/>
      <c r="N14" s="42"/>
      <c r="P14" s="21"/>
      <c r="Q14" s="12" t="s">
        <v>1411</v>
      </c>
      <c r="R14">
        <f t="shared" si="0"/>
        <v>1</v>
      </c>
      <c r="S14" s="21"/>
      <c r="T14" s="21"/>
      <c r="W14" t="e">
        <f>INDEX(#REF!,MATCH($E14,#REF!,0))</f>
        <v>#REF!</v>
      </c>
      <c r="X14" t="e">
        <f>INDEX(#REF!,MATCH($E14,#REF!,0))</f>
        <v>#REF!</v>
      </c>
      <c r="Y14" t="e">
        <f>INDEX(#REF!,MATCH($E14,#REF!,0))</f>
        <v>#REF!</v>
      </c>
      <c r="Z14" t="e">
        <f>INDEX(#REF!,MATCH($E14,#REF!,0))</f>
        <v>#REF!</v>
      </c>
      <c r="AA14" t="e">
        <f>INDEX(#REF!,MATCH($E14,#REF!,0))</f>
        <v>#REF!</v>
      </c>
      <c r="AB14" t="e">
        <f>INDEX(#REF!,MATCH($E14,#REF!,0))</f>
        <v>#REF!</v>
      </c>
      <c r="AC14" t="e">
        <f>INDEX(#REF!,MATCH($E14,#REF!,0))</f>
        <v>#REF!</v>
      </c>
      <c r="AD14" t="e">
        <f>INDEX(#REF!,MATCH($E14,#REF!,0))</f>
        <v>#REF!</v>
      </c>
      <c r="AE14" t="e">
        <f t="shared" si="1"/>
        <v>#REF!</v>
      </c>
    </row>
    <row r="15" spans="1:56" x14ac:dyDescent="0.25">
      <c r="B15" s="45" t="s">
        <v>1428</v>
      </c>
      <c r="C15" s="45" t="s">
        <v>1335</v>
      </c>
      <c r="D15" s="45" t="s">
        <v>1304</v>
      </c>
      <c r="E15" s="45">
        <v>109012</v>
      </c>
      <c r="F15" s="45">
        <v>1048</v>
      </c>
      <c r="G15" s="21">
        <v>11</v>
      </c>
      <c r="H15" s="21">
        <v>2</v>
      </c>
      <c r="I15" s="21" t="s">
        <v>147</v>
      </c>
      <c r="J15" s="21">
        <v>100000</v>
      </c>
      <c r="K15" s="21">
        <v>0</v>
      </c>
      <c r="L15" s="2"/>
      <c r="M15" s="64"/>
      <c r="N15" s="42"/>
      <c r="P15" s="21"/>
      <c r="Q15" s="12" t="s">
        <v>1411</v>
      </c>
      <c r="R15">
        <f t="shared" si="0"/>
        <v>1</v>
      </c>
      <c r="S15" s="21"/>
      <c r="T15" s="21"/>
      <c r="W15" t="e">
        <f>INDEX(#REF!,MATCH($E15,#REF!,0))</f>
        <v>#REF!</v>
      </c>
      <c r="X15" t="e">
        <f>INDEX(#REF!,MATCH($E15,#REF!,0))</f>
        <v>#REF!</v>
      </c>
      <c r="Y15" t="e">
        <f>INDEX(#REF!,MATCH($E15,#REF!,0))</f>
        <v>#REF!</v>
      </c>
      <c r="Z15" t="e">
        <f>INDEX(#REF!,MATCH($E15,#REF!,0))</f>
        <v>#REF!</v>
      </c>
      <c r="AA15" t="e">
        <f>INDEX(#REF!,MATCH($E15,#REF!,0))</f>
        <v>#REF!</v>
      </c>
      <c r="AB15" t="e">
        <f>INDEX(#REF!,MATCH($E15,#REF!,0))</f>
        <v>#REF!</v>
      </c>
      <c r="AC15" t="e">
        <f>INDEX(#REF!,MATCH($E15,#REF!,0))</f>
        <v>#REF!</v>
      </c>
      <c r="AD15" t="e">
        <f>INDEX(#REF!,MATCH($E15,#REF!,0))</f>
        <v>#REF!</v>
      </c>
      <c r="AE15" t="e">
        <f t="shared" si="1"/>
        <v>#REF!</v>
      </c>
    </row>
    <row r="16" spans="1:56" x14ac:dyDescent="0.25">
      <c r="B16" s="45" t="s">
        <v>1429</v>
      </c>
      <c r="C16" s="45" t="s">
        <v>1336</v>
      </c>
      <c r="D16" s="45" t="s">
        <v>1305</v>
      </c>
      <c r="E16" s="45">
        <v>109013</v>
      </c>
      <c r="F16" s="45">
        <v>1048</v>
      </c>
      <c r="G16" s="21">
        <v>12</v>
      </c>
      <c r="H16" s="21">
        <v>2</v>
      </c>
      <c r="I16" s="21" t="s">
        <v>210</v>
      </c>
      <c r="J16" s="21">
        <v>100</v>
      </c>
      <c r="K16" s="21">
        <v>0</v>
      </c>
      <c r="L16" s="2"/>
      <c r="M16" s="64"/>
      <c r="N16" s="42"/>
      <c r="P16" s="21"/>
      <c r="Q16" s="12" t="s">
        <v>1411</v>
      </c>
      <c r="R16">
        <f t="shared" si="0"/>
        <v>1</v>
      </c>
      <c r="S16" s="21"/>
      <c r="T16" s="21"/>
      <c r="W16" t="e">
        <f>INDEX(#REF!,MATCH($E16,#REF!,0))</f>
        <v>#REF!</v>
      </c>
      <c r="X16" t="e">
        <f>INDEX(#REF!,MATCH($E16,#REF!,0))</f>
        <v>#REF!</v>
      </c>
      <c r="Y16" t="e">
        <f>INDEX(#REF!,MATCH($E16,#REF!,0))</f>
        <v>#REF!</v>
      </c>
      <c r="Z16" t="e">
        <f>INDEX(#REF!,MATCH($E16,#REF!,0))</f>
        <v>#REF!</v>
      </c>
      <c r="AA16" t="e">
        <f>INDEX(#REF!,MATCH($E16,#REF!,0))</f>
        <v>#REF!</v>
      </c>
      <c r="AB16" t="e">
        <f>INDEX(#REF!,MATCH($E16,#REF!,0))</f>
        <v>#REF!</v>
      </c>
      <c r="AC16" t="e">
        <f>INDEX(#REF!,MATCH($E16,#REF!,0))</f>
        <v>#REF!</v>
      </c>
      <c r="AD16" t="e">
        <f>INDEX(#REF!,MATCH($E16,#REF!,0))</f>
        <v>#REF!</v>
      </c>
      <c r="AE16" t="e">
        <f t="shared" si="1"/>
        <v>#REF!</v>
      </c>
    </row>
    <row r="17" spans="2:31" x14ac:dyDescent="0.25">
      <c r="B17" s="45" t="s">
        <v>1430</v>
      </c>
      <c r="C17" s="45" t="s">
        <v>1337</v>
      </c>
      <c r="D17" s="45" t="s">
        <v>1306</v>
      </c>
      <c r="E17" s="45">
        <v>109014</v>
      </c>
      <c r="F17" s="45">
        <v>1048</v>
      </c>
      <c r="G17" s="21">
        <v>13</v>
      </c>
      <c r="H17" s="21">
        <v>2</v>
      </c>
      <c r="I17" s="21" t="s">
        <v>147</v>
      </c>
      <c r="J17" s="21">
        <v>100000</v>
      </c>
      <c r="K17" s="21">
        <v>0</v>
      </c>
      <c r="L17" s="2"/>
      <c r="M17" s="64"/>
      <c r="N17" s="42"/>
      <c r="P17" s="21"/>
      <c r="Q17" s="12" t="s">
        <v>1411</v>
      </c>
      <c r="R17">
        <f t="shared" si="0"/>
        <v>1</v>
      </c>
      <c r="S17" s="21"/>
      <c r="T17" s="21"/>
      <c r="W17" t="e">
        <f>INDEX(#REF!,MATCH($E17,#REF!,0))</f>
        <v>#REF!</v>
      </c>
      <c r="X17" t="e">
        <f>INDEX(#REF!,MATCH($E17,#REF!,0))</f>
        <v>#REF!</v>
      </c>
      <c r="Y17" t="e">
        <f>INDEX(#REF!,MATCH($E17,#REF!,0))</f>
        <v>#REF!</v>
      </c>
      <c r="Z17" t="e">
        <f>INDEX(#REF!,MATCH($E17,#REF!,0))</f>
        <v>#REF!</v>
      </c>
      <c r="AA17" t="e">
        <f>INDEX(#REF!,MATCH($E17,#REF!,0))</f>
        <v>#REF!</v>
      </c>
      <c r="AB17" t="e">
        <f>INDEX(#REF!,MATCH($E17,#REF!,0))</f>
        <v>#REF!</v>
      </c>
      <c r="AC17" t="e">
        <f>INDEX(#REF!,MATCH($E17,#REF!,0))</f>
        <v>#REF!</v>
      </c>
      <c r="AD17" t="e">
        <f>INDEX(#REF!,MATCH($E17,#REF!,0))</f>
        <v>#REF!</v>
      </c>
      <c r="AE17" t="e">
        <f t="shared" si="1"/>
        <v>#REF!</v>
      </c>
    </row>
    <row r="18" spans="2:31" x14ac:dyDescent="0.25">
      <c r="B18" s="45" t="s">
        <v>1431</v>
      </c>
      <c r="C18" s="45" t="s">
        <v>1338</v>
      </c>
      <c r="D18" s="45" t="s">
        <v>1307</v>
      </c>
      <c r="E18" s="45">
        <v>109015</v>
      </c>
      <c r="F18" s="45">
        <v>1048</v>
      </c>
      <c r="G18" s="21">
        <v>14</v>
      </c>
      <c r="H18" s="21">
        <v>2</v>
      </c>
      <c r="I18" s="21" t="s">
        <v>18</v>
      </c>
      <c r="J18" s="21">
        <v>1</v>
      </c>
      <c r="K18" s="21">
        <v>0</v>
      </c>
      <c r="L18" s="2"/>
      <c r="M18" s="64"/>
      <c r="N18" s="42"/>
      <c r="P18" s="21"/>
      <c r="Q18" s="12" t="s">
        <v>1411</v>
      </c>
      <c r="R18">
        <f t="shared" si="0"/>
        <v>1</v>
      </c>
      <c r="S18" s="21"/>
      <c r="T18" s="21"/>
      <c r="W18" t="e">
        <f>INDEX(#REF!,MATCH($E18,#REF!,0))</f>
        <v>#REF!</v>
      </c>
      <c r="X18" t="e">
        <f>INDEX(#REF!,MATCH($E18,#REF!,0))</f>
        <v>#REF!</v>
      </c>
      <c r="Y18" t="e">
        <f>INDEX(#REF!,MATCH($E18,#REF!,0))</f>
        <v>#REF!</v>
      </c>
      <c r="Z18" t="e">
        <f>INDEX(#REF!,MATCH($E18,#REF!,0))</f>
        <v>#REF!</v>
      </c>
      <c r="AA18" t="e">
        <f>INDEX(#REF!,MATCH($E18,#REF!,0))</f>
        <v>#REF!</v>
      </c>
      <c r="AB18" t="e">
        <f>INDEX(#REF!,MATCH($E18,#REF!,0))</f>
        <v>#REF!</v>
      </c>
      <c r="AC18" t="e">
        <f>INDEX(#REF!,MATCH($E18,#REF!,0))</f>
        <v>#REF!</v>
      </c>
      <c r="AD18" t="e">
        <f>INDEX(#REF!,MATCH($E18,#REF!,0))</f>
        <v>#REF!</v>
      </c>
      <c r="AE18" t="e">
        <f t="shared" si="1"/>
        <v>#REF!</v>
      </c>
    </row>
    <row r="19" spans="2:31" x14ac:dyDescent="0.25">
      <c r="B19" s="45" t="s">
        <v>1432</v>
      </c>
      <c r="C19" s="45" t="s">
        <v>1339</v>
      </c>
      <c r="D19" s="45" t="s">
        <v>1308</v>
      </c>
      <c r="E19" s="45">
        <v>109016</v>
      </c>
      <c r="F19" s="45">
        <v>1048</v>
      </c>
      <c r="G19" s="21">
        <v>15</v>
      </c>
      <c r="H19" s="21">
        <v>2</v>
      </c>
      <c r="I19" s="21" t="s">
        <v>18</v>
      </c>
      <c r="J19" s="21">
        <v>1</v>
      </c>
      <c r="K19" s="21">
        <v>0</v>
      </c>
      <c r="L19" s="2"/>
      <c r="M19" s="64"/>
      <c r="N19" s="42"/>
      <c r="P19" s="21"/>
      <c r="Q19" s="12" t="s">
        <v>1411</v>
      </c>
      <c r="R19">
        <f t="shared" si="0"/>
        <v>1</v>
      </c>
      <c r="S19" s="21"/>
      <c r="T19" s="21"/>
      <c r="W19" t="e">
        <f>INDEX(#REF!,MATCH($E19,#REF!,0))</f>
        <v>#REF!</v>
      </c>
      <c r="X19" t="e">
        <f>INDEX(#REF!,MATCH($E19,#REF!,0))</f>
        <v>#REF!</v>
      </c>
      <c r="Y19" t="e">
        <f>INDEX(#REF!,MATCH($E19,#REF!,0))</f>
        <v>#REF!</v>
      </c>
      <c r="Z19" t="e">
        <f>INDEX(#REF!,MATCH($E19,#REF!,0))</f>
        <v>#REF!</v>
      </c>
      <c r="AA19" t="e">
        <f>INDEX(#REF!,MATCH($E19,#REF!,0))</f>
        <v>#REF!</v>
      </c>
      <c r="AB19" t="e">
        <f>INDEX(#REF!,MATCH($E19,#REF!,0))</f>
        <v>#REF!</v>
      </c>
      <c r="AC19" t="e">
        <f>INDEX(#REF!,MATCH($E19,#REF!,0))</f>
        <v>#REF!</v>
      </c>
      <c r="AD19" t="e">
        <f>INDEX(#REF!,MATCH($E19,#REF!,0))</f>
        <v>#REF!</v>
      </c>
      <c r="AE19" t="e">
        <f t="shared" si="1"/>
        <v>#REF!</v>
      </c>
    </row>
    <row r="20" spans="2:31" x14ac:dyDescent="0.25">
      <c r="B20" s="45" t="s">
        <v>1433</v>
      </c>
      <c r="C20" s="45" t="s">
        <v>1340</v>
      </c>
      <c r="D20" s="45" t="s">
        <v>1309</v>
      </c>
      <c r="E20" s="45">
        <v>109017</v>
      </c>
      <c r="F20" s="45">
        <v>1048</v>
      </c>
      <c r="G20" s="21">
        <v>16</v>
      </c>
      <c r="H20" s="21">
        <v>2</v>
      </c>
      <c r="I20" s="21" t="s">
        <v>120</v>
      </c>
      <c r="J20" s="21">
        <v>1000</v>
      </c>
      <c r="K20" s="21">
        <v>0</v>
      </c>
      <c r="L20" s="2"/>
      <c r="M20" s="64"/>
      <c r="N20" s="42"/>
      <c r="P20" s="21"/>
      <c r="Q20" s="12" t="s">
        <v>1411</v>
      </c>
      <c r="R20">
        <f t="shared" si="0"/>
        <v>1</v>
      </c>
      <c r="S20" s="21"/>
      <c r="T20" s="21"/>
      <c r="W20" t="e">
        <f>INDEX(#REF!,MATCH($E20,#REF!,0))</f>
        <v>#REF!</v>
      </c>
      <c r="X20" t="e">
        <f>INDEX(#REF!,MATCH($E20,#REF!,0))</f>
        <v>#REF!</v>
      </c>
      <c r="Y20" t="e">
        <f>INDEX(#REF!,MATCH($E20,#REF!,0))</f>
        <v>#REF!</v>
      </c>
      <c r="Z20" t="e">
        <f>INDEX(#REF!,MATCH($E20,#REF!,0))</f>
        <v>#REF!</v>
      </c>
      <c r="AA20" t="e">
        <f>INDEX(#REF!,MATCH($E20,#REF!,0))</f>
        <v>#REF!</v>
      </c>
      <c r="AB20" t="e">
        <f>INDEX(#REF!,MATCH($E20,#REF!,0))</f>
        <v>#REF!</v>
      </c>
      <c r="AC20" t="e">
        <f>INDEX(#REF!,MATCH($E20,#REF!,0))</f>
        <v>#REF!</v>
      </c>
      <c r="AD20" t="e">
        <f>INDEX(#REF!,MATCH($E20,#REF!,0))</f>
        <v>#REF!</v>
      </c>
      <c r="AE20" t="e">
        <f t="shared" si="1"/>
        <v>#REF!</v>
      </c>
    </row>
    <row r="21" spans="2:31" x14ac:dyDescent="0.25">
      <c r="B21" s="45" t="s">
        <v>1434</v>
      </c>
      <c r="C21" s="45" t="s">
        <v>1341</v>
      </c>
      <c r="D21" s="45" t="s">
        <v>1310</v>
      </c>
      <c r="E21" s="45">
        <v>109018</v>
      </c>
      <c r="F21" s="45">
        <v>1048</v>
      </c>
      <c r="G21" s="21">
        <v>17</v>
      </c>
      <c r="H21" s="21">
        <v>2</v>
      </c>
      <c r="I21" s="21" t="s">
        <v>120</v>
      </c>
      <c r="J21" s="21">
        <v>1000</v>
      </c>
      <c r="K21" s="21">
        <v>0</v>
      </c>
      <c r="L21" s="2"/>
      <c r="M21" s="64"/>
      <c r="N21" s="42"/>
      <c r="P21" s="21"/>
      <c r="Q21" s="12" t="s">
        <v>1411</v>
      </c>
      <c r="R21">
        <f t="shared" si="0"/>
        <v>1</v>
      </c>
      <c r="S21" s="21"/>
      <c r="T21" s="21"/>
      <c r="W21" t="e">
        <f>INDEX(#REF!,MATCH($E21,#REF!,0))</f>
        <v>#REF!</v>
      </c>
      <c r="X21" t="e">
        <f>INDEX(#REF!,MATCH($E21,#REF!,0))</f>
        <v>#REF!</v>
      </c>
      <c r="Y21" t="e">
        <f>INDEX(#REF!,MATCH($E21,#REF!,0))</f>
        <v>#REF!</v>
      </c>
      <c r="Z21" t="e">
        <f>INDEX(#REF!,MATCH($E21,#REF!,0))</f>
        <v>#REF!</v>
      </c>
      <c r="AA21" t="e">
        <f>INDEX(#REF!,MATCH($E21,#REF!,0))</f>
        <v>#REF!</v>
      </c>
      <c r="AB21" t="e">
        <f>INDEX(#REF!,MATCH($E21,#REF!,0))</f>
        <v>#REF!</v>
      </c>
      <c r="AC21" t="e">
        <f>INDEX(#REF!,MATCH($E21,#REF!,0))</f>
        <v>#REF!</v>
      </c>
      <c r="AD21" t="e">
        <f>INDEX(#REF!,MATCH($E21,#REF!,0))</f>
        <v>#REF!</v>
      </c>
      <c r="AE21" t="e">
        <f t="shared" si="1"/>
        <v>#REF!</v>
      </c>
    </row>
    <row r="22" spans="2:31" x14ac:dyDescent="0.25">
      <c r="B22" s="45" t="s">
        <v>1435</v>
      </c>
      <c r="C22" s="45" t="s">
        <v>1342</v>
      </c>
      <c r="D22" s="45" t="s">
        <v>1311</v>
      </c>
      <c r="E22" s="45">
        <v>109019</v>
      </c>
      <c r="F22" s="45">
        <v>1048</v>
      </c>
      <c r="G22" s="21">
        <v>18</v>
      </c>
      <c r="H22" s="21">
        <v>2</v>
      </c>
      <c r="I22" s="21" t="s">
        <v>147</v>
      </c>
      <c r="J22" s="21">
        <v>100000</v>
      </c>
      <c r="K22" s="21">
        <v>0</v>
      </c>
      <c r="L22" s="2"/>
      <c r="M22" s="64"/>
      <c r="N22" s="42"/>
      <c r="P22" s="21"/>
      <c r="Q22" s="12" t="s">
        <v>1411</v>
      </c>
      <c r="R22">
        <f t="shared" si="0"/>
        <v>1</v>
      </c>
      <c r="S22" s="21"/>
      <c r="T22" s="21"/>
      <c r="W22" t="e">
        <f>INDEX(#REF!,MATCH($E22,#REF!,0))</f>
        <v>#REF!</v>
      </c>
      <c r="X22" t="e">
        <f>INDEX(#REF!,MATCH($E22,#REF!,0))</f>
        <v>#REF!</v>
      </c>
      <c r="Y22" t="e">
        <f>INDEX(#REF!,MATCH($E22,#REF!,0))</f>
        <v>#REF!</v>
      </c>
      <c r="Z22" t="e">
        <f>INDEX(#REF!,MATCH($E22,#REF!,0))</f>
        <v>#REF!</v>
      </c>
      <c r="AA22" t="e">
        <f>INDEX(#REF!,MATCH($E22,#REF!,0))</f>
        <v>#REF!</v>
      </c>
      <c r="AB22" t="e">
        <f>INDEX(#REF!,MATCH($E22,#REF!,0))</f>
        <v>#REF!</v>
      </c>
      <c r="AC22" t="e">
        <f>INDEX(#REF!,MATCH($E22,#REF!,0))</f>
        <v>#REF!</v>
      </c>
      <c r="AD22" t="e">
        <f>INDEX(#REF!,MATCH($E22,#REF!,0))</f>
        <v>#REF!</v>
      </c>
      <c r="AE22" t="e">
        <f t="shared" si="1"/>
        <v>#REF!</v>
      </c>
    </row>
    <row r="23" spans="2:31" x14ac:dyDescent="0.25">
      <c r="B23" s="45" t="s">
        <v>1436</v>
      </c>
      <c r="C23" s="45" t="s">
        <v>1343</v>
      </c>
      <c r="D23" s="45" t="s">
        <v>1312</v>
      </c>
      <c r="E23" s="45">
        <v>109020</v>
      </c>
      <c r="F23" s="45">
        <v>1048</v>
      </c>
      <c r="G23" s="21">
        <v>19</v>
      </c>
      <c r="H23" s="21">
        <v>2</v>
      </c>
      <c r="I23" s="21" t="s">
        <v>1355</v>
      </c>
      <c r="J23" s="21">
        <v>1000</v>
      </c>
      <c r="K23" s="21">
        <v>0</v>
      </c>
      <c r="L23" s="2"/>
      <c r="M23" s="64"/>
      <c r="N23" s="42"/>
      <c r="P23" s="21"/>
      <c r="Q23" s="12" t="s">
        <v>1411</v>
      </c>
      <c r="R23">
        <f t="shared" si="0"/>
        <v>1</v>
      </c>
      <c r="S23" s="21"/>
      <c r="T23" s="21"/>
      <c r="W23" t="e">
        <f>INDEX(#REF!,MATCH($E23,#REF!,0))</f>
        <v>#REF!</v>
      </c>
      <c r="X23" t="e">
        <f>INDEX(#REF!,MATCH($E23,#REF!,0))</f>
        <v>#REF!</v>
      </c>
      <c r="Y23" t="e">
        <f>INDEX(#REF!,MATCH($E23,#REF!,0))</f>
        <v>#REF!</v>
      </c>
      <c r="Z23" t="e">
        <f>INDEX(#REF!,MATCH($E23,#REF!,0))</f>
        <v>#REF!</v>
      </c>
      <c r="AA23" t="e">
        <f>INDEX(#REF!,MATCH($E23,#REF!,0))</f>
        <v>#REF!</v>
      </c>
      <c r="AB23" t="e">
        <f>INDEX(#REF!,MATCH($E23,#REF!,0))</f>
        <v>#REF!</v>
      </c>
      <c r="AC23" t="e">
        <f>INDEX(#REF!,MATCH($E23,#REF!,0))</f>
        <v>#REF!</v>
      </c>
      <c r="AD23" t="e">
        <f>INDEX(#REF!,MATCH($E23,#REF!,0))</f>
        <v>#REF!</v>
      </c>
      <c r="AE23" t="e">
        <f t="shared" si="1"/>
        <v>#REF!</v>
      </c>
    </row>
    <row r="24" spans="2:31" x14ac:dyDescent="0.25">
      <c r="B24" s="45" t="s">
        <v>1437</v>
      </c>
      <c r="C24" s="45" t="s">
        <v>1344</v>
      </c>
      <c r="D24" s="45" t="s">
        <v>1313</v>
      </c>
      <c r="E24" s="45">
        <v>109021</v>
      </c>
      <c r="F24" s="45">
        <v>1048</v>
      </c>
      <c r="G24" s="21">
        <v>20</v>
      </c>
      <c r="H24" s="21">
        <v>2</v>
      </c>
      <c r="I24" s="21" t="s">
        <v>147</v>
      </c>
      <c r="J24" s="21">
        <v>100000</v>
      </c>
      <c r="K24" s="21">
        <v>0</v>
      </c>
      <c r="L24" s="2"/>
      <c r="M24" s="64"/>
      <c r="N24" s="42"/>
      <c r="P24" s="21"/>
      <c r="Q24" s="12" t="s">
        <v>1411</v>
      </c>
      <c r="R24">
        <f t="shared" si="0"/>
        <v>1</v>
      </c>
      <c r="S24" s="21"/>
      <c r="T24" s="21"/>
      <c r="W24" t="e">
        <f>INDEX(#REF!,MATCH($E24,#REF!,0))</f>
        <v>#REF!</v>
      </c>
      <c r="X24" t="e">
        <f>INDEX(#REF!,MATCH($E24,#REF!,0))</f>
        <v>#REF!</v>
      </c>
      <c r="Y24" t="e">
        <f>INDEX(#REF!,MATCH($E24,#REF!,0))</f>
        <v>#REF!</v>
      </c>
      <c r="Z24" t="e">
        <f>INDEX(#REF!,MATCH($E24,#REF!,0))</f>
        <v>#REF!</v>
      </c>
      <c r="AA24" t="e">
        <f>INDEX(#REF!,MATCH($E24,#REF!,0))</f>
        <v>#REF!</v>
      </c>
      <c r="AB24" t="e">
        <f>INDEX(#REF!,MATCH($E24,#REF!,0))</f>
        <v>#REF!</v>
      </c>
      <c r="AC24" t="e">
        <f>INDEX(#REF!,MATCH($E24,#REF!,0))</f>
        <v>#REF!</v>
      </c>
      <c r="AD24" t="e">
        <f>INDEX(#REF!,MATCH($E24,#REF!,0))</f>
        <v>#REF!</v>
      </c>
      <c r="AE24" t="e">
        <f t="shared" si="1"/>
        <v>#REF!</v>
      </c>
    </row>
    <row r="25" spans="2:31" x14ac:dyDescent="0.25">
      <c r="B25" s="45" t="s">
        <v>1438</v>
      </c>
      <c r="C25" s="45" t="s">
        <v>1345</v>
      </c>
      <c r="D25" s="45" t="s">
        <v>1314</v>
      </c>
      <c r="E25" s="45">
        <v>109022</v>
      </c>
      <c r="F25" s="45">
        <v>1048</v>
      </c>
      <c r="G25" s="21">
        <v>21</v>
      </c>
      <c r="H25" s="21">
        <v>2</v>
      </c>
      <c r="I25" s="21" t="s">
        <v>147</v>
      </c>
      <c r="J25" s="21">
        <v>100000</v>
      </c>
      <c r="K25" s="21">
        <v>0</v>
      </c>
      <c r="L25" s="2"/>
      <c r="M25" s="64"/>
      <c r="N25" s="42"/>
      <c r="P25" s="21"/>
      <c r="Q25" s="12" t="s">
        <v>1411</v>
      </c>
      <c r="R25">
        <f t="shared" si="0"/>
        <v>1</v>
      </c>
      <c r="S25" s="21"/>
      <c r="T25" s="21"/>
      <c r="W25" t="e">
        <f>INDEX(#REF!,MATCH($E25,#REF!,0))</f>
        <v>#REF!</v>
      </c>
      <c r="X25" t="e">
        <f>INDEX(#REF!,MATCH($E25,#REF!,0))</f>
        <v>#REF!</v>
      </c>
      <c r="Y25" t="e">
        <f>INDEX(#REF!,MATCH($E25,#REF!,0))</f>
        <v>#REF!</v>
      </c>
      <c r="Z25" t="e">
        <f>INDEX(#REF!,MATCH($E25,#REF!,0))</f>
        <v>#REF!</v>
      </c>
      <c r="AA25" t="e">
        <f>INDEX(#REF!,MATCH($E25,#REF!,0))</f>
        <v>#REF!</v>
      </c>
      <c r="AB25" t="e">
        <f>INDEX(#REF!,MATCH($E25,#REF!,0))</f>
        <v>#REF!</v>
      </c>
      <c r="AC25" t="e">
        <f>INDEX(#REF!,MATCH($E25,#REF!,0))</f>
        <v>#REF!</v>
      </c>
      <c r="AD25" t="e">
        <f>INDEX(#REF!,MATCH($E25,#REF!,0))</f>
        <v>#REF!</v>
      </c>
      <c r="AE25" t="e">
        <f t="shared" si="1"/>
        <v>#REF!</v>
      </c>
    </row>
    <row r="26" spans="2:31" x14ac:dyDescent="0.25">
      <c r="B26" s="45" t="s">
        <v>1439</v>
      </c>
      <c r="C26" s="45" t="s">
        <v>1346</v>
      </c>
      <c r="D26" s="45" t="s">
        <v>1315</v>
      </c>
      <c r="E26" s="45">
        <v>109023</v>
      </c>
      <c r="F26" s="45">
        <v>1048</v>
      </c>
      <c r="G26" s="21">
        <v>22</v>
      </c>
      <c r="H26" s="21">
        <v>2</v>
      </c>
      <c r="I26" s="21" t="s">
        <v>147</v>
      </c>
      <c r="J26" s="21">
        <v>100000</v>
      </c>
      <c r="K26" s="21">
        <v>0</v>
      </c>
      <c r="L26" s="2"/>
      <c r="M26" s="64"/>
      <c r="N26" s="42"/>
      <c r="P26" s="21"/>
      <c r="Q26" s="12" t="s">
        <v>1411</v>
      </c>
      <c r="R26">
        <f t="shared" si="0"/>
        <v>1</v>
      </c>
      <c r="S26" s="21"/>
      <c r="T26" s="21"/>
      <c r="W26" t="e">
        <f>INDEX(#REF!,MATCH($E26,#REF!,0))</f>
        <v>#REF!</v>
      </c>
      <c r="X26" t="e">
        <f>INDEX(#REF!,MATCH($E26,#REF!,0))</f>
        <v>#REF!</v>
      </c>
      <c r="Y26" t="e">
        <f>INDEX(#REF!,MATCH($E26,#REF!,0))</f>
        <v>#REF!</v>
      </c>
      <c r="Z26" t="e">
        <f>INDEX(#REF!,MATCH($E26,#REF!,0))</f>
        <v>#REF!</v>
      </c>
      <c r="AA26" t="e">
        <f>INDEX(#REF!,MATCH($E26,#REF!,0))</f>
        <v>#REF!</v>
      </c>
      <c r="AB26" t="e">
        <f>INDEX(#REF!,MATCH($E26,#REF!,0))</f>
        <v>#REF!</v>
      </c>
      <c r="AC26" t="e">
        <f>INDEX(#REF!,MATCH($E26,#REF!,0))</f>
        <v>#REF!</v>
      </c>
      <c r="AD26" t="e">
        <f>INDEX(#REF!,MATCH($E26,#REF!,0))</f>
        <v>#REF!</v>
      </c>
      <c r="AE26" t="e">
        <f t="shared" si="1"/>
        <v>#REF!</v>
      </c>
    </row>
    <row r="27" spans="2:31" x14ac:dyDescent="0.25">
      <c r="B27" s="45" t="s">
        <v>1440</v>
      </c>
      <c r="C27" s="45" t="s">
        <v>1347</v>
      </c>
      <c r="D27" s="45" t="s">
        <v>1316</v>
      </c>
      <c r="E27" s="45">
        <v>109024</v>
      </c>
      <c r="F27" s="45">
        <v>1048</v>
      </c>
      <c r="G27" s="21">
        <v>23</v>
      </c>
      <c r="H27" s="21">
        <v>2</v>
      </c>
      <c r="I27" s="21" t="s">
        <v>147</v>
      </c>
      <c r="J27" s="21">
        <v>100000</v>
      </c>
      <c r="K27" s="21">
        <v>0</v>
      </c>
      <c r="L27" s="2"/>
      <c r="M27" s="64"/>
      <c r="N27" s="42"/>
      <c r="P27" s="21"/>
      <c r="Q27" s="12" t="s">
        <v>1411</v>
      </c>
      <c r="R27">
        <f t="shared" si="0"/>
        <v>1</v>
      </c>
      <c r="S27" s="21"/>
      <c r="T27" s="21"/>
      <c r="W27" t="e">
        <f>INDEX(#REF!,MATCH($E27,#REF!,0))</f>
        <v>#REF!</v>
      </c>
      <c r="X27" t="e">
        <f>INDEX(#REF!,MATCH($E27,#REF!,0))</f>
        <v>#REF!</v>
      </c>
      <c r="Y27" t="e">
        <f>INDEX(#REF!,MATCH($E27,#REF!,0))</f>
        <v>#REF!</v>
      </c>
      <c r="Z27" t="e">
        <f>INDEX(#REF!,MATCH($E27,#REF!,0))</f>
        <v>#REF!</v>
      </c>
      <c r="AA27" t="e">
        <f>INDEX(#REF!,MATCH($E27,#REF!,0))</f>
        <v>#REF!</v>
      </c>
      <c r="AB27" t="e">
        <f>INDEX(#REF!,MATCH($E27,#REF!,0))</f>
        <v>#REF!</v>
      </c>
      <c r="AC27" t="e">
        <f>INDEX(#REF!,MATCH($E27,#REF!,0))</f>
        <v>#REF!</v>
      </c>
      <c r="AD27" t="e">
        <f>INDEX(#REF!,MATCH($E27,#REF!,0))</f>
        <v>#REF!</v>
      </c>
      <c r="AE27" t="e">
        <f t="shared" si="1"/>
        <v>#REF!</v>
      </c>
    </row>
    <row r="28" spans="2:31" x14ac:dyDescent="0.25">
      <c r="B28" s="45" t="s">
        <v>1441</v>
      </c>
      <c r="C28" s="45" t="s">
        <v>1348</v>
      </c>
      <c r="D28" s="45" t="s">
        <v>1317</v>
      </c>
      <c r="E28" s="45">
        <v>109025</v>
      </c>
      <c r="F28" s="45">
        <v>1048</v>
      </c>
      <c r="G28" s="21">
        <v>24</v>
      </c>
      <c r="H28" s="21">
        <v>2</v>
      </c>
      <c r="I28" s="21" t="s">
        <v>147</v>
      </c>
      <c r="J28" s="21">
        <v>100000</v>
      </c>
      <c r="K28" s="21">
        <v>0</v>
      </c>
      <c r="L28" s="2"/>
      <c r="M28" s="64"/>
      <c r="N28" s="42"/>
      <c r="P28" s="21"/>
      <c r="Q28" s="12" t="s">
        <v>1411</v>
      </c>
      <c r="R28">
        <f t="shared" si="0"/>
        <v>1</v>
      </c>
      <c r="S28" s="21"/>
      <c r="T28" s="21"/>
      <c r="W28" t="e">
        <f>INDEX(#REF!,MATCH($E28,#REF!,0))</f>
        <v>#REF!</v>
      </c>
      <c r="X28" t="e">
        <f>INDEX(#REF!,MATCH($E28,#REF!,0))</f>
        <v>#REF!</v>
      </c>
      <c r="Y28" t="e">
        <f>INDEX(#REF!,MATCH($E28,#REF!,0))</f>
        <v>#REF!</v>
      </c>
      <c r="Z28" t="e">
        <f>INDEX(#REF!,MATCH($E28,#REF!,0))</f>
        <v>#REF!</v>
      </c>
      <c r="AA28" t="e">
        <f>INDEX(#REF!,MATCH($E28,#REF!,0))</f>
        <v>#REF!</v>
      </c>
      <c r="AB28" t="e">
        <f>INDEX(#REF!,MATCH($E28,#REF!,0))</f>
        <v>#REF!</v>
      </c>
      <c r="AC28" t="e">
        <f>INDEX(#REF!,MATCH($E28,#REF!,0))</f>
        <v>#REF!</v>
      </c>
      <c r="AD28" t="e">
        <f>INDEX(#REF!,MATCH($E28,#REF!,0))</f>
        <v>#REF!</v>
      </c>
      <c r="AE28" t="e">
        <f t="shared" si="1"/>
        <v>#REF!</v>
      </c>
    </row>
    <row r="29" spans="2:31" x14ac:dyDescent="0.25">
      <c r="B29" s="45" t="s">
        <v>1442</v>
      </c>
      <c r="C29" s="45" t="s">
        <v>1349</v>
      </c>
      <c r="D29" s="45" t="s">
        <v>1318</v>
      </c>
      <c r="E29" s="45">
        <v>109026</v>
      </c>
      <c r="F29" s="45">
        <v>1049</v>
      </c>
      <c r="G29" s="21">
        <v>0</v>
      </c>
      <c r="H29" s="21">
        <v>2</v>
      </c>
      <c r="I29" s="21" t="s">
        <v>147</v>
      </c>
      <c r="J29" s="21">
        <v>100000</v>
      </c>
      <c r="K29" s="21">
        <v>0</v>
      </c>
      <c r="L29" s="2"/>
      <c r="M29" s="64"/>
      <c r="N29" s="42"/>
      <c r="P29" s="21"/>
      <c r="Q29" s="12" t="s">
        <v>1411</v>
      </c>
      <c r="R29">
        <f t="shared" si="0"/>
        <v>1</v>
      </c>
      <c r="S29" s="21"/>
      <c r="T29" s="21"/>
      <c r="W29" t="e">
        <f>INDEX(#REF!,MATCH($E29,#REF!,0))</f>
        <v>#REF!</v>
      </c>
      <c r="X29" t="e">
        <f>INDEX(#REF!,MATCH($E29,#REF!,0))</f>
        <v>#REF!</v>
      </c>
      <c r="Y29" t="e">
        <f>INDEX(#REF!,MATCH($E29,#REF!,0))</f>
        <v>#REF!</v>
      </c>
      <c r="Z29" t="e">
        <f>INDEX(#REF!,MATCH($E29,#REF!,0))</f>
        <v>#REF!</v>
      </c>
      <c r="AA29" t="e">
        <f>INDEX(#REF!,MATCH($E29,#REF!,0))</f>
        <v>#REF!</v>
      </c>
      <c r="AB29" t="e">
        <f>INDEX(#REF!,MATCH($E29,#REF!,0))</f>
        <v>#REF!</v>
      </c>
      <c r="AC29" t="e">
        <f>INDEX(#REF!,MATCH($E29,#REF!,0))</f>
        <v>#REF!</v>
      </c>
      <c r="AD29" t="e">
        <f>INDEX(#REF!,MATCH($E29,#REF!,0))</f>
        <v>#REF!</v>
      </c>
      <c r="AE29" t="e">
        <f t="shared" si="1"/>
        <v>#REF!</v>
      </c>
    </row>
    <row r="30" spans="2:31" x14ac:dyDescent="0.25">
      <c r="B30" s="45" t="s">
        <v>1443</v>
      </c>
      <c r="C30" s="45" t="s">
        <v>1350</v>
      </c>
      <c r="D30" s="45" t="s">
        <v>1319</v>
      </c>
      <c r="E30" s="45">
        <v>109027</v>
      </c>
      <c r="F30" s="45">
        <v>1049</v>
      </c>
      <c r="G30" s="21">
        <v>1</v>
      </c>
      <c r="H30" s="21">
        <v>2</v>
      </c>
      <c r="I30" s="21" t="s">
        <v>1355</v>
      </c>
      <c r="J30" s="21">
        <v>1000</v>
      </c>
      <c r="K30" s="21">
        <v>0</v>
      </c>
      <c r="L30" s="2"/>
      <c r="M30" s="64"/>
      <c r="N30" s="42"/>
      <c r="P30" s="21"/>
      <c r="Q30" s="12" t="s">
        <v>1411</v>
      </c>
      <c r="R30">
        <f t="shared" si="0"/>
        <v>1</v>
      </c>
      <c r="S30" s="21"/>
      <c r="T30" s="21"/>
      <c r="W30" t="e">
        <f>INDEX(#REF!,MATCH($E30,#REF!,0))</f>
        <v>#REF!</v>
      </c>
      <c r="X30" t="e">
        <f>INDEX(#REF!,MATCH($E30,#REF!,0))</f>
        <v>#REF!</v>
      </c>
      <c r="Y30" t="e">
        <f>INDEX(#REF!,MATCH($E30,#REF!,0))</f>
        <v>#REF!</v>
      </c>
      <c r="Z30" t="e">
        <f>INDEX(#REF!,MATCH($E30,#REF!,0))</f>
        <v>#REF!</v>
      </c>
      <c r="AA30" t="e">
        <f>INDEX(#REF!,MATCH($E30,#REF!,0))</f>
        <v>#REF!</v>
      </c>
      <c r="AB30" t="e">
        <f>INDEX(#REF!,MATCH($E30,#REF!,0))</f>
        <v>#REF!</v>
      </c>
      <c r="AC30" t="e">
        <f>INDEX(#REF!,MATCH($E30,#REF!,0))</f>
        <v>#REF!</v>
      </c>
      <c r="AD30" t="e">
        <f>INDEX(#REF!,MATCH($E30,#REF!,0))</f>
        <v>#REF!</v>
      </c>
      <c r="AE30" t="e">
        <f t="shared" si="1"/>
        <v>#REF!</v>
      </c>
    </row>
    <row r="31" spans="2:31" x14ac:dyDescent="0.25">
      <c r="B31" s="45" t="s">
        <v>1444</v>
      </c>
      <c r="C31" s="45" t="s">
        <v>1351</v>
      </c>
      <c r="D31" s="45" t="s">
        <v>1320</v>
      </c>
      <c r="E31" s="45">
        <v>109028</v>
      </c>
      <c r="F31" s="45">
        <v>1049</v>
      </c>
      <c r="G31" s="21">
        <v>2</v>
      </c>
      <c r="H31" s="21">
        <v>2</v>
      </c>
      <c r="I31" s="21" t="s">
        <v>120</v>
      </c>
      <c r="J31" s="21">
        <v>1000</v>
      </c>
      <c r="K31" s="21">
        <v>0</v>
      </c>
      <c r="L31" s="2"/>
      <c r="M31" s="64"/>
      <c r="N31" s="42"/>
      <c r="P31" s="21"/>
      <c r="Q31" s="12" t="s">
        <v>1411</v>
      </c>
      <c r="R31">
        <f t="shared" si="0"/>
        <v>1</v>
      </c>
      <c r="S31" s="21"/>
      <c r="T31" s="21"/>
      <c r="W31" t="e">
        <f>INDEX(#REF!,MATCH($E31,#REF!,0))</f>
        <v>#REF!</v>
      </c>
      <c r="X31" t="e">
        <f>INDEX(#REF!,MATCH($E31,#REF!,0))</f>
        <v>#REF!</v>
      </c>
      <c r="Y31" t="e">
        <f>INDEX(#REF!,MATCH($E31,#REF!,0))</f>
        <v>#REF!</v>
      </c>
      <c r="Z31" t="e">
        <f>INDEX(#REF!,MATCH($E31,#REF!,0))</f>
        <v>#REF!</v>
      </c>
      <c r="AA31" t="e">
        <f>INDEX(#REF!,MATCH($E31,#REF!,0))</f>
        <v>#REF!</v>
      </c>
      <c r="AB31" t="e">
        <f>INDEX(#REF!,MATCH($E31,#REF!,0))</f>
        <v>#REF!</v>
      </c>
      <c r="AC31" t="e">
        <f>INDEX(#REF!,MATCH($E31,#REF!,0))</f>
        <v>#REF!</v>
      </c>
      <c r="AD31" t="e">
        <f>INDEX(#REF!,MATCH($E31,#REF!,0))</f>
        <v>#REF!</v>
      </c>
      <c r="AE31" t="e">
        <f t="shared" si="1"/>
        <v>#REF!</v>
      </c>
    </row>
    <row r="32" spans="2:31" x14ac:dyDescent="0.25">
      <c r="B32" s="45" t="s">
        <v>1445</v>
      </c>
      <c r="C32" s="45" t="s">
        <v>1352</v>
      </c>
      <c r="D32" s="45" t="s">
        <v>1321</v>
      </c>
      <c r="E32" s="45">
        <v>109029</v>
      </c>
      <c r="F32" s="45">
        <v>1049</v>
      </c>
      <c r="G32" s="21">
        <v>3</v>
      </c>
      <c r="H32" s="21">
        <v>2</v>
      </c>
      <c r="I32" s="21" t="s">
        <v>120</v>
      </c>
      <c r="J32" s="21">
        <v>1000</v>
      </c>
      <c r="K32" s="21">
        <v>0</v>
      </c>
      <c r="L32" s="2"/>
      <c r="M32" s="64"/>
      <c r="N32" s="42"/>
      <c r="P32" s="21"/>
      <c r="Q32" s="12" t="s">
        <v>1411</v>
      </c>
      <c r="R32">
        <f t="shared" si="0"/>
        <v>1</v>
      </c>
      <c r="S32" s="21"/>
      <c r="T32" s="21"/>
      <c r="W32" t="e">
        <f>INDEX(#REF!,MATCH($E32,#REF!,0))</f>
        <v>#REF!</v>
      </c>
      <c r="X32" t="e">
        <f>INDEX(#REF!,MATCH($E32,#REF!,0))</f>
        <v>#REF!</v>
      </c>
      <c r="Y32" t="e">
        <f>INDEX(#REF!,MATCH($E32,#REF!,0))</f>
        <v>#REF!</v>
      </c>
      <c r="Z32" t="e">
        <f>INDEX(#REF!,MATCH($E32,#REF!,0))</f>
        <v>#REF!</v>
      </c>
      <c r="AA32" t="e">
        <f>INDEX(#REF!,MATCH($E32,#REF!,0))</f>
        <v>#REF!</v>
      </c>
      <c r="AB32" t="e">
        <f>INDEX(#REF!,MATCH($E32,#REF!,0))</f>
        <v>#REF!</v>
      </c>
      <c r="AC32" t="e">
        <f>INDEX(#REF!,MATCH($E32,#REF!,0))</f>
        <v>#REF!</v>
      </c>
      <c r="AD32" t="e">
        <f>INDEX(#REF!,MATCH($E32,#REF!,0))</f>
        <v>#REF!</v>
      </c>
      <c r="AE32" t="e">
        <f t="shared" si="1"/>
        <v>#REF!</v>
      </c>
    </row>
    <row r="33" spans="2:31" x14ac:dyDescent="0.25">
      <c r="B33" s="45" t="s">
        <v>1446</v>
      </c>
      <c r="C33" s="45" t="s">
        <v>1353</v>
      </c>
      <c r="D33" s="45" t="s">
        <v>1322</v>
      </c>
      <c r="E33" s="45">
        <v>109030</v>
      </c>
      <c r="F33" s="45">
        <v>1049</v>
      </c>
      <c r="G33" s="21">
        <v>4</v>
      </c>
      <c r="H33" s="21">
        <v>2</v>
      </c>
      <c r="I33" s="21" t="s">
        <v>210</v>
      </c>
      <c r="J33" s="21">
        <v>100</v>
      </c>
      <c r="K33" s="21">
        <v>0</v>
      </c>
      <c r="L33" s="2"/>
      <c r="M33" s="64"/>
      <c r="N33" s="42"/>
      <c r="P33" s="21"/>
      <c r="Q33" s="12" t="s">
        <v>1411</v>
      </c>
      <c r="R33">
        <f t="shared" si="0"/>
        <v>1</v>
      </c>
      <c r="S33" s="21"/>
      <c r="T33" s="21"/>
      <c r="W33" t="e">
        <f>INDEX(#REF!,MATCH($E33,#REF!,0))</f>
        <v>#REF!</v>
      </c>
      <c r="X33" t="e">
        <f>INDEX(#REF!,MATCH($E33,#REF!,0))</f>
        <v>#REF!</v>
      </c>
      <c r="Y33" t="e">
        <f>INDEX(#REF!,MATCH($E33,#REF!,0))</f>
        <v>#REF!</v>
      </c>
      <c r="Z33" t="e">
        <f>INDEX(#REF!,MATCH($E33,#REF!,0))</f>
        <v>#REF!</v>
      </c>
      <c r="AA33" t="e">
        <f>INDEX(#REF!,MATCH($E33,#REF!,0))</f>
        <v>#REF!</v>
      </c>
      <c r="AB33" t="e">
        <f>INDEX(#REF!,MATCH($E33,#REF!,0))</f>
        <v>#REF!</v>
      </c>
      <c r="AC33" t="e">
        <f>INDEX(#REF!,MATCH($E33,#REF!,0))</f>
        <v>#REF!</v>
      </c>
      <c r="AD33" t="e">
        <f>INDEX(#REF!,MATCH($E33,#REF!,0))</f>
        <v>#REF!</v>
      </c>
      <c r="AE33" t="e">
        <f t="shared" si="1"/>
        <v>#REF!</v>
      </c>
    </row>
    <row r="34" spans="2:31" x14ac:dyDescent="0.25">
      <c r="B34" s="45" t="s">
        <v>1447</v>
      </c>
      <c r="C34" s="45" t="s">
        <v>1354</v>
      </c>
      <c r="D34" s="45" t="s">
        <v>1323</v>
      </c>
      <c r="E34" s="45">
        <v>109031</v>
      </c>
      <c r="F34" s="45">
        <v>1049</v>
      </c>
      <c r="G34" s="21">
        <v>5</v>
      </c>
      <c r="H34" s="21">
        <v>2</v>
      </c>
      <c r="I34" s="21" t="s">
        <v>210</v>
      </c>
      <c r="J34" s="21">
        <v>100</v>
      </c>
      <c r="K34" s="21">
        <v>0</v>
      </c>
      <c r="L34" s="2"/>
      <c r="M34" s="64"/>
      <c r="N34" s="42"/>
      <c r="P34" s="21"/>
      <c r="Q34" s="12" t="s">
        <v>1411</v>
      </c>
      <c r="R34">
        <f t="shared" si="0"/>
        <v>1</v>
      </c>
      <c r="S34" s="21"/>
      <c r="T34" s="21"/>
      <c r="W34" t="e">
        <f>INDEX(#REF!,MATCH($E34,#REF!,0))</f>
        <v>#REF!</v>
      </c>
      <c r="X34" t="e">
        <f>INDEX(#REF!,MATCH($E34,#REF!,0))</f>
        <v>#REF!</v>
      </c>
      <c r="Y34" t="e">
        <f>INDEX(#REF!,MATCH($E34,#REF!,0))</f>
        <v>#REF!</v>
      </c>
      <c r="Z34" t="e">
        <f>INDEX(#REF!,MATCH($E34,#REF!,0))</f>
        <v>#REF!</v>
      </c>
      <c r="AA34" t="e">
        <f>INDEX(#REF!,MATCH($E34,#REF!,0))</f>
        <v>#REF!</v>
      </c>
      <c r="AB34" t="e">
        <f>INDEX(#REF!,MATCH($E34,#REF!,0))</f>
        <v>#REF!</v>
      </c>
      <c r="AC34" t="e">
        <f>INDEX(#REF!,MATCH($E34,#REF!,0))</f>
        <v>#REF!</v>
      </c>
      <c r="AD34" t="e">
        <f>INDEX(#REF!,MATCH($E34,#REF!,0))</f>
        <v>#REF!</v>
      </c>
      <c r="AE34" t="e">
        <f t="shared" si="1"/>
        <v>#REF!</v>
      </c>
    </row>
    <row r="35" spans="2:31" ht="30" x14ac:dyDescent="0.25">
      <c r="B35" s="45" t="s">
        <v>2897</v>
      </c>
      <c r="C35" s="45" t="s">
        <v>2896</v>
      </c>
      <c r="D35" s="45"/>
      <c r="E35" s="45">
        <v>109054</v>
      </c>
      <c r="F35" s="45">
        <v>1050</v>
      </c>
      <c r="G35" s="21">
        <v>3</v>
      </c>
      <c r="H35" s="21">
        <v>2</v>
      </c>
      <c r="I35" s="21" t="s">
        <v>147</v>
      </c>
      <c r="J35" s="21">
        <v>100000</v>
      </c>
      <c r="K35" s="21">
        <v>0</v>
      </c>
      <c r="L35" s="2"/>
      <c r="M35" s="64"/>
      <c r="N35" s="42" t="s">
        <v>2784</v>
      </c>
      <c r="P35" s="21"/>
      <c r="Q35" s="12" t="s">
        <v>3008</v>
      </c>
      <c r="R35">
        <f t="shared" si="0"/>
        <v>1</v>
      </c>
      <c r="S35" s="21"/>
      <c r="T35" s="21"/>
      <c r="W35" t="e">
        <f>INDEX(#REF!,MATCH($E35,#REF!,0))</f>
        <v>#REF!</v>
      </c>
      <c r="X35" t="e">
        <f>INDEX(#REF!,MATCH($E35,#REF!,0))</f>
        <v>#REF!</v>
      </c>
      <c r="Y35" t="e">
        <f>INDEX(#REF!,MATCH($E35,#REF!,0))</f>
        <v>#REF!</v>
      </c>
      <c r="Z35" t="e">
        <f>INDEX(#REF!,MATCH($E35,#REF!,0))</f>
        <v>#REF!</v>
      </c>
      <c r="AA35" t="e">
        <f>INDEX(#REF!,MATCH($E35,#REF!,0))</f>
        <v>#REF!</v>
      </c>
      <c r="AB35" t="e">
        <f>INDEX(#REF!,MATCH($E35,#REF!,0))</f>
        <v>#REF!</v>
      </c>
      <c r="AC35" t="e">
        <f>INDEX(#REF!,MATCH($E35,#REF!,0))</f>
        <v>#REF!</v>
      </c>
      <c r="AD35" t="e">
        <f>INDEX(#REF!,MATCH($E35,#REF!,0))</f>
        <v>#REF!</v>
      </c>
      <c r="AE35" t="e">
        <f t="shared" si="1"/>
        <v>#REF!</v>
      </c>
    </row>
    <row r="36" spans="2:31" x14ac:dyDescent="0.25">
      <c r="B36" s="45" t="s">
        <v>1448</v>
      </c>
      <c r="C36" s="45" t="s">
        <v>108</v>
      </c>
      <c r="D36" s="45" t="s">
        <v>107</v>
      </c>
      <c r="E36" s="45">
        <v>110001</v>
      </c>
      <c r="F36" s="45">
        <v>1000</v>
      </c>
      <c r="G36" s="21">
        <v>0</v>
      </c>
      <c r="H36" s="21">
        <v>2</v>
      </c>
      <c r="I36" s="21" t="s">
        <v>26</v>
      </c>
      <c r="J36" s="21">
        <v>1</v>
      </c>
      <c r="K36" s="21">
        <v>0</v>
      </c>
      <c r="L36" s="2"/>
      <c r="M36" s="64" t="s">
        <v>1135</v>
      </c>
      <c r="N36" s="42"/>
      <c r="P36" s="21"/>
      <c r="Q36" s="12"/>
      <c r="R36">
        <f t="shared" ref="R36:R59" si="2">COUNTIF(C:C,C36)</f>
        <v>1</v>
      </c>
      <c r="S36" s="21" t="s">
        <v>99</v>
      </c>
      <c r="T36" s="21" t="s">
        <v>99</v>
      </c>
      <c r="W36" t="e">
        <f>INDEX(#REF!,MATCH($E36,#REF!,0))</f>
        <v>#REF!</v>
      </c>
      <c r="X36" t="e">
        <f>INDEX(#REF!,MATCH($E36,#REF!,0))</f>
        <v>#REF!</v>
      </c>
      <c r="Y36" t="e">
        <f>INDEX(#REF!,MATCH($E36,#REF!,0))</f>
        <v>#REF!</v>
      </c>
      <c r="Z36" t="e">
        <f>INDEX(#REF!,MATCH($E36,#REF!,0))</f>
        <v>#REF!</v>
      </c>
      <c r="AA36" t="e">
        <f>INDEX(#REF!,MATCH($E36,#REF!,0))</f>
        <v>#REF!</v>
      </c>
      <c r="AB36" t="e">
        <f>INDEX(#REF!,MATCH($E36,#REF!,0))</f>
        <v>#REF!</v>
      </c>
      <c r="AC36" t="e">
        <f>INDEX(#REF!,MATCH($E36,#REF!,0))</f>
        <v>#REF!</v>
      </c>
      <c r="AD36" t="e">
        <f>INDEX(#REF!,MATCH($E36,#REF!,0))</f>
        <v>#REF!</v>
      </c>
      <c r="AE36" t="e">
        <f t="shared" si="1"/>
        <v>#REF!</v>
      </c>
    </row>
    <row r="37" spans="2:31" ht="45" x14ac:dyDescent="0.25">
      <c r="B37" s="45" t="s">
        <v>1449</v>
      </c>
      <c r="C37" s="45" t="s">
        <v>110</v>
      </c>
      <c r="D37" s="45" t="s">
        <v>109</v>
      </c>
      <c r="E37" s="45">
        <v>110002</v>
      </c>
      <c r="F37" s="45">
        <v>1000</v>
      </c>
      <c r="G37" s="21">
        <v>1</v>
      </c>
      <c r="H37" s="21">
        <v>2</v>
      </c>
      <c r="I37" s="21" t="s">
        <v>21</v>
      </c>
      <c r="J37" s="21">
        <v>10</v>
      </c>
      <c r="K37" s="21">
        <v>0</v>
      </c>
      <c r="L37" s="2"/>
      <c r="M37" s="64" t="s">
        <v>2243</v>
      </c>
      <c r="N37" s="42"/>
      <c r="P37" s="21"/>
      <c r="Q37" s="12"/>
      <c r="R37">
        <f t="shared" si="2"/>
        <v>1</v>
      </c>
      <c r="S37" s="21" t="s">
        <v>99</v>
      </c>
      <c r="T37" s="21" t="s">
        <v>99</v>
      </c>
      <c r="W37" t="e">
        <f>INDEX(#REF!,MATCH($E37,#REF!,0))</f>
        <v>#REF!</v>
      </c>
      <c r="X37" t="e">
        <f>INDEX(#REF!,MATCH($E37,#REF!,0))</f>
        <v>#REF!</v>
      </c>
      <c r="Y37" t="e">
        <f>INDEX(#REF!,MATCH($E37,#REF!,0))</f>
        <v>#REF!</v>
      </c>
      <c r="Z37" t="e">
        <f>INDEX(#REF!,MATCH($E37,#REF!,0))</f>
        <v>#REF!</v>
      </c>
      <c r="AA37" t="e">
        <f>INDEX(#REF!,MATCH($E37,#REF!,0))</f>
        <v>#REF!</v>
      </c>
      <c r="AB37" t="e">
        <f>INDEX(#REF!,MATCH($E37,#REF!,0))</f>
        <v>#REF!</v>
      </c>
      <c r="AC37" t="e">
        <f>INDEX(#REF!,MATCH($E37,#REF!,0))</f>
        <v>#REF!</v>
      </c>
      <c r="AD37" t="e">
        <f>INDEX(#REF!,MATCH($E37,#REF!,0))</f>
        <v>#REF!</v>
      </c>
      <c r="AE37" t="e">
        <f t="shared" si="1"/>
        <v>#REF!</v>
      </c>
    </row>
    <row r="38" spans="2:31" x14ac:dyDescent="0.25">
      <c r="B38" s="45" t="s">
        <v>1450</v>
      </c>
      <c r="C38" s="45" t="s">
        <v>112</v>
      </c>
      <c r="D38" s="45" t="s">
        <v>111</v>
      </c>
      <c r="E38" s="45">
        <v>110004</v>
      </c>
      <c r="F38" s="45">
        <v>1000</v>
      </c>
      <c r="G38" s="21">
        <v>3</v>
      </c>
      <c r="H38" s="21">
        <v>2</v>
      </c>
      <c r="I38" s="21" t="s">
        <v>113</v>
      </c>
      <c r="J38" s="21">
        <v>100</v>
      </c>
      <c r="K38" s="21">
        <v>0</v>
      </c>
      <c r="L38" s="2"/>
      <c r="M38" s="64" t="s">
        <v>1136</v>
      </c>
      <c r="N38" s="42"/>
      <c r="P38" s="21"/>
      <c r="Q38" s="12"/>
      <c r="R38">
        <f t="shared" si="2"/>
        <v>1</v>
      </c>
      <c r="S38" s="21" t="s">
        <v>99</v>
      </c>
      <c r="T38" s="21" t="s">
        <v>99</v>
      </c>
      <c r="W38" t="e">
        <f>INDEX(#REF!,MATCH($E38,#REF!,0))</f>
        <v>#REF!</v>
      </c>
      <c r="X38" t="e">
        <f>INDEX(#REF!,MATCH($E38,#REF!,0))</f>
        <v>#REF!</v>
      </c>
      <c r="Y38" t="e">
        <f>INDEX(#REF!,MATCH($E38,#REF!,0))</f>
        <v>#REF!</v>
      </c>
      <c r="Z38" t="e">
        <f>INDEX(#REF!,MATCH($E38,#REF!,0))</f>
        <v>#REF!</v>
      </c>
      <c r="AA38" t="e">
        <f>INDEX(#REF!,MATCH($E38,#REF!,0))</f>
        <v>#REF!</v>
      </c>
      <c r="AB38" t="e">
        <f>INDEX(#REF!,MATCH($E38,#REF!,0))</f>
        <v>#REF!</v>
      </c>
      <c r="AC38" t="e">
        <f>INDEX(#REF!,MATCH($E38,#REF!,0))</f>
        <v>#REF!</v>
      </c>
      <c r="AD38" t="e">
        <f>INDEX(#REF!,MATCH($E38,#REF!,0))</f>
        <v>#REF!</v>
      </c>
      <c r="AE38" t="e">
        <f t="shared" si="1"/>
        <v>#REF!</v>
      </c>
    </row>
    <row r="39" spans="2:31" x14ac:dyDescent="0.25">
      <c r="B39" s="45" t="s">
        <v>1451</v>
      </c>
      <c r="C39" s="45" t="s">
        <v>115</v>
      </c>
      <c r="D39" s="45" t="s">
        <v>114</v>
      </c>
      <c r="E39" s="45">
        <v>110005</v>
      </c>
      <c r="F39" s="45">
        <v>1000</v>
      </c>
      <c r="G39" s="21">
        <v>4</v>
      </c>
      <c r="H39" s="21">
        <v>2</v>
      </c>
      <c r="I39" s="21" t="s">
        <v>21</v>
      </c>
      <c r="J39" s="21">
        <v>10</v>
      </c>
      <c r="K39" s="21">
        <v>0</v>
      </c>
      <c r="L39" s="2"/>
      <c r="M39" s="64" t="s">
        <v>1137</v>
      </c>
      <c r="N39" s="42"/>
      <c r="P39" s="21"/>
      <c r="Q39" s="12"/>
      <c r="R39">
        <f t="shared" si="2"/>
        <v>1</v>
      </c>
      <c r="S39" s="21" t="s">
        <v>99</v>
      </c>
      <c r="T39" s="21" t="s">
        <v>99</v>
      </c>
      <c r="W39" t="e">
        <f>INDEX(#REF!,MATCH($E39,#REF!,0))</f>
        <v>#REF!</v>
      </c>
      <c r="X39" t="e">
        <f>INDEX(#REF!,MATCH($E39,#REF!,0))</f>
        <v>#REF!</v>
      </c>
      <c r="Y39" t="e">
        <f>INDEX(#REF!,MATCH($E39,#REF!,0))</f>
        <v>#REF!</v>
      </c>
      <c r="Z39" t="e">
        <f>INDEX(#REF!,MATCH($E39,#REF!,0))</f>
        <v>#REF!</v>
      </c>
      <c r="AA39" t="e">
        <f>INDEX(#REF!,MATCH($E39,#REF!,0))</f>
        <v>#REF!</v>
      </c>
      <c r="AB39" t="e">
        <f>INDEX(#REF!,MATCH($E39,#REF!,0))</f>
        <v>#REF!</v>
      </c>
      <c r="AC39" t="e">
        <f>INDEX(#REF!,MATCH($E39,#REF!,0))</f>
        <v>#REF!</v>
      </c>
      <c r="AD39" t="e">
        <f>INDEX(#REF!,MATCH($E39,#REF!,0))</f>
        <v>#REF!</v>
      </c>
      <c r="AE39" t="e">
        <f t="shared" si="1"/>
        <v>#REF!</v>
      </c>
    </row>
    <row r="40" spans="2:31" x14ac:dyDescent="0.25">
      <c r="B40" s="45" t="s">
        <v>1452</v>
      </c>
      <c r="C40" s="45" t="s">
        <v>117</v>
      </c>
      <c r="D40" s="45" t="s">
        <v>116</v>
      </c>
      <c r="E40" s="45">
        <v>110006</v>
      </c>
      <c r="F40" s="45">
        <v>1000</v>
      </c>
      <c r="G40" s="21">
        <v>5</v>
      </c>
      <c r="H40" s="21">
        <v>2</v>
      </c>
      <c r="I40" s="21" t="s">
        <v>21</v>
      </c>
      <c r="J40" s="21">
        <v>10</v>
      </c>
      <c r="K40" s="21">
        <v>0</v>
      </c>
      <c r="L40" s="2"/>
      <c r="M40" s="64" t="s">
        <v>1138</v>
      </c>
      <c r="N40" s="42"/>
      <c r="P40" s="21"/>
      <c r="Q40" s="12"/>
      <c r="R40">
        <f t="shared" si="2"/>
        <v>1</v>
      </c>
      <c r="S40" s="21" t="s">
        <v>99</v>
      </c>
      <c r="T40" s="21" t="s">
        <v>99</v>
      </c>
      <c r="W40" t="e">
        <f>INDEX(#REF!,MATCH($E40,#REF!,0))</f>
        <v>#REF!</v>
      </c>
      <c r="X40" t="e">
        <f>INDEX(#REF!,MATCH($E40,#REF!,0))</f>
        <v>#REF!</v>
      </c>
      <c r="Y40" t="e">
        <f>INDEX(#REF!,MATCH($E40,#REF!,0))</f>
        <v>#REF!</v>
      </c>
      <c r="Z40" t="e">
        <f>INDEX(#REF!,MATCH($E40,#REF!,0))</f>
        <v>#REF!</v>
      </c>
      <c r="AA40" t="e">
        <f>INDEX(#REF!,MATCH($E40,#REF!,0))</f>
        <v>#REF!</v>
      </c>
      <c r="AB40" t="e">
        <f>INDEX(#REF!,MATCH($E40,#REF!,0))</f>
        <v>#REF!</v>
      </c>
      <c r="AC40" t="e">
        <f>INDEX(#REF!,MATCH($E40,#REF!,0))</f>
        <v>#REF!</v>
      </c>
      <c r="AD40" t="e">
        <f>INDEX(#REF!,MATCH($E40,#REF!,0))</f>
        <v>#REF!</v>
      </c>
      <c r="AE40" t="e">
        <f t="shared" si="1"/>
        <v>#REF!</v>
      </c>
    </row>
    <row r="41" spans="2:31" x14ac:dyDescent="0.25">
      <c r="B41" s="45" t="s">
        <v>1453</v>
      </c>
      <c r="C41" s="45" t="s">
        <v>119</v>
      </c>
      <c r="D41" s="45" t="s">
        <v>118</v>
      </c>
      <c r="E41" s="45">
        <v>110007</v>
      </c>
      <c r="F41" s="45">
        <v>1000</v>
      </c>
      <c r="G41" s="21">
        <v>6</v>
      </c>
      <c r="H41" s="21">
        <v>2</v>
      </c>
      <c r="I41" s="21" t="s">
        <v>120</v>
      </c>
      <c r="J41" s="21">
        <v>1000</v>
      </c>
      <c r="K41" s="21">
        <v>0</v>
      </c>
      <c r="L41" s="2"/>
      <c r="M41" s="64" t="s">
        <v>1139</v>
      </c>
      <c r="N41" s="42"/>
      <c r="P41" s="21"/>
      <c r="Q41" s="12"/>
      <c r="R41">
        <f t="shared" si="2"/>
        <v>1</v>
      </c>
      <c r="S41" s="21" t="s">
        <v>99</v>
      </c>
      <c r="T41" s="21" t="s">
        <v>99</v>
      </c>
      <c r="W41" t="e">
        <f>INDEX(#REF!,MATCH($E41,#REF!,0))</f>
        <v>#REF!</v>
      </c>
      <c r="X41" t="e">
        <f>INDEX(#REF!,MATCH($E41,#REF!,0))</f>
        <v>#REF!</v>
      </c>
      <c r="Y41" t="e">
        <f>INDEX(#REF!,MATCH($E41,#REF!,0))</f>
        <v>#REF!</v>
      </c>
      <c r="Z41" t="e">
        <f>INDEX(#REF!,MATCH($E41,#REF!,0))</f>
        <v>#REF!</v>
      </c>
      <c r="AA41" t="e">
        <f>INDEX(#REF!,MATCH($E41,#REF!,0))</f>
        <v>#REF!</v>
      </c>
      <c r="AB41" t="e">
        <f>INDEX(#REF!,MATCH($E41,#REF!,0))</f>
        <v>#REF!</v>
      </c>
      <c r="AC41" t="e">
        <f>INDEX(#REF!,MATCH($E41,#REF!,0))</f>
        <v>#REF!</v>
      </c>
      <c r="AD41" t="e">
        <f>INDEX(#REF!,MATCH($E41,#REF!,0))</f>
        <v>#REF!</v>
      </c>
      <c r="AE41" t="e">
        <f t="shared" si="1"/>
        <v>#REF!</v>
      </c>
    </row>
    <row r="42" spans="2:31" x14ac:dyDescent="0.25">
      <c r="B42" s="45" t="s">
        <v>1454</v>
      </c>
      <c r="C42" s="45" t="s">
        <v>122</v>
      </c>
      <c r="D42" s="45" t="s">
        <v>121</v>
      </c>
      <c r="E42" s="45">
        <v>110008</v>
      </c>
      <c r="F42" s="45">
        <v>1000</v>
      </c>
      <c r="G42" s="21">
        <v>7</v>
      </c>
      <c r="H42" s="21">
        <v>2</v>
      </c>
      <c r="I42" s="21" t="s">
        <v>18</v>
      </c>
      <c r="J42" s="21">
        <v>1</v>
      </c>
      <c r="K42" s="21">
        <v>0</v>
      </c>
      <c r="L42" s="2"/>
      <c r="M42" s="64" t="s">
        <v>1140</v>
      </c>
      <c r="N42" s="42"/>
      <c r="P42" s="21"/>
      <c r="Q42" s="12"/>
      <c r="R42">
        <f t="shared" si="2"/>
        <v>1</v>
      </c>
      <c r="S42" s="21" t="s">
        <v>99</v>
      </c>
      <c r="T42" s="21" t="s">
        <v>99</v>
      </c>
      <c r="W42" t="e">
        <f>INDEX(#REF!,MATCH($E42,#REF!,0))</f>
        <v>#REF!</v>
      </c>
      <c r="X42" t="e">
        <f>INDEX(#REF!,MATCH($E42,#REF!,0))</f>
        <v>#REF!</v>
      </c>
      <c r="Y42" t="e">
        <f>INDEX(#REF!,MATCH($E42,#REF!,0))</f>
        <v>#REF!</v>
      </c>
      <c r="Z42" t="e">
        <f>INDEX(#REF!,MATCH($E42,#REF!,0))</f>
        <v>#REF!</v>
      </c>
      <c r="AA42" t="e">
        <f>INDEX(#REF!,MATCH($E42,#REF!,0))</f>
        <v>#REF!</v>
      </c>
      <c r="AB42" t="e">
        <f>INDEX(#REF!,MATCH($E42,#REF!,0))</f>
        <v>#REF!</v>
      </c>
      <c r="AC42" t="e">
        <f>INDEX(#REF!,MATCH($E42,#REF!,0))</f>
        <v>#REF!</v>
      </c>
      <c r="AD42" t="e">
        <f>INDEX(#REF!,MATCH($E42,#REF!,0))</f>
        <v>#REF!</v>
      </c>
      <c r="AE42" t="e">
        <f t="shared" si="1"/>
        <v>#REF!</v>
      </c>
    </row>
    <row r="43" spans="2:31" x14ac:dyDescent="0.25">
      <c r="B43" s="45" t="s">
        <v>1455</v>
      </c>
      <c r="C43" s="45" t="s">
        <v>124</v>
      </c>
      <c r="D43" s="45" t="s">
        <v>123</v>
      </c>
      <c r="E43" s="45">
        <v>110011</v>
      </c>
      <c r="F43" s="45">
        <v>1000</v>
      </c>
      <c r="G43" s="21">
        <v>10</v>
      </c>
      <c r="H43" s="21">
        <v>2</v>
      </c>
      <c r="I43" s="21" t="s">
        <v>26</v>
      </c>
      <c r="J43" s="21">
        <v>1</v>
      </c>
      <c r="K43" s="21">
        <v>0</v>
      </c>
      <c r="L43" s="2"/>
      <c r="M43" s="64" t="s">
        <v>1141</v>
      </c>
      <c r="N43" s="42"/>
      <c r="P43" s="21"/>
      <c r="Q43" s="12"/>
      <c r="R43">
        <f t="shared" si="2"/>
        <v>1</v>
      </c>
      <c r="S43" s="21" t="s">
        <v>99</v>
      </c>
      <c r="T43" s="21" t="s">
        <v>99</v>
      </c>
      <c r="W43" t="e">
        <f>INDEX(#REF!,MATCH($E43,#REF!,0))</f>
        <v>#REF!</v>
      </c>
      <c r="X43" t="e">
        <f>INDEX(#REF!,MATCH($E43,#REF!,0))</f>
        <v>#REF!</v>
      </c>
      <c r="Y43" t="e">
        <f>INDEX(#REF!,MATCH($E43,#REF!,0))</f>
        <v>#REF!</v>
      </c>
      <c r="Z43" t="e">
        <f>INDEX(#REF!,MATCH($E43,#REF!,0))</f>
        <v>#REF!</v>
      </c>
      <c r="AA43" t="e">
        <f>INDEX(#REF!,MATCH($E43,#REF!,0))</f>
        <v>#REF!</v>
      </c>
      <c r="AB43" t="e">
        <f>INDEX(#REF!,MATCH($E43,#REF!,0))</f>
        <v>#REF!</v>
      </c>
      <c r="AC43" t="e">
        <f>INDEX(#REF!,MATCH($E43,#REF!,0))</f>
        <v>#REF!</v>
      </c>
      <c r="AD43" t="e">
        <f>INDEX(#REF!,MATCH($E43,#REF!,0))</f>
        <v>#REF!</v>
      </c>
      <c r="AE43" t="e">
        <f t="shared" si="1"/>
        <v>#REF!</v>
      </c>
    </row>
    <row r="44" spans="2:31" x14ac:dyDescent="0.25">
      <c r="B44" s="45" t="s">
        <v>1456</v>
      </c>
      <c r="C44" s="45" t="s">
        <v>126</v>
      </c>
      <c r="D44" s="45" t="s">
        <v>125</v>
      </c>
      <c r="E44" s="45">
        <v>110012</v>
      </c>
      <c r="F44" s="45">
        <v>1000</v>
      </c>
      <c r="G44" s="21">
        <v>11</v>
      </c>
      <c r="H44" s="21">
        <v>2</v>
      </c>
      <c r="I44" s="21" t="s">
        <v>26</v>
      </c>
      <c r="J44" s="21">
        <v>1</v>
      </c>
      <c r="K44" s="21">
        <v>0</v>
      </c>
      <c r="L44" s="2"/>
      <c r="M44" s="64" t="s">
        <v>1142</v>
      </c>
      <c r="N44" s="42"/>
      <c r="P44" s="21"/>
      <c r="Q44" s="12"/>
      <c r="R44">
        <f t="shared" si="2"/>
        <v>1</v>
      </c>
      <c r="S44" s="21" t="s">
        <v>99</v>
      </c>
      <c r="T44" s="21" t="s">
        <v>99</v>
      </c>
      <c r="W44" t="e">
        <f>INDEX(#REF!,MATCH($E44,#REF!,0))</f>
        <v>#REF!</v>
      </c>
      <c r="X44" t="e">
        <f>INDEX(#REF!,MATCH($E44,#REF!,0))</f>
        <v>#REF!</v>
      </c>
      <c r="Y44" t="e">
        <f>INDEX(#REF!,MATCH($E44,#REF!,0))</f>
        <v>#REF!</v>
      </c>
      <c r="Z44" t="e">
        <f>INDEX(#REF!,MATCH($E44,#REF!,0))</f>
        <v>#REF!</v>
      </c>
      <c r="AA44" t="e">
        <f>INDEX(#REF!,MATCH($E44,#REF!,0))</f>
        <v>#REF!</v>
      </c>
      <c r="AB44" t="e">
        <f>INDEX(#REF!,MATCH($E44,#REF!,0))</f>
        <v>#REF!</v>
      </c>
      <c r="AC44" t="e">
        <f>INDEX(#REF!,MATCH($E44,#REF!,0))</f>
        <v>#REF!</v>
      </c>
      <c r="AD44" t="e">
        <f>INDEX(#REF!,MATCH($E44,#REF!,0))</f>
        <v>#REF!</v>
      </c>
      <c r="AE44" t="e">
        <f t="shared" si="1"/>
        <v>#REF!</v>
      </c>
    </row>
    <row r="45" spans="2:31" x14ac:dyDescent="0.25">
      <c r="B45" s="45" t="s">
        <v>1457</v>
      </c>
      <c r="C45" s="45" t="s">
        <v>128</v>
      </c>
      <c r="D45" s="45" t="s">
        <v>127</v>
      </c>
      <c r="E45" s="45">
        <v>110013</v>
      </c>
      <c r="F45" s="45">
        <v>1000</v>
      </c>
      <c r="G45" s="21">
        <v>12</v>
      </c>
      <c r="H45" s="21">
        <v>2</v>
      </c>
      <c r="I45" s="21" t="s">
        <v>18</v>
      </c>
      <c r="J45" s="21">
        <v>1</v>
      </c>
      <c r="K45" s="21">
        <v>0</v>
      </c>
      <c r="L45" s="2"/>
      <c r="M45" s="64" t="s">
        <v>1143</v>
      </c>
      <c r="N45" s="42"/>
      <c r="P45" s="21"/>
      <c r="Q45" s="12"/>
      <c r="R45">
        <f t="shared" si="2"/>
        <v>1</v>
      </c>
      <c r="S45" s="21" t="s">
        <v>99</v>
      </c>
      <c r="T45" s="21" t="s">
        <v>99</v>
      </c>
      <c r="W45" t="e">
        <f>INDEX(#REF!,MATCH($E45,#REF!,0))</f>
        <v>#REF!</v>
      </c>
      <c r="X45" t="e">
        <f>INDEX(#REF!,MATCH($E45,#REF!,0))</f>
        <v>#REF!</v>
      </c>
      <c r="Y45" t="e">
        <f>INDEX(#REF!,MATCH($E45,#REF!,0))</f>
        <v>#REF!</v>
      </c>
      <c r="Z45" t="e">
        <f>INDEX(#REF!,MATCH($E45,#REF!,0))</f>
        <v>#REF!</v>
      </c>
      <c r="AA45" t="e">
        <f>INDEX(#REF!,MATCH($E45,#REF!,0))</f>
        <v>#REF!</v>
      </c>
      <c r="AB45" t="e">
        <f>INDEX(#REF!,MATCH($E45,#REF!,0))</f>
        <v>#REF!</v>
      </c>
      <c r="AC45" t="e">
        <f>INDEX(#REF!,MATCH($E45,#REF!,0))</f>
        <v>#REF!</v>
      </c>
      <c r="AD45" t="e">
        <f>INDEX(#REF!,MATCH($E45,#REF!,0))</f>
        <v>#REF!</v>
      </c>
      <c r="AE45" t="e">
        <f t="shared" si="1"/>
        <v>#REF!</v>
      </c>
    </row>
    <row r="46" spans="2:31" x14ac:dyDescent="0.25">
      <c r="B46" s="45" t="s">
        <v>1458</v>
      </c>
      <c r="C46" s="45" t="s">
        <v>130</v>
      </c>
      <c r="D46" s="45" t="s">
        <v>129</v>
      </c>
      <c r="E46" s="45">
        <v>110015</v>
      </c>
      <c r="F46" s="45">
        <v>1000</v>
      </c>
      <c r="G46" s="21">
        <v>14</v>
      </c>
      <c r="H46" s="21">
        <v>2</v>
      </c>
      <c r="I46" s="21" t="s">
        <v>18</v>
      </c>
      <c r="J46" s="21">
        <v>1</v>
      </c>
      <c r="K46" s="21">
        <v>0</v>
      </c>
      <c r="L46" s="2"/>
      <c r="M46" s="64" t="s">
        <v>1144</v>
      </c>
      <c r="N46" s="42"/>
      <c r="P46" s="21"/>
      <c r="Q46" s="12"/>
      <c r="R46">
        <f t="shared" si="2"/>
        <v>1</v>
      </c>
      <c r="S46" s="21" t="s">
        <v>99</v>
      </c>
      <c r="T46" s="21" t="s">
        <v>99</v>
      </c>
      <c r="W46" t="e">
        <f>INDEX(#REF!,MATCH($E46,#REF!,0))</f>
        <v>#REF!</v>
      </c>
      <c r="X46" t="e">
        <f>INDEX(#REF!,MATCH($E46,#REF!,0))</f>
        <v>#REF!</v>
      </c>
      <c r="Y46" t="e">
        <f>INDEX(#REF!,MATCH($E46,#REF!,0))</f>
        <v>#REF!</v>
      </c>
      <c r="Z46" t="e">
        <f>INDEX(#REF!,MATCH($E46,#REF!,0))</f>
        <v>#REF!</v>
      </c>
      <c r="AA46" t="e">
        <f>INDEX(#REF!,MATCH($E46,#REF!,0))</f>
        <v>#REF!</v>
      </c>
      <c r="AB46" t="e">
        <f>INDEX(#REF!,MATCH($E46,#REF!,0))</f>
        <v>#REF!</v>
      </c>
      <c r="AC46" t="e">
        <f>INDEX(#REF!,MATCH($E46,#REF!,0))</f>
        <v>#REF!</v>
      </c>
      <c r="AD46" t="e">
        <f>INDEX(#REF!,MATCH($E46,#REF!,0))</f>
        <v>#REF!</v>
      </c>
      <c r="AE46" t="e">
        <f t="shared" si="1"/>
        <v>#REF!</v>
      </c>
    </row>
    <row r="47" spans="2:31" x14ac:dyDescent="0.25">
      <c r="B47" s="45" t="s">
        <v>1459</v>
      </c>
      <c r="C47" s="45" t="s">
        <v>132</v>
      </c>
      <c r="D47" s="45" t="s">
        <v>131</v>
      </c>
      <c r="E47" s="45">
        <v>110016</v>
      </c>
      <c r="F47" s="45">
        <v>1000</v>
      </c>
      <c r="G47" s="21">
        <v>15</v>
      </c>
      <c r="H47" s="21">
        <v>2</v>
      </c>
      <c r="I47" s="21" t="s">
        <v>21</v>
      </c>
      <c r="J47" s="21">
        <v>10</v>
      </c>
      <c r="K47" s="21">
        <v>0</v>
      </c>
      <c r="L47" s="2"/>
      <c r="M47" s="64" t="s">
        <v>1145</v>
      </c>
      <c r="N47" s="42"/>
      <c r="P47" s="21"/>
      <c r="Q47" s="12"/>
      <c r="R47">
        <f t="shared" si="2"/>
        <v>1</v>
      </c>
      <c r="S47" s="21" t="s">
        <v>99</v>
      </c>
      <c r="T47" s="21" t="s">
        <v>99</v>
      </c>
      <c r="W47" t="e">
        <f>INDEX(#REF!,MATCH($E47,#REF!,0))</f>
        <v>#REF!</v>
      </c>
      <c r="X47" t="e">
        <f>INDEX(#REF!,MATCH($E47,#REF!,0))</f>
        <v>#REF!</v>
      </c>
      <c r="Y47" t="e">
        <f>INDEX(#REF!,MATCH($E47,#REF!,0))</f>
        <v>#REF!</v>
      </c>
      <c r="Z47" t="e">
        <f>INDEX(#REF!,MATCH($E47,#REF!,0))</f>
        <v>#REF!</v>
      </c>
      <c r="AA47" t="e">
        <f>INDEX(#REF!,MATCH($E47,#REF!,0))</f>
        <v>#REF!</v>
      </c>
      <c r="AB47" t="e">
        <f>INDEX(#REF!,MATCH($E47,#REF!,0))</f>
        <v>#REF!</v>
      </c>
      <c r="AC47" t="e">
        <f>INDEX(#REF!,MATCH($E47,#REF!,0))</f>
        <v>#REF!</v>
      </c>
      <c r="AD47" t="e">
        <f>INDEX(#REF!,MATCH($E47,#REF!,0))</f>
        <v>#REF!</v>
      </c>
      <c r="AE47" t="e">
        <f t="shared" si="1"/>
        <v>#REF!</v>
      </c>
    </row>
    <row r="48" spans="2:31" x14ac:dyDescent="0.25">
      <c r="B48" s="45" t="s">
        <v>1460</v>
      </c>
      <c r="C48" s="45" t="s">
        <v>134</v>
      </c>
      <c r="D48" s="45" t="s">
        <v>133</v>
      </c>
      <c r="E48" s="45">
        <v>110017</v>
      </c>
      <c r="F48" s="45">
        <v>1000</v>
      </c>
      <c r="G48" s="21">
        <v>16</v>
      </c>
      <c r="H48" s="21">
        <v>2</v>
      </c>
      <c r="I48" s="21" t="s">
        <v>21</v>
      </c>
      <c r="J48" s="21">
        <v>10</v>
      </c>
      <c r="K48" s="21">
        <v>0</v>
      </c>
      <c r="L48" s="2"/>
      <c r="M48" s="64" t="s">
        <v>1146</v>
      </c>
      <c r="N48" s="42"/>
      <c r="P48" s="21"/>
      <c r="Q48" s="12"/>
      <c r="R48">
        <f t="shared" si="2"/>
        <v>1</v>
      </c>
      <c r="S48" s="21" t="s">
        <v>99</v>
      </c>
      <c r="T48" s="21" t="s">
        <v>99</v>
      </c>
      <c r="W48" t="e">
        <f>INDEX(#REF!,MATCH($E48,#REF!,0))</f>
        <v>#REF!</v>
      </c>
      <c r="X48" t="e">
        <f>INDEX(#REF!,MATCH($E48,#REF!,0))</f>
        <v>#REF!</v>
      </c>
      <c r="Y48" t="e">
        <f>INDEX(#REF!,MATCH($E48,#REF!,0))</f>
        <v>#REF!</v>
      </c>
      <c r="Z48" t="e">
        <f>INDEX(#REF!,MATCH($E48,#REF!,0))</f>
        <v>#REF!</v>
      </c>
      <c r="AA48" t="e">
        <f>INDEX(#REF!,MATCH($E48,#REF!,0))</f>
        <v>#REF!</v>
      </c>
      <c r="AB48" t="e">
        <f>INDEX(#REF!,MATCH($E48,#REF!,0))</f>
        <v>#REF!</v>
      </c>
      <c r="AC48" t="e">
        <f>INDEX(#REF!,MATCH($E48,#REF!,0))</f>
        <v>#REF!</v>
      </c>
      <c r="AD48" t="e">
        <f>INDEX(#REF!,MATCH($E48,#REF!,0))</f>
        <v>#REF!</v>
      </c>
      <c r="AE48" t="e">
        <f t="shared" si="1"/>
        <v>#REF!</v>
      </c>
    </row>
    <row r="49" spans="2:31" x14ac:dyDescent="0.25">
      <c r="B49" s="45" t="s">
        <v>1461</v>
      </c>
      <c r="C49" s="45" t="s">
        <v>136</v>
      </c>
      <c r="D49" s="45" t="s">
        <v>135</v>
      </c>
      <c r="E49" s="45">
        <v>110018</v>
      </c>
      <c r="F49" s="45">
        <v>1000</v>
      </c>
      <c r="G49" s="21">
        <v>17</v>
      </c>
      <c r="H49" s="21">
        <v>2</v>
      </c>
      <c r="I49" s="21" t="s">
        <v>18</v>
      </c>
      <c r="J49" s="21">
        <v>1</v>
      </c>
      <c r="K49" s="21">
        <v>0</v>
      </c>
      <c r="L49" s="2"/>
      <c r="M49" s="64" t="s">
        <v>1147</v>
      </c>
      <c r="N49" s="42"/>
      <c r="P49" s="21"/>
      <c r="Q49" s="12"/>
      <c r="R49">
        <f t="shared" si="2"/>
        <v>1</v>
      </c>
      <c r="S49" s="21" t="s">
        <v>99</v>
      </c>
      <c r="T49" s="21" t="s">
        <v>99</v>
      </c>
      <c r="W49" t="e">
        <f>INDEX(#REF!,MATCH($E49,#REF!,0))</f>
        <v>#REF!</v>
      </c>
      <c r="X49" t="e">
        <f>INDEX(#REF!,MATCH($E49,#REF!,0))</f>
        <v>#REF!</v>
      </c>
      <c r="Y49" t="e">
        <f>INDEX(#REF!,MATCH($E49,#REF!,0))</f>
        <v>#REF!</v>
      </c>
      <c r="Z49" t="e">
        <f>INDEX(#REF!,MATCH($E49,#REF!,0))</f>
        <v>#REF!</v>
      </c>
      <c r="AA49" t="e">
        <f>INDEX(#REF!,MATCH($E49,#REF!,0))</f>
        <v>#REF!</v>
      </c>
      <c r="AB49" t="e">
        <f>INDEX(#REF!,MATCH($E49,#REF!,0))</f>
        <v>#REF!</v>
      </c>
      <c r="AC49" t="e">
        <f>INDEX(#REF!,MATCH($E49,#REF!,0))</f>
        <v>#REF!</v>
      </c>
      <c r="AD49" t="e">
        <f>INDEX(#REF!,MATCH($E49,#REF!,0))</f>
        <v>#REF!</v>
      </c>
      <c r="AE49" t="e">
        <f t="shared" si="1"/>
        <v>#REF!</v>
      </c>
    </row>
    <row r="50" spans="2:31" x14ac:dyDescent="0.25">
      <c r="B50" s="45" t="s">
        <v>1462</v>
      </c>
      <c r="C50" s="45" t="s">
        <v>138</v>
      </c>
      <c r="D50" s="45" t="s">
        <v>137</v>
      </c>
      <c r="E50" s="45">
        <v>110019</v>
      </c>
      <c r="F50" s="45">
        <v>1000</v>
      </c>
      <c r="G50" s="21">
        <v>18</v>
      </c>
      <c r="H50" s="21">
        <v>2</v>
      </c>
      <c r="I50" s="21" t="s">
        <v>18</v>
      </c>
      <c r="J50" s="21">
        <v>1</v>
      </c>
      <c r="K50" s="21">
        <v>0</v>
      </c>
      <c r="L50" s="2"/>
      <c r="M50" s="64" t="s">
        <v>1148</v>
      </c>
      <c r="N50" s="42"/>
      <c r="P50" s="21"/>
      <c r="Q50" s="12"/>
      <c r="R50">
        <f t="shared" si="2"/>
        <v>1</v>
      </c>
      <c r="S50" s="21" t="s">
        <v>99</v>
      </c>
      <c r="T50" s="21" t="s">
        <v>99</v>
      </c>
      <c r="W50" t="e">
        <f>INDEX(#REF!,MATCH($E50,#REF!,0))</f>
        <v>#REF!</v>
      </c>
      <c r="X50" t="e">
        <f>INDEX(#REF!,MATCH($E50,#REF!,0))</f>
        <v>#REF!</v>
      </c>
      <c r="Y50" t="e">
        <f>INDEX(#REF!,MATCH($E50,#REF!,0))</f>
        <v>#REF!</v>
      </c>
      <c r="Z50" t="e">
        <f>INDEX(#REF!,MATCH($E50,#REF!,0))</f>
        <v>#REF!</v>
      </c>
      <c r="AA50" t="e">
        <f>INDEX(#REF!,MATCH($E50,#REF!,0))</f>
        <v>#REF!</v>
      </c>
      <c r="AB50" t="e">
        <f>INDEX(#REF!,MATCH($E50,#REF!,0))</f>
        <v>#REF!</v>
      </c>
      <c r="AC50" t="e">
        <f>INDEX(#REF!,MATCH($E50,#REF!,0))</f>
        <v>#REF!</v>
      </c>
      <c r="AD50" t="e">
        <f>INDEX(#REF!,MATCH($E50,#REF!,0))</f>
        <v>#REF!</v>
      </c>
      <c r="AE50" t="e">
        <f t="shared" si="1"/>
        <v>#REF!</v>
      </c>
    </row>
    <row r="51" spans="2:31" x14ac:dyDescent="0.25">
      <c r="B51" s="45" t="s">
        <v>1463</v>
      </c>
      <c r="C51" s="45" t="s">
        <v>140</v>
      </c>
      <c r="D51" s="45" t="s">
        <v>139</v>
      </c>
      <c r="E51" s="45">
        <v>110022</v>
      </c>
      <c r="F51" s="45">
        <v>1000</v>
      </c>
      <c r="G51" s="21">
        <v>21</v>
      </c>
      <c r="H51" s="21">
        <v>2</v>
      </c>
      <c r="I51" s="21" t="s">
        <v>21</v>
      </c>
      <c r="J51" s="21">
        <v>10</v>
      </c>
      <c r="K51" s="21">
        <v>0</v>
      </c>
      <c r="L51" s="2"/>
      <c r="M51" s="64" t="s">
        <v>1149</v>
      </c>
      <c r="N51" s="42"/>
      <c r="P51" s="21"/>
      <c r="Q51" s="12"/>
      <c r="R51">
        <f t="shared" si="2"/>
        <v>1</v>
      </c>
      <c r="S51" s="21" t="s">
        <v>99</v>
      </c>
      <c r="T51" s="21" t="s">
        <v>99</v>
      </c>
      <c r="W51" t="e">
        <f>INDEX(#REF!,MATCH($E51,#REF!,0))</f>
        <v>#REF!</v>
      </c>
      <c r="X51" t="e">
        <f>INDEX(#REF!,MATCH($E51,#REF!,0))</f>
        <v>#REF!</v>
      </c>
      <c r="Y51" t="e">
        <f>INDEX(#REF!,MATCH($E51,#REF!,0))</f>
        <v>#REF!</v>
      </c>
      <c r="Z51" t="e">
        <f>INDEX(#REF!,MATCH($E51,#REF!,0))</f>
        <v>#REF!</v>
      </c>
      <c r="AA51" t="e">
        <f>INDEX(#REF!,MATCH($E51,#REF!,0))</f>
        <v>#REF!</v>
      </c>
      <c r="AB51" t="e">
        <f>INDEX(#REF!,MATCH($E51,#REF!,0))</f>
        <v>#REF!</v>
      </c>
      <c r="AC51" t="e">
        <f>INDEX(#REF!,MATCH($E51,#REF!,0))</f>
        <v>#REF!</v>
      </c>
      <c r="AD51" t="e">
        <f>INDEX(#REF!,MATCH($E51,#REF!,0))</f>
        <v>#REF!</v>
      </c>
      <c r="AE51" t="e">
        <f t="shared" si="1"/>
        <v>#REF!</v>
      </c>
    </row>
    <row r="52" spans="2:31" x14ac:dyDescent="0.25">
      <c r="B52" s="45" t="s">
        <v>1464</v>
      </c>
      <c r="C52" s="45" t="s">
        <v>142</v>
      </c>
      <c r="D52" s="45" t="s">
        <v>141</v>
      </c>
      <c r="E52" s="45">
        <v>110024</v>
      </c>
      <c r="F52" s="45">
        <v>1000</v>
      </c>
      <c r="G52" s="21">
        <v>23</v>
      </c>
      <c r="H52" s="21">
        <v>2</v>
      </c>
      <c r="I52" s="21" t="s">
        <v>18</v>
      </c>
      <c r="J52" s="21">
        <v>1</v>
      </c>
      <c r="K52" s="21">
        <v>0</v>
      </c>
      <c r="L52" s="2"/>
      <c r="M52" s="64" t="s">
        <v>1150</v>
      </c>
      <c r="N52" s="42"/>
      <c r="P52" s="21"/>
      <c r="Q52" s="12"/>
      <c r="R52">
        <f t="shared" si="2"/>
        <v>1</v>
      </c>
      <c r="S52" s="21" t="s">
        <v>99</v>
      </c>
      <c r="T52" s="21" t="s">
        <v>99</v>
      </c>
      <c r="W52" t="e">
        <f>INDEX(#REF!,MATCH($E52,#REF!,0))</f>
        <v>#REF!</v>
      </c>
      <c r="X52" t="e">
        <f>INDEX(#REF!,MATCH($E52,#REF!,0))</f>
        <v>#REF!</v>
      </c>
      <c r="Y52" t="e">
        <f>INDEX(#REF!,MATCH($E52,#REF!,0))</f>
        <v>#REF!</v>
      </c>
      <c r="Z52" t="e">
        <f>INDEX(#REF!,MATCH($E52,#REF!,0))</f>
        <v>#REF!</v>
      </c>
      <c r="AA52" t="e">
        <f>INDEX(#REF!,MATCH($E52,#REF!,0))</f>
        <v>#REF!</v>
      </c>
      <c r="AB52" t="e">
        <f>INDEX(#REF!,MATCH($E52,#REF!,0))</f>
        <v>#REF!</v>
      </c>
      <c r="AC52" t="e">
        <f>INDEX(#REF!,MATCH($E52,#REF!,0))</f>
        <v>#REF!</v>
      </c>
      <c r="AD52" t="e">
        <f>INDEX(#REF!,MATCH($E52,#REF!,0))</f>
        <v>#REF!</v>
      </c>
      <c r="AE52" t="e">
        <f t="shared" si="1"/>
        <v>#REF!</v>
      </c>
    </row>
    <row r="53" spans="2:31" x14ac:dyDescent="0.25">
      <c r="B53" s="45" t="s">
        <v>1465</v>
      </c>
      <c r="C53" s="45" t="s">
        <v>144</v>
      </c>
      <c r="D53" s="45" t="s">
        <v>143</v>
      </c>
      <c r="E53" s="45">
        <v>110025</v>
      </c>
      <c r="F53" s="45">
        <v>1000</v>
      </c>
      <c r="G53" s="21">
        <v>24</v>
      </c>
      <c r="H53" s="21">
        <v>2</v>
      </c>
      <c r="I53" s="21" t="s">
        <v>113</v>
      </c>
      <c r="J53" s="21">
        <v>100</v>
      </c>
      <c r="K53" s="21">
        <v>0</v>
      </c>
      <c r="L53" s="2"/>
      <c r="M53" s="65" t="s">
        <v>2242</v>
      </c>
      <c r="N53" s="60"/>
      <c r="P53" s="21"/>
      <c r="Q53" s="12"/>
      <c r="R53">
        <f t="shared" si="2"/>
        <v>1</v>
      </c>
      <c r="S53" s="21" t="s">
        <v>99</v>
      </c>
      <c r="T53" s="21" t="s">
        <v>99</v>
      </c>
      <c r="W53" t="e">
        <f>INDEX(#REF!,MATCH($E53,#REF!,0))</f>
        <v>#REF!</v>
      </c>
      <c r="X53" t="e">
        <f>INDEX(#REF!,MATCH($E53,#REF!,0))</f>
        <v>#REF!</v>
      </c>
      <c r="Y53" t="e">
        <f>INDEX(#REF!,MATCH($E53,#REF!,0))</f>
        <v>#REF!</v>
      </c>
      <c r="Z53" t="e">
        <f>INDEX(#REF!,MATCH($E53,#REF!,0))</f>
        <v>#REF!</v>
      </c>
      <c r="AA53" t="e">
        <f>INDEX(#REF!,MATCH($E53,#REF!,0))</f>
        <v>#REF!</v>
      </c>
      <c r="AB53" t="e">
        <f>INDEX(#REF!,MATCH($E53,#REF!,0))</f>
        <v>#REF!</v>
      </c>
      <c r="AC53" t="e">
        <f>INDEX(#REF!,MATCH($E53,#REF!,0))</f>
        <v>#REF!</v>
      </c>
      <c r="AD53" t="e">
        <f>INDEX(#REF!,MATCH($E53,#REF!,0))</f>
        <v>#REF!</v>
      </c>
      <c r="AE53" t="e">
        <f t="shared" si="1"/>
        <v>#REF!</v>
      </c>
    </row>
    <row r="54" spans="2:31" x14ac:dyDescent="0.25">
      <c r="B54" s="45" t="s">
        <v>1466</v>
      </c>
      <c r="C54" s="45" t="s">
        <v>146</v>
      </c>
      <c r="D54" s="45" t="s">
        <v>145</v>
      </c>
      <c r="E54" s="45">
        <v>110026</v>
      </c>
      <c r="F54" s="45">
        <v>1001</v>
      </c>
      <c r="G54" s="21">
        <v>0</v>
      </c>
      <c r="H54" s="21">
        <v>2</v>
      </c>
      <c r="I54" s="21" t="s">
        <v>147</v>
      </c>
      <c r="J54" s="21">
        <v>100000</v>
      </c>
      <c r="K54" s="21">
        <v>0</v>
      </c>
      <c r="L54" s="2"/>
      <c r="M54" s="64" t="s">
        <v>1151</v>
      </c>
      <c r="N54" s="42"/>
      <c r="P54" s="21"/>
      <c r="Q54" s="12"/>
      <c r="R54">
        <f t="shared" si="2"/>
        <v>1</v>
      </c>
      <c r="S54" s="21" t="s">
        <v>99</v>
      </c>
      <c r="T54" s="21" t="s">
        <v>99</v>
      </c>
      <c r="W54" t="e">
        <f>INDEX(#REF!,MATCH($E54,#REF!,0))</f>
        <v>#REF!</v>
      </c>
      <c r="X54" t="e">
        <f>INDEX(#REF!,MATCH($E54,#REF!,0))</f>
        <v>#REF!</v>
      </c>
      <c r="Y54" t="e">
        <f>INDEX(#REF!,MATCH($E54,#REF!,0))</f>
        <v>#REF!</v>
      </c>
      <c r="Z54" t="e">
        <f>INDEX(#REF!,MATCH($E54,#REF!,0))</f>
        <v>#REF!</v>
      </c>
      <c r="AA54" t="e">
        <f>INDEX(#REF!,MATCH($E54,#REF!,0))</f>
        <v>#REF!</v>
      </c>
      <c r="AB54" t="e">
        <f>INDEX(#REF!,MATCH($E54,#REF!,0))</f>
        <v>#REF!</v>
      </c>
      <c r="AC54" t="e">
        <f>INDEX(#REF!,MATCH($E54,#REF!,0))</f>
        <v>#REF!</v>
      </c>
      <c r="AD54" t="e">
        <f>INDEX(#REF!,MATCH($E54,#REF!,0))</f>
        <v>#REF!</v>
      </c>
      <c r="AE54" t="e">
        <f t="shared" si="1"/>
        <v>#REF!</v>
      </c>
    </row>
    <row r="55" spans="2:31" ht="45" x14ac:dyDescent="0.25">
      <c r="B55" s="45" t="s">
        <v>1467</v>
      </c>
      <c r="C55" s="45" t="s">
        <v>149</v>
      </c>
      <c r="D55" s="45" t="s">
        <v>148</v>
      </c>
      <c r="E55" s="45">
        <v>110027</v>
      </c>
      <c r="F55" s="45">
        <v>1001</v>
      </c>
      <c r="G55" s="21">
        <v>1</v>
      </c>
      <c r="H55" s="21">
        <v>2</v>
      </c>
      <c r="I55" s="21" t="s">
        <v>147</v>
      </c>
      <c r="J55" s="21">
        <v>100000</v>
      </c>
      <c r="K55" s="21">
        <v>0</v>
      </c>
      <c r="L55" s="2"/>
      <c r="M55" s="64" t="s">
        <v>2244</v>
      </c>
      <c r="N55" s="42"/>
      <c r="P55" s="21"/>
      <c r="Q55" s="12"/>
      <c r="R55">
        <f t="shared" si="2"/>
        <v>1</v>
      </c>
      <c r="S55" s="21" t="s">
        <v>99</v>
      </c>
      <c r="T55" s="21" t="s">
        <v>99</v>
      </c>
      <c r="W55" t="e">
        <f>INDEX(#REF!,MATCH($E55,#REF!,0))</f>
        <v>#REF!</v>
      </c>
      <c r="X55" t="e">
        <f>INDEX(#REF!,MATCH($E55,#REF!,0))</f>
        <v>#REF!</v>
      </c>
      <c r="Y55" t="e">
        <f>INDEX(#REF!,MATCH($E55,#REF!,0))</f>
        <v>#REF!</v>
      </c>
      <c r="Z55" t="e">
        <f>INDEX(#REF!,MATCH($E55,#REF!,0))</f>
        <v>#REF!</v>
      </c>
      <c r="AA55" t="e">
        <f>INDEX(#REF!,MATCH($E55,#REF!,0))</f>
        <v>#REF!</v>
      </c>
      <c r="AB55" t="e">
        <f>INDEX(#REF!,MATCH($E55,#REF!,0))</f>
        <v>#REF!</v>
      </c>
      <c r="AC55" t="e">
        <f>INDEX(#REF!,MATCH($E55,#REF!,0))</f>
        <v>#REF!</v>
      </c>
      <c r="AD55" t="e">
        <f>INDEX(#REF!,MATCH($E55,#REF!,0))</f>
        <v>#REF!</v>
      </c>
      <c r="AE55" t="e">
        <f t="shared" si="1"/>
        <v>#REF!</v>
      </c>
    </row>
    <row r="56" spans="2:31" ht="45" x14ac:dyDescent="0.25">
      <c r="B56" s="45" t="s">
        <v>1468</v>
      </c>
      <c r="C56" s="45" t="s">
        <v>151</v>
      </c>
      <c r="D56" s="45" t="s">
        <v>150</v>
      </c>
      <c r="E56" s="45">
        <v>110028</v>
      </c>
      <c r="F56" s="45">
        <v>1001</v>
      </c>
      <c r="G56" s="21">
        <v>2</v>
      </c>
      <c r="H56" s="21">
        <v>2</v>
      </c>
      <c r="I56" s="21" t="s">
        <v>147</v>
      </c>
      <c r="J56" s="21">
        <v>100000</v>
      </c>
      <c r="K56" s="21">
        <v>0</v>
      </c>
      <c r="L56" s="2"/>
      <c r="M56" s="64" t="s">
        <v>2245</v>
      </c>
      <c r="N56" s="42"/>
      <c r="P56" s="21"/>
      <c r="Q56" s="12"/>
      <c r="R56">
        <f t="shared" si="2"/>
        <v>1</v>
      </c>
      <c r="S56" s="21" t="s">
        <v>99</v>
      </c>
      <c r="T56" s="21" t="s">
        <v>99</v>
      </c>
      <c r="W56" t="e">
        <f>INDEX(#REF!,MATCH($E56,#REF!,0))</f>
        <v>#REF!</v>
      </c>
      <c r="X56" t="e">
        <f>INDEX(#REF!,MATCH($E56,#REF!,0))</f>
        <v>#REF!</v>
      </c>
      <c r="Y56" t="e">
        <f>INDEX(#REF!,MATCH($E56,#REF!,0))</f>
        <v>#REF!</v>
      </c>
      <c r="Z56" t="e">
        <f>INDEX(#REF!,MATCH($E56,#REF!,0))</f>
        <v>#REF!</v>
      </c>
      <c r="AA56" t="e">
        <f>INDEX(#REF!,MATCH($E56,#REF!,0))</f>
        <v>#REF!</v>
      </c>
      <c r="AB56" t="e">
        <f>INDEX(#REF!,MATCH($E56,#REF!,0))</f>
        <v>#REF!</v>
      </c>
      <c r="AC56" t="e">
        <f>INDEX(#REF!,MATCH($E56,#REF!,0))</f>
        <v>#REF!</v>
      </c>
      <c r="AD56" t="e">
        <f>INDEX(#REF!,MATCH($E56,#REF!,0))</f>
        <v>#REF!</v>
      </c>
      <c r="AE56" t="e">
        <f t="shared" si="1"/>
        <v>#REF!</v>
      </c>
    </row>
    <row r="57" spans="2:31" x14ac:dyDescent="0.25">
      <c r="B57" s="45" t="s">
        <v>1469</v>
      </c>
      <c r="C57" s="45" t="s">
        <v>153</v>
      </c>
      <c r="D57" s="45" t="s">
        <v>152</v>
      </c>
      <c r="E57" s="45">
        <v>110031</v>
      </c>
      <c r="F57" s="45">
        <v>1001</v>
      </c>
      <c r="G57" s="21">
        <v>5</v>
      </c>
      <c r="H57" s="21">
        <v>2</v>
      </c>
      <c r="I57" s="21" t="s">
        <v>154</v>
      </c>
      <c r="J57" s="21">
        <v>100</v>
      </c>
      <c r="K57" s="21">
        <v>0</v>
      </c>
      <c r="L57" s="2"/>
      <c r="M57" s="64" t="s">
        <v>1152</v>
      </c>
      <c r="N57" s="42"/>
      <c r="P57" s="21"/>
      <c r="Q57" s="12"/>
      <c r="R57">
        <f t="shared" si="2"/>
        <v>1</v>
      </c>
      <c r="S57" s="21" t="s">
        <v>99</v>
      </c>
      <c r="T57" s="21" t="s">
        <v>99</v>
      </c>
      <c r="W57" t="e">
        <f>INDEX(#REF!,MATCH($E57,#REF!,0))</f>
        <v>#REF!</v>
      </c>
      <c r="X57" t="e">
        <f>INDEX(#REF!,MATCH($E57,#REF!,0))</f>
        <v>#REF!</v>
      </c>
      <c r="Y57" t="e">
        <f>INDEX(#REF!,MATCH($E57,#REF!,0))</f>
        <v>#REF!</v>
      </c>
      <c r="Z57" t="e">
        <f>INDEX(#REF!,MATCH($E57,#REF!,0))</f>
        <v>#REF!</v>
      </c>
      <c r="AA57" t="e">
        <f>INDEX(#REF!,MATCH($E57,#REF!,0))</f>
        <v>#REF!</v>
      </c>
      <c r="AB57" t="e">
        <f>INDEX(#REF!,MATCH($E57,#REF!,0))</f>
        <v>#REF!</v>
      </c>
      <c r="AC57" t="e">
        <f>INDEX(#REF!,MATCH($E57,#REF!,0))</f>
        <v>#REF!</v>
      </c>
      <c r="AD57" t="e">
        <f>INDEX(#REF!,MATCH($E57,#REF!,0))</f>
        <v>#REF!</v>
      </c>
      <c r="AE57" t="e">
        <f t="shared" si="1"/>
        <v>#REF!</v>
      </c>
    </row>
    <row r="58" spans="2:31" ht="45" x14ac:dyDescent="0.25">
      <c r="B58" s="45" t="s">
        <v>1470</v>
      </c>
      <c r="C58" s="45" t="s">
        <v>156</v>
      </c>
      <c r="D58" s="45" t="s">
        <v>155</v>
      </c>
      <c r="E58" s="45">
        <v>110032</v>
      </c>
      <c r="F58" s="45">
        <v>1001</v>
      </c>
      <c r="G58" s="21">
        <v>6</v>
      </c>
      <c r="H58" s="21">
        <v>2</v>
      </c>
      <c r="I58" s="21" t="s">
        <v>154</v>
      </c>
      <c r="J58" s="21">
        <v>100</v>
      </c>
      <c r="K58" s="21">
        <v>0</v>
      </c>
      <c r="L58" s="2"/>
      <c r="M58" s="64" t="s">
        <v>2246</v>
      </c>
      <c r="N58" s="42"/>
      <c r="P58" s="21"/>
      <c r="Q58" s="12"/>
      <c r="R58">
        <f t="shared" si="2"/>
        <v>1</v>
      </c>
      <c r="S58" s="21" t="s">
        <v>99</v>
      </c>
      <c r="T58" s="21" t="s">
        <v>99</v>
      </c>
      <c r="W58" t="e">
        <f>INDEX(#REF!,MATCH($E58,#REF!,0))</f>
        <v>#REF!</v>
      </c>
      <c r="X58" t="e">
        <f>INDEX(#REF!,MATCH($E58,#REF!,0))</f>
        <v>#REF!</v>
      </c>
      <c r="Y58" t="e">
        <f>INDEX(#REF!,MATCH($E58,#REF!,0))</f>
        <v>#REF!</v>
      </c>
      <c r="Z58" t="e">
        <f>INDEX(#REF!,MATCH($E58,#REF!,0))</f>
        <v>#REF!</v>
      </c>
      <c r="AA58" t="e">
        <f>INDEX(#REF!,MATCH($E58,#REF!,0))</f>
        <v>#REF!</v>
      </c>
      <c r="AB58" t="e">
        <f>INDEX(#REF!,MATCH($E58,#REF!,0))</f>
        <v>#REF!</v>
      </c>
      <c r="AC58" t="e">
        <f>INDEX(#REF!,MATCH($E58,#REF!,0))</f>
        <v>#REF!</v>
      </c>
      <c r="AD58" t="e">
        <f>INDEX(#REF!,MATCH($E58,#REF!,0))</f>
        <v>#REF!</v>
      </c>
      <c r="AE58" t="e">
        <f t="shared" si="1"/>
        <v>#REF!</v>
      </c>
    </row>
    <row r="59" spans="2:31" ht="45" x14ac:dyDescent="0.25">
      <c r="B59" s="45" t="s">
        <v>1471</v>
      </c>
      <c r="C59" s="45" t="s">
        <v>158</v>
      </c>
      <c r="D59" s="45" t="s">
        <v>157</v>
      </c>
      <c r="E59" s="45">
        <v>110033</v>
      </c>
      <c r="F59" s="45">
        <v>1001</v>
      </c>
      <c r="G59" s="21">
        <v>7</v>
      </c>
      <c r="H59" s="21">
        <v>2</v>
      </c>
      <c r="I59" s="21" t="s">
        <v>154</v>
      </c>
      <c r="J59" s="21">
        <v>100</v>
      </c>
      <c r="K59" s="21">
        <v>0</v>
      </c>
      <c r="L59" s="2"/>
      <c r="M59" s="64" t="s">
        <v>2247</v>
      </c>
      <c r="N59" s="42"/>
      <c r="P59" s="21"/>
      <c r="Q59" s="12"/>
      <c r="R59">
        <f t="shared" si="2"/>
        <v>1</v>
      </c>
      <c r="S59" s="21" t="s">
        <v>99</v>
      </c>
      <c r="T59" s="21" t="s">
        <v>99</v>
      </c>
      <c r="W59" t="e">
        <f>INDEX(#REF!,MATCH($E59,#REF!,0))</f>
        <v>#REF!</v>
      </c>
      <c r="X59" t="e">
        <f>INDEX(#REF!,MATCH($E59,#REF!,0))</f>
        <v>#REF!</v>
      </c>
      <c r="Y59" t="e">
        <f>INDEX(#REF!,MATCH($E59,#REF!,0))</f>
        <v>#REF!</v>
      </c>
      <c r="Z59" t="e">
        <f>INDEX(#REF!,MATCH($E59,#REF!,0))</f>
        <v>#REF!</v>
      </c>
      <c r="AA59" t="e">
        <f>INDEX(#REF!,MATCH($E59,#REF!,0))</f>
        <v>#REF!</v>
      </c>
      <c r="AB59" t="e">
        <f>INDEX(#REF!,MATCH($E59,#REF!,0))</f>
        <v>#REF!</v>
      </c>
      <c r="AC59" t="e">
        <f>INDEX(#REF!,MATCH($E59,#REF!,0))</f>
        <v>#REF!</v>
      </c>
      <c r="AD59" t="e">
        <f>INDEX(#REF!,MATCH($E59,#REF!,0))</f>
        <v>#REF!</v>
      </c>
      <c r="AE59" t="e">
        <f t="shared" si="1"/>
        <v>#REF!</v>
      </c>
    </row>
    <row r="60" spans="2:31" x14ac:dyDescent="0.25">
      <c r="B60" s="89" t="s">
        <v>3205</v>
      </c>
      <c r="C60" s="89" t="s">
        <v>3204</v>
      </c>
      <c r="D60" s="89" t="s">
        <v>3524</v>
      </c>
      <c r="E60" s="89">
        <v>110034</v>
      </c>
      <c r="F60" s="89">
        <v>1001</v>
      </c>
      <c r="G60" s="90">
        <v>8</v>
      </c>
      <c r="H60" s="90">
        <v>2</v>
      </c>
      <c r="I60" s="90" t="s">
        <v>18</v>
      </c>
      <c r="J60" s="90">
        <v>1</v>
      </c>
      <c r="K60" s="90" t="s">
        <v>2509</v>
      </c>
      <c r="L60" s="91">
        <v>63</v>
      </c>
      <c r="M60" s="92"/>
      <c r="N60" s="93"/>
      <c r="O60" s="94"/>
      <c r="P60" s="90" t="s">
        <v>3525</v>
      </c>
      <c r="Q60" s="95" t="s">
        <v>3526</v>
      </c>
      <c r="S60" s="21"/>
      <c r="T60" s="21"/>
    </row>
    <row r="61" spans="2:31" x14ac:dyDescent="0.25">
      <c r="B61" s="89" t="s">
        <v>3207</v>
      </c>
      <c r="C61" s="89" t="s">
        <v>3206</v>
      </c>
      <c r="D61" s="89" t="s">
        <v>3527</v>
      </c>
      <c r="E61" s="89">
        <v>110035</v>
      </c>
      <c r="F61" s="89">
        <v>1001</v>
      </c>
      <c r="G61" s="90">
        <v>9</v>
      </c>
      <c r="H61" s="90">
        <v>2</v>
      </c>
      <c r="I61" s="90" t="s">
        <v>18</v>
      </c>
      <c r="J61" s="90">
        <v>1</v>
      </c>
      <c r="K61" s="90" t="s">
        <v>2509</v>
      </c>
      <c r="L61" s="91">
        <v>64</v>
      </c>
      <c r="M61" s="92"/>
      <c r="N61" s="93"/>
      <c r="O61" s="94"/>
      <c r="P61" s="90" t="s">
        <v>3525</v>
      </c>
      <c r="Q61" s="95" t="s">
        <v>3526</v>
      </c>
      <c r="S61" s="21"/>
      <c r="T61" s="21"/>
    </row>
    <row r="62" spans="2:31" x14ac:dyDescent="0.25">
      <c r="B62" s="45" t="s">
        <v>1472</v>
      </c>
      <c r="C62" s="45" t="s">
        <v>160</v>
      </c>
      <c r="D62" s="45" t="s">
        <v>159</v>
      </c>
      <c r="E62" s="45">
        <v>110036</v>
      </c>
      <c r="F62" s="45">
        <v>1001</v>
      </c>
      <c r="G62" s="21">
        <v>10</v>
      </c>
      <c r="H62" s="21">
        <v>2</v>
      </c>
      <c r="I62" s="21" t="s">
        <v>147</v>
      </c>
      <c r="J62" s="21">
        <v>100000</v>
      </c>
      <c r="K62" s="21">
        <v>0</v>
      </c>
      <c r="L62" s="2"/>
      <c r="M62" s="64" t="s">
        <v>1153</v>
      </c>
      <c r="N62" s="42"/>
      <c r="P62" s="21"/>
      <c r="Q62" s="12"/>
      <c r="R62">
        <f t="shared" ref="R62:R67" si="3">COUNTIF(C:C,C62)</f>
        <v>1</v>
      </c>
      <c r="S62" s="21" t="s">
        <v>99</v>
      </c>
      <c r="T62" s="21" t="s">
        <v>99</v>
      </c>
      <c r="W62" t="e">
        <f>INDEX(#REF!,MATCH($E62,#REF!,0))</f>
        <v>#REF!</v>
      </c>
      <c r="X62" t="e">
        <f>INDEX(#REF!,MATCH($E62,#REF!,0))</f>
        <v>#REF!</v>
      </c>
      <c r="Y62" t="e">
        <f>INDEX(#REF!,MATCH($E62,#REF!,0))</f>
        <v>#REF!</v>
      </c>
      <c r="Z62" t="e">
        <f>INDEX(#REF!,MATCH($E62,#REF!,0))</f>
        <v>#REF!</v>
      </c>
      <c r="AA62" t="e">
        <f>INDEX(#REF!,MATCH($E62,#REF!,0))</f>
        <v>#REF!</v>
      </c>
      <c r="AB62" t="e">
        <f>INDEX(#REF!,MATCH($E62,#REF!,0))</f>
        <v>#REF!</v>
      </c>
      <c r="AC62" t="e">
        <f>INDEX(#REF!,MATCH($E62,#REF!,0))</f>
        <v>#REF!</v>
      </c>
      <c r="AD62" t="e">
        <f>INDEX(#REF!,MATCH($E62,#REF!,0))</f>
        <v>#REF!</v>
      </c>
      <c r="AE62" t="e">
        <f t="shared" si="1"/>
        <v>#REF!</v>
      </c>
    </row>
    <row r="63" spans="2:31" ht="45" x14ac:dyDescent="0.25">
      <c r="B63" s="45" t="s">
        <v>1473</v>
      </c>
      <c r="C63" s="45" t="s">
        <v>162</v>
      </c>
      <c r="D63" s="45" t="s">
        <v>161</v>
      </c>
      <c r="E63" s="45">
        <v>110037</v>
      </c>
      <c r="F63" s="45">
        <v>1001</v>
      </c>
      <c r="G63" s="21">
        <v>11</v>
      </c>
      <c r="H63" s="21">
        <v>2</v>
      </c>
      <c r="I63" s="21" t="s">
        <v>147</v>
      </c>
      <c r="J63" s="21">
        <v>100000</v>
      </c>
      <c r="K63" s="21">
        <v>0</v>
      </c>
      <c r="L63" s="2"/>
      <c r="M63" s="64" t="s">
        <v>2248</v>
      </c>
      <c r="N63" s="42"/>
      <c r="P63" s="21"/>
      <c r="Q63" s="12"/>
      <c r="R63">
        <f t="shared" si="3"/>
        <v>1</v>
      </c>
      <c r="S63" s="21" t="s">
        <v>99</v>
      </c>
      <c r="T63" s="21" t="s">
        <v>99</v>
      </c>
      <c r="W63" t="e">
        <f>INDEX(#REF!,MATCH($E63,#REF!,0))</f>
        <v>#REF!</v>
      </c>
      <c r="X63" t="e">
        <f>INDEX(#REF!,MATCH($E63,#REF!,0))</f>
        <v>#REF!</v>
      </c>
      <c r="Y63" t="e">
        <f>INDEX(#REF!,MATCH($E63,#REF!,0))</f>
        <v>#REF!</v>
      </c>
      <c r="Z63" t="e">
        <f>INDEX(#REF!,MATCH($E63,#REF!,0))</f>
        <v>#REF!</v>
      </c>
      <c r="AA63" t="e">
        <f>INDEX(#REF!,MATCH($E63,#REF!,0))</f>
        <v>#REF!</v>
      </c>
      <c r="AB63" t="e">
        <f>INDEX(#REF!,MATCH($E63,#REF!,0))</f>
        <v>#REF!</v>
      </c>
      <c r="AC63" t="e">
        <f>INDEX(#REF!,MATCH($E63,#REF!,0))</f>
        <v>#REF!</v>
      </c>
      <c r="AD63" t="e">
        <f>INDEX(#REF!,MATCH($E63,#REF!,0))</f>
        <v>#REF!</v>
      </c>
      <c r="AE63" t="e">
        <f t="shared" si="1"/>
        <v>#REF!</v>
      </c>
    </row>
    <row r="64" spans="2:31" ht="45" x14ac:dyDescent="0.25">
      <c r="B64" s="45" t="s">
        <v>1474</v>
      </c>
      <c r="C64" s="45" t="s">
        <v>164</v>
      </c>
      <c r="D64" s="45" t="s">
        <v>163</v>
      </c>
      <c r="E64" s="45">
        <v>110038</v>
      </c>
      <c r="F64" s="45">
        <v>1001</v>
      </c>
      <c r="G64" s="21">
        <v>12</v>
      </c>
      <c r="H64" s="21">
        <v>2</v>
      </c>
      <c r="I64" s="21" t="s">
        <v>147</v>
      </c>
      <c r="J64" s="21">
        <v>100000</v>
      </c>
      <c r="K64" s="21">
        <v>0</v>
      </c>
      <c r="L64" s="2"/>
      <c r="M64" s="64" t="s">
        <v>2249</v>
      </c>
      <c r="N64" s="42"/>
      <c r="P64" s="21"/>
      <c r="Q64" s="12"/>
      <c r="R64">
        <f t="shared" si="3"/>
        <v>1</v>
      </c>
      <c r="S64" s="21" t="s">
        <v>99</v>
      </c>
      <c r="T64" s="21" t="s">
        <v>99</v>
      </c>
      <c r="W64" t="e">
        <f>INDEX(#REF!,MATCH($E64,#REF!,0))</f>
        <v>#REF!</v>
      </c>
      <c r="X64" t="e">
        <f>INDEX(#REF!,MATCH($E64,#REF!,0))</f>
        <v>#REF!</v>
      </c>
      <c r="Y64" t="e">
        <f>INDEX(#REF!,MATCH($E64,#REF!,0))</f>
        <v>#REF!</v>
      </c>
      <c r="Z64" t="e">
        <f>INDEX(#REF!,MATCH($E64,#REF!,0))</f>
        <v>#REF!</v>
      </c>
      <c r="AA64" t="e">
        <f>INDEX(#REF!,MATCH($E64,#REF!,0))</f>
        <v>#REF!</v>
      </c>
      <c r="AB64" t="e">
        <f>INDEX(#REF!,MATCH($E64,#REF!,0))</f>
        <v>#REF!</v>
      </c>
      <c r="AC64" t="e">
        <f>INDEX(#REF!,MATCH($E64,#REF!,0))</f>
        <v>#REF!</v>
      </c>
      <c r="AD64" t="e">
        <f>INDEX(#REF!,MATCH($E64,#REF!,0))</f>
        <v>#REF!</v>
      </c>
      <c r="AE64" t="e">
        <f t="shared" si="1"/>
        <v>#REF!</v>
      </c>
    </row>
    <row r="65" spans="2:31" x14ac:dyDescent="0.25">
      <c r="B65" s="45" t="s">
        <v>2994</v>
      </c>
      <c r="C65" s="45" t="s">
        <v>2993</v>
      </c>
      <c r="D65" s="45" t="s">
        <v>3322</v>
      </c>
      <c r="E65" s="45">
        <v>110041</v>
      </c>
      <c r="F65" s="45">
        <v>1001</v>
      </c>
      <c r="G65" s="21">
        <v>15</v>
      </c>
      <c r="H65" s="21">
        <v>2</v>
      </c>
      <c r="I65" s="21" t="s">
        <v>147</v>
      </c>
      <c r="J65" s="21">
        <v>100000</v>
      </c>
      <c r="K65" s="21">
        <v>0</v>
      </c>
      <c r="L65" s="2"/>
      <c r="M65" s="64"/>
      <c r="N65" s="42" t="s">
        <v>2790</v>
      </c>
      <c r="P65" s="21" t="s">
        <v>2999</v>
      </c>
      <c r="Q65" s="12" t="s">
        <v>2810</v>
      </c>
      <c r="R65">
        <f t="shared" si="3"/>
        <v>1</v>
      </c>
      <c r="S65" s="21"/>
      <c r="T65" s="21"/>
      <c r="W65" t="e">
        <f>INDEX(#REF!,MATCH($E65,#REF!,0))</f>
        <v>#REF!</v>
      </c>
      <c r="X65" t="e">
        <f>INDEX(#REF!,MATCH($E65,#REF!,0))</f>
        <v>#REF!</v>
      </c>
      <c r="Y65" t="e">
        <f>INDEX(#REF!,MATCH($E65,#REF!,0))</f>
        <v>#REF!</v>
      </c>
      <c r="Z65" t="e">
        <f>INDEX(#REF!,MATCH($E65,#REF!,0))</f>
        <v>#REF!</v>
      </c>
      <c r="AA65" t="e">
        <f>INDEX(#REF!,MATCH($E65,#REF!,0))</f>
        <v>#REF!</v>
      </c>
      <c r="AB65" t="e">
        <f>INDEX(#REF!,MATCH($E65,#REF!,0))</f>
        <v>#REF!</v>
      </c>
      <c r="AC65" t="e">
        <f>INDEX(#REF!,MATCH($E65,#REF!,0))</f>
        <v>#REF!</v>
      </c>
      <c r="AD65" t="e">
        <f>INDEX(#REF!,MATCH($E65,#REF!,0))</f>
        <v>#REF!</v>
      </c>
      <c r="AE65" t="e">
        <f t="shared" si="1"/>
        <v>#REF!</v>
      </c>
    </row>
    <row r="66" spans="2:31" x14ac:dyDescent="0.25">
      <c r="B66" s="45" t="s">
        <v>2996</v>
      </c>
      <c r="C66" s="45" t="s">
        <v>2995</v>
      </c>
      <c r="D66" s="45" t="s">
        <v>3325</v>
      </c>
      <c r="E66" s="45">
        <v>110042</v>
      </c>
      <c r="F66" s="45">
        <v>1001</v>
      </c>
      <c r="G66" s="21">
        <v>16</v>
      </c>
      <c r="H66" s="21">
        <v>2</v>
      </c>
      <c r="I66" s="21" t="s">
        <v>147</v>
      </c>
      <c r="J66" s="21">
        <v>100000</v>
      </c>
      <c r="K66" s="21">
        <v>0</v>
      </c>
      <c r="L66" s="2"/>
      <c r="M66" s="64"/>
      <c r="N66" s="42" t="s">
        <v>2791</v>
      </c>
      <c r="P66" s="21" t="s">
        <v>2999</v>
      </c>
      <c r="Q66" s="12" t="s">
        <v>2810</v>
      </c>
      <c r="R66">
        <f t="shared" si="3"/>
        <v>1</v>
      </c>
      <c r="S66" s="21"/>
      <c r="T66" s="21"/>
      <c r="W66" t="e">
        <f>INDEX(#REF!,MATCH($E66,#REF!,0))</f>
        <v>#REF!</v>
      </c>
      <c r="X66" t="e">
        <f>INDEX(#REF!,MATCH($E66,#REF!,0))</f>
        <v>#REF!</v>
      </c>
      <c r="Y66" t="e">
        <f>INDEX(#REF!,MATCH($E66,#REF!,0))</f>
        <v>#REF!</v>
      </c>
      <c r="Z66" t="e">
        <f>INDEX(#REF!,MATCH($E66,#REF!,0))</f>
        <v>#REF!</v>
      </c>
      <c r="AA66" t="e">
        <f>INDEX(#REF!,MATCH($E66,#REF!,0))</f>
        <v>#REF!</v>
      </c>
      <c r="AB66" t="e">
        <f>INDEX(#REF!,MATCH($E66,#REF!,0))</f>
        <v>#REF!</v>
      </c>
      <c r="AC66" t="e">
        <f>INDEX(#REF!,MATCH($E66,#REF!,0))</f>
        <v>#REF!</v>
      </c>
      <c r="AD66" t="e">
        <f>INDEX(#REF!,MATCH($E66,#REF!,0))</f>
        <v>#REF!</v>
      </c>
      <c r="AE66" t="e">
        <f t="shared" si="1"/>
        <v>#REF!</v>
      </c>
    </row>
    <row r="67" spans="2:31" x14ac:dyDescent="0.25">
      <c r="B67" s="45" t="s">
        <v>2998</v>
      </c>
      <c r="C67" s="45" t="s">
        <v>2997</v>
      </c>
      <c r="D67" s="45" t="s">
        <v>3326</v>
      </c>
      <c r="E67" s="45">
        <v>110043</v>
      </c>
      <c r="F67" s="45">
        <v>1001</v>
      </c>
      <c r="G67" s="21">
        <v>17</v>
      </c>
      <c r="H67" s="21">
        <v>2</v>
      </c>
      <c r="I67" s="21" t="s">
        <v>147</v>
      </c>
      <c r="J67" s="21">
        <v>100000</v>
      </c>
      <c r="K67" s="21">
        <v>0</v>
      </c>
      <c r="L67" s="2"/>
      <c r="M67" s="64"/>
      <c r="N67" s="42" t="s">
        <v>2792</v>
      </c>
      <c r="P67" s="21" t="s">
        <v>2999</v>
      </c>
      <c r="Q67" s="12" t="s">
        <v>2810</v>
      </c>
      <c r="R67">
        <f t="shared" si="3"/>
        <v>1</v>
      </c>
      <c r="S67" s="21"/>
      <c r="T67" s="21"/>
      <c r="W67" t="e">
        <f>INDEX(#REF!,MATCH($E67,#REF!,0))</f>
        <v>#REF!</v>
      </c>
      <c r="X67" t="e">
        <f>INDEX(#REF!,MATCH($E67,#REF!,0))</f>
        <v>#REF!</v>
      </c>
      <c r="Y67" t="e">
        <f>INDEX(#REF!,MATCH($E67,#REF!,0))</f>
        <v>#REF!</v>
      </c>
      <c r="Z67" t="e">
        <f>INDEX(#REF!,MATCH($E67,#REF!,0))</f>
        <v>#REF!</v>
      </c>
      <c r="AA67" t="e">
        <f>INDEX(#REF!,MATCH($E67,#REF!,0))</f>
        <v>#REF!</v>
      </c>
      <c r="AB67" t="e">
        <f>INDEX(#REF!,MATCH($E67,#REF!,0))</f>
        <v>#REF!</v>
      </c>
      <c r="AC67" t="e">
        <f>INDEX(#REF!,MATCH($E67,#REF!,0))</f>
        <v>#REF!</v>
      </c>
      <c r="AD67" t="e">
        <f>INDEX(#REF!,MATCH($E67,#REF!,0))</f>
        <v>#REF!</v>
      </c>
      <c r="AE67" t="e">
        <f t="shared" si="1"/>
        <v>#REF!</v>
      </c>
    </row>
    <row r="68" spans="2:31" x14ac:dyDescent="0.25">
      <c r="B68" s="89" t="s">
        <v>3227</v>
      </c>
      <c r="C68" s="89" t="s">
        <v>3226</v>
      </c>
      <c r="D68" s="89" t="s">
        <v>3528</v>
      </c>
      <c r="E68" s="89">
        <v>110044</v>
      </c>
      <c r="F68" s="89">
        <v>1001</v>
      </c>
      <c r="G68" s="90">
        <v>18</v>
      </c>
      <c r="H68" s="90">
        <v>2</v>
      </c>
      <c r="I68" s="90" t="s">
        <v>18</v>
      </c>
      <c r="J68" s="90">
        <v>1</v>
      </c>
      <c r="K68" s="90" t="s">
        <v>2509</v>
      </c>
      <c r="L68" s="91">
        <v>415</v>
      </c>
      <c r="M68" s="92"/>
      <c r="N68" s="93"/>
      <c r="O68" s="94"/>
      <c r="P68" s="90" t="s">
        <v>3525</v>
      </c>
      <c r="Q68" s="95" t="s">
        <v>3526</v>
      </c>
      <c r="S68" s="21"/>
      <c r="T68" s="21"/>
    </row>
    <row r="69" spans="2:31" x14ac:dyDescent="0.25">
      <c r="B69" s="89" t="s">
        <v>3229</v>
      </c>
      <c r="C69" s="89" t="s">
        <v>3228</v>
      </c>
      <c r="D69" s="89" t="s">
        <v>3529</v>
      </c>
      <c r="E69" s="89">
        <v>110045</v>
      </c>
      <c r="F69" s="89">
        <v>1001</v>
      </c>
      <c r="G69" s="90">
        <v>19</v>
      </c>
      <c r="H69" s="90">
        <v>2</v>
      </c>
      <c r="I69" s="90" t="s">
        <v>18</v>
      </c>
      <c r="J69" s="90">
        <v>1</v>
      </c>
      <c r="K69" s="90" t="s">
        <v>2509</v>
      </c>
      <c r="L69" s="91">
        <v>416</v>
      </c>
      <c r="M69" s="92"/>
      <c r="N69" s="93"/>
      <c r="O69" s="94"/>
      <c r="P69" s="90" t="s">
        <v>3525</v>
      </c>
      <c r="Q69" s="95" t="s">
        <v>3526</v>
      </c>
      <c r="S69" s="21"/>
      <c r="T69" s="21"/>
    </row>
    <row r="70" spans="2:31" x14ac:dyDescent="0.25">
      <c r="B70" s="45" t="s">
        <v>1475</v>
      </c>
      <c r="C70" s="45" t="s">
        <v>166</v>
      </c>
      <c r="D70" s="45" t="s">
        <v>165</v>
      </c>
      <c r="E70" s="45">
        <v>110046</v>
      </c>
      <c r="F70" s="45">
        <v>1001</v>
      </c>
      <c r="G70" s="21">
        <v>20</v>
      </c>
      <c r="H70" s="21">
        <v>2</v>
      </c>
      <c r="I70" s="21" t="s">
        <v>147</v>
      </c>
      <c r="J70" s="21">
        <v>100000</v>
      </c>
      <c r="K70" s="21">
        <v>0</v>
      </c>
      <c r="L70" s="2"/>
      <c r="M70" s="64" t="s">
        <v>1154</v>
      </c>
      <c r="N70" s="42"/>
      <c r="P70" s="21"/>
      <c r="Q70" s="12"/>
      <c r="R70">
        <f t="shared" ref="R70:R75" si="4">COUNTIF(C:C,C70)</f>
        <v>1</v>
      </c>
      <c r="S70" s="21" t="s">
        <v>99</v>
      </c>
      <c r="T70" s="21" t="s">
        <v>99</v>
      </c>
      <c r="W70" t="e">
        <f>INDEX(#REF!,MATCH($E70,#REF!,0))</f>
        <v>#REF!</v>
      </c>
      <c r="X70" t="e">
        <f>INDEX(#REF!,MATCH($E70,#REF!,0))</f>
        <v>#REF!</v>
      </c>
      <c r="Y70" t="e">
        <f>INDEX(#REF!,MATCH($E70,#REF!,0))</f>
        <v>#REF!</v>
      </c>
      <c r="Z70" t="e">
        <f>INDEX(#REF!,MATCH($E70,#REF!,0))</f>
        <v>#REF!</v>
      </c>
      <c r="AA70" t="e">
        <f>INDEX(#REF!,MATCH($E70,#REF!,0))</f>
        <v>#REF!</v>
      </c>
      <c r="AB70" t="e">
        <f>INDEX(#REF!,MATCH($E70,#REF!,0))</f>
        <v>#REF!</v>
      </c>
      <c r="AC70" t="e">
        <f>INDEX(#REF!,MATCH($E70,#REF!,0))</f>
        <v>#REF!</v>
      </c>
      <c r="AD70" t="e">
        <f>INDEX(#REF!,MATCH($E70,#REF!,0))</f>
        <v>#REF!</v>
      </c>
      <c r="AE70" t="e">
        <f t="shared" si="1"/>
        <v>#REF!</v>
      </c>
    </row>
    <row r="71" spans="2:31" x14ac:dyDescent="0.25">
      <c r="B71" s="45" t="s">
        <v>1476</v>
      </c>
      <c r="C71" s="45" t="s">
        <v>168</v>
      </c>
      <c r="D71" s="45" t="s">
        <v>167</v>
      </c>
      <c r="E71" s="45">
        <v>110049</v>
      </c>
      <c r="F71" s="45">
        <v>1001</v>
      </c>
      <c r="G71" s="21">
        <v>23</v>
      </c>
      <c r="H71" s="21">
        <v>2</v>
      </c>
      <c r="I71" s="21" t="s">
        <v>147</v>
      </c>
      <c r="J71" s="21">
        <v>100000</v>
      </c>
      <c r="K71" s="21">
        <v>0</v>
      </c>
      <c r="L71" s="2"/>
      <c r="M71" s="64" t="s">
        <v>1155</v>
      </c>
      <c r="N71" s="42"/>
      <c r="P71" s="21"/>
      <c r="Q71" s="12"/>
      <c r="R71">
        <f t="shared" si="4"/>
        <v>1</v>
      </c>
      <c r="S71" s="21" t="s">
        <v>99</v>
      </c>
      <c r="T71" s="21" t="s">
        <v>99</v>
      </c>
      <c r="W71" t="e">
        <f>INDEX(#REF!,MATCH($E71,#REF!,0))</f>
        <v>#REF!</v>
      </c>
      <c r="X71" t="e">
        <f>INDEX(#REF!,MATCH($E71,#REF!,0))</f>
        <v>#REF!</v>
      </c>
      <c r="Y71" t="e">
        <f>INDEX(#REF!,MATCH($E71,#REF!,0))</f>
        <v>#REF!</v>
      </c>
      <c r="Z71" t="e">
        <f>INDEX(#REF!,MATCH($E71,#REF!,0))</f>
        <v>#REF!</v>
      </c>
      <c r="AA71" t="e">
        <f>INDEX(#REF!,MATCH($E71,#REF!,0))</f>
        <v>#REF!</v>
      </c>
      <c r="AB71" t="e">
        <f>INDEX(#REF!,MATCH($E71,#REF!,0))</f>
        <v>#REF!</v>
      </c>
      <c r="AC71" t="e">
        <f>INDEX(#REF!,MATCH($E71,#REF!,0))</f>
        <v>#REF!</v>
      </c>
      <c r="AD71" t="e">
        <f>INDEX(#REF!,MATCH($E71,#REF!,0))</f>
        <v>#REF!</v>
      </c>
      <c r="AE71" t="e">
        <f t="shared" si="1"/>
        <v>#REF!</v>
      </c>
    </row>
    <row r="72" spans="2:31" x14ac:dyDescent="0.25">
      <c r="B72" s="45" t="s">
        <v>1477</v>
      </c>
      <c r="C72" s="45" t="s">
        <v>170</v>
      </c>
      <c r="D72" s="45" t="s">
        <v>169</v>
      </c>
      <c r="E72" s="45">
        <v>110051</v>
      </c>
      <c r="F72" s="45">
        <v>1002</v>
      </c>
      <c r="G72" s="21">
        <v>0</v>
      </c>
      <c r="H72" s="21">
        <v>2</v>
      </c>
      <c r="I72" s="21" t="s">
        <v>147</v>
      </c>
      <c r="J72" s="21">
        <v>100000</v>
      </c>
      <c r="K72" s="21">
        <v>0</v>
      </c>
      <c r="L72" s="2"/>
      <c r="M72" s="64" t="s">
        <v>1156</v>
      </c>
      <c r="N72" s="42"/>
      <c r="P72" s="21"/>
      <c r="Q72" s="12"/>
      <c r="R72">
        <f t="shared" si="4"/>
        <v>1</v>
      </c>
      <c r="S72" s="21" t="s">
        <v>99</v>
      </c>
      <c r="T72" s="21" t="s">
        <v>99</v>
      </c>
      <c r="W72" t="e">
        <f>INDEX(#REF!,MATCH($E72,#REF!,0))</f>
        <v>#REF!</v>
      </c>
      <c r="X72" t="e">
        <f>INDEX(#REF!,MATCH($E72,#REF!,0))</f>
        <v>#REF!</v>
      </c>
      <c r="Y72" t="e">
        <f>INDEX(#REF!,MATCH($E72,#REF!,0))</f>
        <v>#REF!</v>
      </c>
      <c r="Z72" t="e">
        <f>INDEX(#REF!,MATCH($E72,#REF!,0))</f>
        <v>#REF!</v>
      </c>
      <c r="AA72" t="e">
        <f>INDEX(#REF!,MATCH($E72,#REF!,0))</f>
        <v>#REF!</v>
      </c>
      <c r="AB72" t="e">
        <f>INDEX(#REF!,MATCH($E72,#REF!,0))</f>
        <v>#REF!</v>
      </c>
      <c r="AC72" t="e">
        <f>INDEX(#REF!,MATCH($E72,#REF!,0))</f>
        <v>#REF!</v>
      </c>
      <c r="AD72" t="e">
        <f>INDEX(#REF!,MATCH($E72,#REF!,0))</f>
        <v>#REF!</v>
      </c>
      <c r="AE72" t="e">
        <f t="shared" si="1"/>
        <v>#REF!</v>
      </c>
    </row>
    <row r="73" spans="2:31" x14ac:dyDescent="0.25">
      <c r="B73" s="45" t="s">
        <v>1478</v>
      </c>
      <c r="C73" s="45" t="s">
        <v>172</v>
      </c>
      <c r="D73" s="45" t="s">
        <v>171</v>
      </c>
      <c r="E73" s="45">
        <v>110053</v>
      </c>
      <c r="F73" s="45">
        <v>1002</v>
      </c>
      <c r="G73" s="21">
        <v>2</v>
      </c>
      <c r="H73" s="21">
        <v>2</v>
      </c>
      <c r="I73" s="21" t="s">
        <v>147</v>
      </c>
      <c r="J73" s="21">
        <v>100000</v>
      </c>
      <c r="K73" s="21">
        <v>0</v>
      </c>
      <c r="L73" s="2"/>
      <c r="M73" s="64" t="s">
        <v>1157</v>
      </c>
      <c r="N73" s="42"/>
      <c r="P73" s="21"/>
      <c r="Q73" s="12"/>
      <c r="R73">
        <f t="shared" si="4"/>
        <v>1</v>
      </c>
      <c r="S73" s="21" t="s">
        <v>99</v>
      </c>
      <c r="T73" s="21" t="s">
        <v>99</v>
      </c>
      <c r="W73" t="e">
        <f>INDEX(#REF!,MATCH($E73,#REF!,0))</f>
        <v>#REF!</v>
      </c>
      <c r="X73" t="e">
        <f>INDEX(#REF!,MATCH($E73,#REF!,0))</f>
        <v>#REF!</v>
      </c>
      <c r="Y73" t="e">
        <f>INDEX(#REF!,MATCH($E73,#REF!,0))</f>
        <v>#REF!</v>
      </c>
      <c r="Z73" t="e">
        <f>INDEX(#REF!,MATCH($E73,#REF!,0))</f>
        <v>#REF!</v>
      </c>
      <c r="AA73" t="e">
        <f>INDEX(#REF!,MATCH($E73,#REF!,0))</f>
        <v>#REF!</v>
      </c>
      <c r="AB73" t="e">
        <f>INDEX(#REF!,MATCH($E73,#REF!,0))</f>
        <v>#REF!</v>
      </c>
      <c r="AC73" t="e">
        <f>INDEX(#REF!,MATCH($E73,#REF!,0))</f>
        <v>#REF!</v>
      </c>
      <c r="AD73" t="e">
        <f>INDEX(#REF!,MATCH($E73,#REF!,0))</f>
        <v>#REF!</v>
      </c>
      <c r="AE73" t="e">
        <f t="shared" ref="AE73:AE146" si="5">AND(X73=F73,G73=Y73,AC73=J73,AD73=H73)</f>
        <v>#REF!</v>
      </c>
    </row>
    <row r="74" spans="2:31" x14ac:dyDescent="0.25">
      <c r="B74" s="45" t="s">
        <v>1479</v>
      </c>
      <c r="C74" s="45" t="s">
        <v>174</v>
      </c>
      <c r="D74" s="45" t="s">
        <v>173</v>
      </c>
      <c r="E74" s="45">
        <v>110057</v>
      </c>
      <c r="F74" s="45">
        <v>1002</v>
      </c>
      <c r="G74" s="21">
        <v>6</v>
      </c>
      <c r="H74" s="21">
        <v>2</v>
      </c>
      <c r="I74" s="21" t="s">
        <v>175</v>
      </c>
      <c r="J74" s="21">
        <v>10000</v>
      </c>
      <c r="K74" s="21">
        <v>0</v>
      </c>
      <c r="L74" s="2"/>
      <c r="M74" s="64" t="s">
        <v>1158</v>
      </c>
      <c r="N74" s="42"/>
      <c r="P74" s="21"/>
      <c r="Q74" s="12"/>
      <c r="R74">
        <f t="shared" si="4"/>
        <v>1</v>
      </c>
      <c r="S74" s="21" t="s">
        <v>99</v>
      </c>
      <c r="T74" s="21" t="s">
        <v>99</v>
      </c>
      <c r="W74" t="e">
        <f>INDEX(#REF!,MATCH($E74,#REF!,0))</f>
        <v>#REF!</v>
      </c>
      <c r="X74" t="e">
        <f>INDEX(#REF!,MATCH($E74,#REF!,0))</f>
        <v>#REF!</v>
      </c>
      <c r="Y74" t="e">
        <f>INDEX(#REF!,MATCH($E74,#REF!,0))</f>
        <v>#REF!</v>
      </c>
      <c r="Z74" t="e">
        <f>INDEX(#REF!,MATCH($E74,#REF!,0))</f>
        <v>#REF!</v>
      </c>
      <c r="AA74" t="e">
        <f>INDEX(#REF!,MATCH($E74,#REF!,0))</f>
        <v>#REF!</v>
      </c>
      <c r="AB74" t="e">
        <f>INDEX(#REF!,MATCH($E74,#REF!,0))</f>
        <v>#REF!</v>
      </c>
      <c r="AC74" t="e">
        <f>INDEX(#REF!,MATCH($E74,#REF!,0))</f>
        <v>#REF!</v>
      </c>
      <c r="AD74" t="e">
        <f>INDEX(#REF!,MATCH($E74,#REF!,0))</f>
        <v>#REF!</v>
      </c>
      <c r="AE74" t="e">
        <f t="shared" si="5"/>
        <v>#REF!</v>
      </c>
    </row>
    <row r="75" spans="2:31" x14ac:dyDescent="0.25">
      <c r="B75" s="45" t="s">
        <v>1480</v>
      </c>
      <c r="C75" s="45" t="s">
        <v>177</v>
      </c>
      <c r="D75" s="45" t="s">
        <v>176</v>
      </c>
      <c r="E75" s="45">
        <v>110059</v>
      </c>
      <c r="F75" s="45">
        <v>1002</v>
      </c>
      <c r="G75" s="21">
        <v>8</v>
      </c>
      <c r="H75" s="21">
        <v>2</v>
      </c>
      <c r="I75" s="21" t="s">
        <v>175</v>
      </c>
      <c r="J75" s="21">
        <v>10000</v>
      </c>
      <c r="K75" s="21">
        <v>0</v>
      </c>
      <c r="L75" s="2"/>
      <c r="M75" s="64" t="s">
        <v>1159</v>
      </c>
      <c r="N75" s="42"/>
      <c r="P75" s="21"/>
      <c r="Q75" s="12"/>
      <c r="R75">
        <f t="shared" si="4"/>
        <v>1</v>
      </c>
      <c r="S75" s="21" t="s">
        <v>99</v>
      </c>
      <c r="T75" s="21" t="s">
        <v>99</v>
      </c>
      <c r="W75" t="e">
        <f>INDEX(#REF!,MATCH($E75,#REF!,0))</f>
        <v>#REF!</v>
      </c>
      <c r="X75" t="e">
        <f>INDEX(#REF!,MATCH($E75,#REF!,0))</f>
        <v>#REF!</v>
      </c>
      <c r="Y75" t="e">
        <f>INDEX(#REF!,MATCH($E75,#REF!,0))</f>
        <v>#REF!</v>
      </c>
      <c r="Z75" t="e">
        <f>INDEX(#REF!,MATCH($E75,#REF!,0))</f>
        <v>#REF!</v>
      </c>
      <c r="AA75" t="e">
        <f>INDEX(#REF!,MATCH($E75,#REF!,0))</f>
        <v>#REF!</v>
      </c>
      <c r="AB75" t="e">
        <f>INDEX(#REF!,MATCH($E75,#REF!,0))</f>
        <v>#REF!</v>
      </c>
      <c r="AC75" t="e">
        <f>INDEX(#REF!,MATCH($E75,#REF!,0))</f>
        <v>#REF!</v>
      </c>
      <c r="AD75" t="e">
        <f>INDEX(#REF!,MATCH($E75,#REF!,0))</f>
        <v>#REF!</v>
      </c>
      <c r="AE75" t="e">
        <f t="shared" si="5"/>
        <v>#REF!</v>
      </c>
    </row>
    <row r="76" spans="2:31" x14ac:dyDescent="0.25">
      <c r="B76" s="89" t="s">
        <v>3213</v>
      </c>
      <c r="C76" s="89" t="s">
        <v>3212</v>
      </c>
      <c r="D76" s="89" t="s">
        <v>3530</v>
      </c>
      <c r="E76" s="89">
        <v>110060</v>
      </c>
      <c r="F76" s="89">
        <v>1002</v>
      </c>
      <c r="G76" s="90">
        <v>9</v>
      </c>
      <c r="H76" s="90">
        <v>2</v>
      </c>
      <c r="I76" s="90" t="s">
        <v>18</v>
      </c>
      <c r="J76" s="90">
        <v>1</v>
      </c>
      <c r="K76" s="90" t="s">
        <v>2509</v>
      </c>
      <c r="L76" s="91">
        <v>36</v>
      </c>
      <c r="M76" s="92"/>
      <c r="N76" s="93"/>
      <c r="O76" s="94"/>
      <c r="P76" s="90" t="s">
        <v>3525</v>
      </c>
      <c r="Q76" s="95" t="s">
        <v>3526</v>
      </c>
      <c r="S76" s="21"/>
      <c r="T76" s="21"/>
    </row>
    <row r="77" spans="2:31" x14ac:dyDescent="0.25">
      <c r="B77" s="45" t="s">
        <v>1481</v>
      </c>
      <c r="C77" s="45" t="s">
        <v>179</v>
      </c>
      <c r="D77" s="45" t="s">
        <v>178</v>
      </c>
      <c r="E77" s="45">
        <v>110061</v>
      </c>
      <c r="F77" s="45">
        <v>1002</v>
      </c>
      <c r="G77" s="21">
        <v>10</v>
      </c>
      <c r="H77" s="21">
        <v>2</v>
      </c>
      <c r="I77" s="21" t="s">
        <v>18</v>
      </c>
      <c r="J77" s="21">
        <v>1</v>
      </c>
      <c r="K77" s="21">
        <v>0</v>
      </c>
      <c r="L77" s="2"/>
      <c r="M77" s="64" t="s">
        <v>1160</v>
      </c>
      <c r="N77" s="42"/>
      <c r="P77" s="21"/>
      <c r="Q77" s="12"/>
      <c r="R77">
        <f>COUNTIF(C:C,C77)</f>
        <v>1</v>
      </c>
      <c r="S77" s="21" t="s">
        <v>99</v>
      </c>
      <c r="T77" s="21" t="s">
        <v>99</v>
      </c>
      <c r="W77" t="e">
        <f>INDEX(#REF!,MATCH($E77,#REF!,0))</f>
        <v>#REF!</v>
      </c>
      <c r="X77" t="e">
        <f>INDEX(#REF!,MATCH($E77,#REF!,0))</f>
        <v>#REF!</v>
      </c>
      <c r="Y77" t="e">
        <f>INDEX(#REF!,MATCH($E77,#REF!,0))</f>
        <v>#REF!</v>
      </c>
      <c r="Z77" t="e">
        <f>INDEX(#REF!,MATCH($E77,#REF!,0))</f>
        <v>#REF!</v>
      </c>
      <c r="AA77" t="e">
        <f>INDEX(#REF!,MATCH($E77,#REF!,0))</f>
        <v>#REF!</v>
      </c>
      <c r="AB77" t="e">
        <f>INDEX(#REF!,MATCH($E77,#REF!,0))</f>
        <v>#REF!</v>
      </c>
      <c r="AC77" t="e">
        <f>INDEX(#REF!,MATCH($E77,#REF!,0))</f>
        <v>#REF!</v>
      </c>
      <c r="AD77" t="e">
        <f>INDEX(#REF!,MATCH($E77,#REF!,0))</f>
        <v>#REF!</v>
      </c>
      <c r="AE77" t="e">
        <f t="shared" si="5"/>
        <v>#REF!</v>
      </c>
    </row>
    <row r="78" spans="2:31" x14ac:dyDescent="0.25">
      <c r="B78" s="45" t="s">
        <v>1482</v>
      </c>
      <c r="C78" s="45" t="s">
        <v>181</v>
      </c>
      <c r="D78" s="45" t="s">
        <v>180</v>
      </c>
      <c r="E78" s="45">
        <v>110062</v>
      </c>
      <c r="F78" s="45">
        <v>1002</v>
      </c>
      <c r="G78" s="21">
        <v>11</v>
      </c>
      <c r="H78" s="21">
        <v>2</v>
      </c>
      <c r="I78" s="21" t="s">
        <v>18</v>
      </c>
      <c r="J78" s="21">
        <v>1</v>
      </c>
      <c r="K78" s="21">
        <v>0</v>
      </c>
      <c r="L78" s="2"/>
      <c r="M78" s="64" t="s">
        <v>1161</v>
      </c>
      <c r="N78" s="42"/>
      <c r="P78" s="21"/>
      <c r="Q78" s="12"/>
      <c r="R78">
        <f>COUNTIF(C:C,C78)</f>
        <v>1</v>
      </c>
      <c r="S78" s="21" t="s">
        <v>99</v>
      </c>
      <c r="T78" s="21" t="s">
        <v>99</v>
      </c>
      <c r="W78" t="e">
        <f>INDEX(#REF!,MATCH($E78,#REF!,0))</f>
        <v>#REF!</v>
      </c>
      <c r="X78" t="e">
        <f>INDEX(#REF!,MATCH($E78,#REF!,0))</f>
        <v>#REF!</v>
      </c>
      <c r="Y78" t="e">
        <f>INDEX(#REF!,MATCH($E78,#REF!,0))</f>
        <v>#REF!</v>
      </c>
      <c r="Z78" t="e">
        <f>INDEX(#REF!,MATCH($E78,#REF!,0))</f>
        <v>#REF!</v>
      </c>
      <c r="AA78" t="e">
        <f>INDEX(#REF!,MATCH($E78,#REF!,0))</f>
        <v>#REF!</v>
      </c>
      <c r="AB78" t="e">
        <f>INDEX(#REF!,MATCH($E78,#REF!,0))</f>
        <v>#REF!</v>
      </c>
      <c r="AC78" t="e">
        <f>INDEX(#REF!,MATCH($E78,#REF!,0))</f>
        <v>#REF!</v>
      </c>
      <c r="AD78" t="e">
        <f>INDEX(#REF!,MATCH($E78,#REF!,0))</f>
        <v>#REF!</v>
      </c>
      <c r="AE78" t="e">
        <f t="shared" si="5"/>
        <v>#REF!</v>
      </c>
    </row>
    <row r="79" spans="2:31" x14ac:dyDescent="0.25">
      <c r="B79" s="45" t="s">
        <v>1483</v>
      </c>
      <c r="C79" s="45" t="s">
        <v>183</v>
      </c>
      <c r="D79" s="45" t="s">
        <v>182</v>
      </c>
      <c r="E79" s="45">
        <v>110063</v>
      </c>
      <c r="F79" s="45">
        <v>1002</v>
      </c>
      <c r="G79" s="21">
        <v>12</v>
      </c>
      <c r="H79" s="21">
        <v>2</v>
      </c>
      <c r="I79" s="21" t="s">
        <v>184</v>
      </c>
      <c r="J79" s="21">
        <v>1</v>
      </c>
      <c r="K79" s="21">
        <v>0</v>
      </c>
      <c r="L79" s="2"/>
      <c r="M79" s="64" t="s">
        <v>1162</v>
      </c>
      <c r="N79" s="42"/>
      <c r="P79" s="21"/>
      <c r="Q79" s="12"/>
      <c r="R79">
        <f>COUNTIF(C:C,C79)</f>
        <v>1</v>
      </c>
      <c r="S79" s="21" t="s">
        <v>99</v>
      </c>
      <c r="T79" s="21" t="s">
        <v>99</v>
      </c>
      <c r="W79" t="e">
        <f>INDEX(#REF!,MATCH($E79,#REF!,0))</f>
        <v>#REF!</v>
      </c>
      <c r="X79" t="e">
        <f>INDEX(#REF!,MATCH($E79,#REF!,0))</f>
        <v>#REF!</v>
      </c>
      <c r="Y79" t="e">
        <f>INDEX(#REF!,MATCH($E79,#REF!,0))</f>
        <v>#REF!</v>
      </c>
      <c r="Z79" t="e">
        <f>INDEX(#REF!,MATCH($E79,#REF!,0))</f>
        <v>#REF!</v>
      </c>
      <c r="AA79" t="e">
        <f>INDEX(#REF!,MATCH($E79,#REF!,0))</f>
        <v>#REF!</v>
      </c>
      <c r="AB79" t="e">
        <f>INDEX(#REF!,MATCH($E79,#REF!,0))</f>
        <v>#REF!</v>
      </c>
      <c r="AC79" t="e">
        <f>INDEX(#REF!,MATCH($E79,#REF!,0))</f>
        <v>#REF!</v>
      </c>
      <c r="AD79" t="e">
        <f>INDEX(#REF!,MATCH($E79,#REF!,0))</f>
        <v>#REF!</v>
      </c>
      <c r="AE79" t="e">
        <f t="shared" si="5"/>
        <v>#REF!</v>
      </c>
    </row>
    <row r="80" spans="2:31" x14ac:dyDescent="0.25">
      <c r="B80" s="98" t="s">
        <v>3556</v>
      </c>
      <c r="C80" s="98" t="s">
        <v>3557</v>
      </c>
      <c r="D80" s="98" t="s">
        <v>3556</v>
      </c>
      <c r="E80" s="98">
        <v>110064</v>
      </c>
      <c r="F80" s="98">
        <v>1002</v>
      </c>
      <c r="G80" s="99">
        <v>13</v>
      </c>
      <c r="H80" s="99">
        <v>2</v>
      </c>
      <c r="I80" s="99" t="s">
        <v>18</v>
      </c>
      <c r="J80" s="99">
        <v>1</v>
      </c>
      <c r="K80" s="99" t="s">
        <v>2509</v>
      </c>
      <c r="L80" s="100">
        <v>83</v>
      </c>
      <c r="M80" s="101"/>
      <c r="N80" s="102"/>
      <c r="O80" s="103"/>
      <c r="P80" s="99" t="s">
        <v>3525</v>
      </c>
      <c r="Q80" s="104" t="s">
        <v>3526</v>
      </c>
      <c r="S80" s="21"/>
      <c r="T80" s="21"/>
      <c r="AC80" t="e">
        <f>INDEX(#REF!,MATCH($E80,#REF!,0))</f>
        <v>#REF!</v>
      </c>
      <c r="AD80" t="e">
        <f>INDEX(#REF!,MATCH($E80,#REF!,0))</f>
        <v>#REF!</v>
      </c>
    </row>
    <row r="81" spans="2:31" x14ac:dyDescent="0.25">
      <c r="B81" s="98" t="s">
        <v>3558</v>
      </c>
      <c r="C81" s="98" t="s">
        <v>3559</v>
      </c>
      <c r="D81" s="98" t="s">
        <v>3558</v>
      </c>
      <c r="E81" s="98">
        <v>110065</v>
      </c>
      <c r="F81" s="98">
        <v>1002</v>
      </c>
      <c r="G81" s="99">
        <v>14</v>
      </c>
      <c r="H81" s="99">
        <v>2</v>
      </c>
      <c r="I81" s="99" t="s">
        <v>18</v>
      </c>
      <c r="J81" s="99">
        <v>1</v>
      </c>
      <c r="K81" s="99" t="s">
        <v>2509</v>
      </c>
      <c r="L81" s="100">
        <v>82</v>
      </c>
      <c r="M81" s="101"/>
      <c r="N81" s="102"/>
      <c r="O81" s="103"/>
      <c r="P81" s="99" t="s">
        <v>3525</v>
      </c>
      <c r="Q81" s="104" t="s">
        <v>3526</v>
      </c>
      <c r="S81" s="21"/>
      <c r="T81" s="21"/>
    </row>
    <row r="82" spans="2:31" x14ac:dyDescent="0.25">
      <c r="B82" s="45" t="s">
        <v>1484</v>
      </c>
      <c r="C82" s="45" t="s">
        <v>186</v>
      </c>
      <c r="D82" s="45" t="s">
        <v>185</v>
      </c>
      <c r="E82" s="45">
        <v>110066</v>
      </c>
      <c r="F82" s="45">
        <v>1002</v>
      </c>
      <c r="G82" s="21">
        <v>15</v>
      </c>
      <c r="H82" s="21">
        <v>2</v>
      </c>
      <c r="I82" s="21" t="s">
        <v>18</v>
      </c>
      <c r="J82" s="21">
        <v>1</v>
      </c>
      <c r="K82" s="21">
        <v>0</v>
      </c>
      <c r="L82" s="2"/>
      <c r="M82" s="64" t="s">
        <v>1163</v>
      </c>
      <c r="N82" s="42"/>
      <c r="P82" s="21"/>
      <c r="Q82" s="12"/>
      <c r="R82">
        <f>COUNTIF(C:C,C82)</f>
        <v>1</v>
      </c>
      <c r="S82" s="21" t="s">
        <v>99</v>
      </c>
      <c r="T82" s="21" t="s">
        <v>99</v>
      </c>
      <c r="W82" t="e">
        <f>INDEX(#REF!,MATCH($E82,#REF!,0))</f>
        <v>#REF!</v>
      </c>
      <c r="X82" t="e">
        <f>INDEX(#REF!,MATCH($E82,#REF!,0))</f>
        <v>#REF!</v>
      </c>
      <c r="Y82" t="e">
        <f>INDEX(#REF!,MATCH($E82,#REF!,0))</f>
        <v>#REF!</v>
      </c>
      <c r="Z82" t="e">
        <f>INDEX(#REF!,MATCH($E82,#REF!,0))</f>
        <v>#REF!</v>
      </c>
      <c r="AA82" t="e">
        <f>INDEX(#REF!,MATCH($E82,#REF!,0))</f>
        <v>#REF!</v>
      </c>
      <c r="AB82" t="e">
        <f>INDEX(#REF!,MATCH($E82,#REF!,0))</f>
        <v>#REF!</v>
      </c>
      <c r="AC82" t="e">
        <f>INDEX(#REF!,MATCH($E82,#REF!,0))</f>
        <v>#REF!</v>
      </c>
      <c r="AD82" t="e">
        <f>INDEX(#REF!,MATCH($E82,#REF!,0))</f>
        <v>#REF!</v>
      </c>
      <c r="AE82" t="e">
        <f t="shared" si="5"/>
        <v>#REF!</v>
      </c>
    </row>
    <row r="83" spans="2:31" x14ac:dyDescent="0.25">
      <c r="B83" s="45" t="s">
        <v>1485</v>
      </c>
      <c r="C83" s="45" t="s">
        <v>188</v>
      </c>
      <c r="D83" s="45" t="s">
        <v>187</v>
      </c>
      <c r="E83" s="45">
        <v>110068</v>
      </c>
      <c r="F83" s="45">
        <v>1002</v>
      </c>
      <c r="G83" s="21">
        <v>17</v>
      </c>
      <c r="H83" s="21">
        <v>2</v>
      </c>
      <c r="I83" s="21" t="s">
        <v>18</v>
      </c>
      <c r="J83" s="21">
        <v>1</v>
      </c>
      <c r="K83" s="21">
        <v>0</v>
      </c>
      <c r="L83" s="2"/>
      <c r="M83" s="64" t="s">
        <v>1164</v>
      </c>
      <c r="N83" s="42"/>
      <c r="P83" s="21"/>
      <c r="Q83" s="12"/>
      <c r="R83">
        <f>COUNTIF(C:C,C83)</f>
        <v>1</v>
      </c>
      <c r="S83" s="21" t="s">
        <v>99</v>
      </c>
      <c r="T83" s="21" t="s">
        <v>99</v>
      </c>
      <c r="W83" t="e">
        <f>INDEX(#REF!,MATCH($E83,#REF!,0))</f>
        <v>#REF!</v>
      </c>
      <c r="X83" t="e">
        <f>INDEX(#REF!,MATCH($E83,#REF!,0))</f>
        <v>#REF!</v>
      </c>
      <c r="Y83" t="e">
        <f>INDEX(#REF!,MATCH($E83,#REF!,0))</f>
        <v>#REF!</v>
      </c>
      <c r="Z83" t="e">
        <f>INDEX(#REF!,MATCH($E83,#REF!,0))</f>
        <v>#REF!</v>
      </c>
      <c r="AA83" t="e">
        <f>INDEX(#REF!,MATCH($E83,#REF!,0))</f>
        <v>#REF!</v>
      </c>
      <c r="AB83" t="e">
        <f>INDEX(#REF!,MATCH($E83,#REF!,0))</f>
        <v>#REF!</v>
      </c>
      <c r="AC83" t="e">
        <f>INDEX(#REF!,MATCH($E83,#REF!,0))</f>
        <v>#REF!</v>
      </c>
      <c r="AD83" t="e">
        <f>INDEX(#REF!,MATCH($E83,#REF!,0))</f>
        <v>#REF!</v>
      </c>
      <c r="AE83" t="e">
        <f t="shared" si="5"/>
        <v>#REF!</v>
      </c>
    </row>
    <row r="84" spans="2:31" x14ac:dyDescent="0.25">
      <c r="B84" s="45" t="s">
        <v>1486</v>
      </c>
      <c r="C84" s="45" t="s">
        <v>190</v>
      </c>
      <c r="D84" s="45" t="s">
        <v>189</v>
      </c>
      <c r="E84" s="45">
        <v>110069</v>
      </c>
      <c r="F84" s="45">
        <v>1002</v>
      </c>
      <c r="G84" s="21">
        <v>18</v>
      </c>
      <c r="H84" s="21">
        <v>2</v>
      </c>
      <c r="I84" s="21" t="s">
        <v>18</v>
      </c>
      <c r="J84" s="21">
        <v>1</v>
      </c>
      <c r="K84" s="21">
        <v>0</v>
      </c>
      <c r="L84" s="2"/>
      <c r="M84" s="64" t="s">
        <v>1165</v>
      </c>
      <c r="N84" s="42"/>
      <c r="P84" s="21"/>
      <c r="Q84" s="12"/>
      <c r="R84">
        <f>COUNTIF(C:C,C84)</f>
        <v>1</v>
      </c>
      <c r="S84" s="21" t="s">
        <v>99</v>
      </c>
      <c r="T84" s="21" t="s">
        <v>99</v>
      </c>
      <c r="W84" t="e">
        <f>INDEX(#REF!,MATCH($E84,#REF!,0))</f>
        <v>#REF!</v>
      </c>
      <c r="X84" t="e">
        <f>INDEX(#REF!,MATCH($E84,#REF!,0))</f>
        <v>#REF!</v>
      </c>
      <c r="Y84" t="e">
        <f>INDEX(#REF!,MATCH($E84,#REF!,0))</f>
        <v>#REF!</v>
      </c>
      <c r="Z84" t="e">
        <f>INDEX(#REF!,MATCH($E84,#REF!,0))</f>
        <v>#REF!</v>
      </c>
      <c r="AA84" t="e">
        <f>INDEX(#REF!,MATCH($E84,#REF!,0))</f>
        <v>#REF!</v>
      </c>
      <c r="AB84" t="e">
        <f>INDEX(#REF!,MATCH($E84,#REF!,0))</f>
        <v>#REF!</v>
      </c>
      <c r="AC84" t="e">
        <f>INDEX(#REF!,MATCH($E84,#REF!,0))</f>
        <v>#REF!</v>
      </c>
      <c r="AD84" t="e">
        <f>INDEX(#REF!,MATCH($E84,#REF!,0))</f>
        <v>#REF!</v>
      </c>
      <c r="AE84" t="e">
        <f t="shared" si="5"/>
        <v>#REF!</v>
      </c>
    </row>
    <row r="85" spans="2:31" x14ac:dyDescent="0.25">
      <c r="B85" s="89" t="s">
        <v>3215</v>
      </c>
      <c r="C85" s="89" t="s">
        <v>3214</v>
      </c>
      <c r="D85" s="89" t="s">
        <v>3531</v>
      </c>
      <c r="E85" s="89">
        <v>110071</v>
      </c>
      <c r="F85" s="89">
        <v>1002</v>
      </c>
      <c r="G85" s="90">
        <v>20</v>
      </c>
      <c r="H85" s="90">
        <v>2</v>
      </c>
      <c r="I85" s="90" t="s">
        <v>18</v>
      </c>
      <c r="J85" s="90">
        <v>1</v>
      </c>
      <c r="K85" s="90" t="s">
        <v>2509</v>
      </c>
      <c r="L85" s="91">
        <v>37</v>
      </c>
      <c r="M85" s="92"/>
      <c r="N85" s="93"/>
      <c r="O85" s="94"/>
      <c r="P85" s="90" t="s">
        <v>3525</v>
      </c>
      <c r="Q85" s="95" t="s">
        <v>3526</v>
      </c>
      <c r="S85" s="21"/>
      <c r="T85" s="21"/>
    </row>
    <row r="86" spans="2:31" x14ac:dyDescent="0.25">
      <c r="B86" s="45" t="s">
        <v>2189</v>
      </c>
      <c r="C86" s="45" t="s">
        <v>192</v>
      </c>
      <c r="D86" s="45" t="s">
        <v>191</v>
      </c>
      <c r="E86" s="45">
        <v>110072</v>
      </c>
      <c r="F86" s="45">
        <v>1002</v>
      </c>
      <c r="G86" s="21">
        <v>21</v>
      </c>
      <c r="H86" s="21">
        <v>2</v>
      </c>
      <c r="I86" s="21" t="s">
        <v>120</v>
      </c>
      <c r="J86" s="21">
        <v>1000</v>
      </c>
      <c r="K86" s="21">
        <v>0</v>
      </c>
      <c r="L86" s="2"/>
      <c r="M86" s="64" t="s">
        <v>1166</v>
      </c>
      <c r="N86" s="42"/>
      <c r="P86" s="21"/>
      <c r="Q86" s="12"/>
      <c r="R86">
        <f>COUNTIF(C:C,C86)</f>
        <v>1</v>
      </c>
      <c r="S86" s="21" t="s">
        <v>99</v>
      </c>
      <c r="T86" s="21" t="s">
        <v>99</v>
      </c>
      <c r="W86" t="e">
        <f>INDEX(#REF!,MATCH($E86,#REF!,0))</f>
        <v>#REF!</v>
      </c>
      <c r="X86" t="e">
        <f>INDEX(#REF!,MATCH($E86,#REF!,0))</f>
        <v>#REF!</v>
      </c>
      <c r="Y86" t="e">
        <f>INDEX(#REF!,MATCH($E86,#REF!,0))</f>
        <v>#REF!</v>
      </c>
      <c r="Z86" t="e">
        <f>INDEX(#REF!,MATCH($E86,#REF!,0))</f>
        <v>#REF!</v>
      </c>
      <c r="AA86" t="e">
        <f>INDEX(#REF!,MATCH($E86,#REF!,0))</f>
        <v>#REF!</v>
      </c>
      <c r="AB86" t="e">
        <f>INDEX(#REF!,MATCH($E86,#REF!,0))</f>
        <v>#REF!</v>
      </c>
      <c r="AC86" t="e">
        <f>INDEX(#REF!,MATCH($E86,#REF!,0))</f>
        <v>#REF!</v>
      </c>
      <c r="AD86" t="e">
        <f>INDEX(#REF!,MATCH($E86,#REF!,0))</f>
        <v>#REF!</v>
      </c>
      <c r="AE86" t="e">
        <f t="shared" si="5"/>
        <v>#REF!</v>
      </c>
    </row>
    <row r="87" spans="2:31" x14ac:dyDescent="0.25">
      <c r="B87" s="45" t="s">
        <v>2188</v>
      </c>
      <c r="C87" s="45" t="s">
        <v>194</v>
      </c>
      <c r="D87" s="45" t="s">
        <v>193</v>
      </c>
      <c r="E87" s="45">
        <v>110073</v>
      </c>
      <c r="F87" s="45">
        <v>1002</v>
      </c>
      <c r="G87" s="21">
        <v>22</v>
      </c>
      <c r="H87" s="21">
        <v>2</v>
      </c>
      <c r="I87" s="21" t="s">
        <v>120</v>
      </c>
      <c r="J87" s="21">
        <v>1000</v>
      </c>
      <c r="K87" s="21">
        <v>0</v>
      </c>
      <c r="L87" s="2"/>
      <c r="M87" s="64" t="s">
        <v>1167</v>
      </c>
      <c r="N87" s="42"/>
      <c r="P87" s="21"/>
      <c r="Q87" s="12"/>
      <c r="R87">
        <f>COUNTIF(C:C,C87)</f>
        <v>1</v>
      </c>
      <c r="S87" s="21" t="s">
        <v>99</v>
      </c>
      <c r="T87" s="21" t="s">
        <v>99</v>
      </c>
      <c r="W87" t="e">
        <f>INDEX(#REF!,MATCH($E87,#REF!,0))</f>
        <v>#REF!</v>
      </c>
      <c r="X87" t="e">
        <f>INDEX(#REF!,MATCH($E87,#REF!,0))</f>
        <v>#REF!</v>
      </c>
      <c r="Y87" t="e">
        <f>INDEX(#REF!,MATCH($E87,#REF!,0))</f>
        <v>#REF!</v>
      </c>
      <c r="Z87" t="e">
        <f>INDEX(#REF!,MATCH($E87,#REF!,0))</f>
        <v>#REF!</v>
      </c>
      <c r="AA87" t="e">
        <f>INDEX(#REF!,MATCH($E87,#REF!,0))</f>
        <v>#REF!</v>
      </c>
      <c r="AB87" t="e">
        <f>INDEX(#REF!,MATCH($E87,#REF!,0))</f>
        <v>#REF!</v>
      </c>
      <c r="AC87" t="e">
        <f>INDEX(#REF!,MATCH($E87,#REF!,0))</f>
        <v>#REF!</v>
      </c>
      <c r="AD87" t="e">
        <f>INDEX(#REF!,MATCH($E87,#REF!,0))</f>
        <v>#REF!</v>
      </c>
      <c r="AE87" t="e">
        <f t="shared" si="5"/>
        <v>#REF!</v>
      </c>
    </row>
    <row r="88" spans="2:31" x14ac:dyDescent="0.25">
      <c r="B88" s="45" t="s">
        <v>1487</v>
      </c>
      <c r="C88" s="45" t="s">
        <v>196</v>
      </c>
      <c r="D88" s="45" t="s">
        <v>195</v>
      </c>
      <c r="E88" s="45">
        <v>110074</v>
      </c>
      <c r="F88" s="45">
        <v>1002</v>
      </c>
      <c r="G88" s="21">
        <v>23</v>
      </c>
      <c r="H88" s="21">
        <v>2</v>
      </c>
      <c r="I88" s="21" t="s">
        <v>18</v>
      </c>
      <c r="J88" s="21">
        <v>1</v>
      </c>
      <c r="K88" s="21">
        <v>0</v>
      </c>
      <c r="L88" s="2"/>
      <c r="M88" s="64" t="s">
        <v>1168</v>
      </c>
      <c r="N88" s="42"/>
      <c r="P88" s="21"/>
      <c r="Q88" s="12"/>
      <c r="R88">
        <f>COUNTIF(C:C,C88)</f>
        <v>1</v>
      </c>
      <c r="S88" s="21" t="s">
        <v>99</v>
      </c>
      <c r="T88" s="21" t="s">
        <v>99</v>
      </c>
      <c r="W88" t="e">
        <f>INDEX(#REF!,MATCH($E88,#REF!,0))</f>
        <v>#REF!</v>
      </c>
      <c r="X88" t="e">
        <f>INDEX(#REF!,MATCH($E88,#REF!,0))</f>
        <v>#REF!</v>
      </c>
      <c r="Y88" t="e">
        <f>INDEX(#REF!,MATCH($E88,#REF!,0))</f>
        <v>#REF!</v>
      </c>
      <c r="Z88" t="e">
        <f>INDEX(#REF!,MATCH($E88,#REF!,0))</f>
        <v>#REF!</v>
      </c>
      <c r="AA88" t="e">
        <f>INDEX(#REF!,MATCH($E88,#REF!,0))</f>
        <v>#REF!</v>
      </c>
      <c r="AB88" t="e">
        <f>INDEX(#REF!,MATCH($E88,#REF!,0))</f>
        <v>#REF!</v>
      </c>
      <c r="AC88" t="e">
        <f>INDEX(#REF!,MATCH($E88,#REF!,0))</f>
        <v>#REF!</v>
      </c>
      <c r="AD88" t="e">
        <f>INDEX(#REF!,MATCH($E88,#REF!,0))</f>
        <v>#REF!</v>
      </c>
      <c r="AE88" t="e">
        <f t="shared" si="5"/>
        <v>#REF!</v>
      </c>
    </row>
    <row r="89" spans="2:31" x14ac:dyDescent="0.25">
      <c r="B89" s="45" t="s">
        <v>1488</v>
      </c>
      <c r="C89" s="45" t="s">
        <v>198</v>
      </c>
      <c r="D89" s="45" t="s">
        <v>197</v>
      </c>
      <c r="E89" s="45">
        <v>110075</v>
      </c>
      <c r="F89" s="45">
        <v>1002</v>
      </c>
      <c r="G89" s="21">
        <v>24</v>
      </c>
      <c r="H89" s="21">
        <v>2</v>
      </c>
      <c r="I89" s="21" t="s">
        <v>26</v>
      </c>
      <c r="J89" s="21">
        <v>1</v>
      </c>
      <c r="K89" s="21">
        <v>0</v>
      </c>
      <c r="L89" s="2"/>
      <c r="M89" s="64" t="s">
        <v>1169</v>
      </c>
      <c r="N89" s="42"/>
      <c r="P89" s="21"/>
      <c r="Q89" s="12"/>
      <c r="R89">
        <f>COUNTIF(C:C,C89)</f>
        <v>1</v>
      </c>
      <c r="S89" s="21" t="s">
        <v>99</v>
      </c>
      <c r="T89" s="21" t="s">
        <v>99</v>
      </c>
      <c r="W89" t="e">
        <f>INDEX(#REF!,MATCH($E89,#REF!,0))</f>
        <v>#REF!</v>
      </c>
      <c r="X89" t="e">
        <f>INDEX(#REF!,MATCH($E89,#REF!,0))</f>
        <v>#REF!</v>
      </c>
      <c r="Y89" t="e">
        <f>INDEX(#REF!,MATCH($E89,#REF!,0))</f>
        <v>#REF!</v>
      </c>
      <c r="Z89" t="e">
        <f>INDEX(#REF!,MATCH($E89,#REF!,0))</f>
        <v>#REF!</v>
      </c>
      <c r="AA89" t="e">
        <f>INDEX(#REF!,MATCH($E89,#REF!,0))</f>
        <v>#REF!</v>
      </c>
      <c r="AB89" t="e">
        <f>INDEX(#REF!,MATCH($E89,#REF!,0))</f>
        <v>#REF!</v>
      </c>
      <c r="AC89" t="e">
        <f>INDEX(#REF!,MATCH($E89,#REF!,0))</f>
        <v>#REF!</v>
      </c>
      <c r="AD89" t="e">
        <f>INDEX(#REF!,MATCH($E89,#REF!,0))</f>
        <v>#REF!</v>
      </c>
      <c r="AE89" t="e">
        <f t="shared" si="5"/>
        <v>#REF!</v>
      </c>
    </row>
    <row r="90" spans="2:31" x14ac:dyDescent="0.25">
      <c r="B90" s="89" t="s">
        <v>3225</v>
      </c>
      <c r="C90" s="89" t="s">
        <v>3224</v>
      </c>
      <c r="D90" s="89" t="s">
        <v>3532</v>
      </c>
      <c r="E90" s="89">
        <v>110099</v>
      </c>
      <c r="F90" s="89">
        <v>1003</v>
      </c>
      <c r="G90" s="90">
        <v>23</v>
      </c>
      <c r="H90" s="90">
        <v>2</v>
      </c>
      <c r="I90" s="90" t="s">
        <v>18</v>
      </c>
      <c r="J90" s="90">
        <v>1</v>
      </c>
      <c r="K90" s="90" t="s">
        <v>2509</v>
      </c>
      <c r="L90" s="91">
        <v>44</v>
      </c>
      <c r="M90" s="92"/>
      <c r="N90" s="93"/>
      <c r="O90" s="94"/>
      <c r="P90" s="90" t="s">
        <v>3525</v>
      </c>
      <c r="Q90" s="95" t="s">
        <v>3526</v>
      </c>
      <c r="S90" s="21"/>
      <c r="T90" s="21"/>
    </row>
    <row r="91" spans="2:31" x14ac:dyDescent="0.25">
      <c r="B91" s="45" t="s">
        <v>1489</v>
      </c>
      <c r="C91" s="45" t="s">
        <v>200</v>
      </c>
      <c r="D91" s="45" t="s">
        <v>199</v>
      </c>
      <c r="E91" s="45">
        <v>110101</v>
      </c>
      <c r="F91" s="45">
        <v>1004</v>
      </c>
      <c r="G91" s="21">
        <v>0</v>
      </c>
      <c r="H91" s="21">
        <v>2</v>
      </c>
      <c r="I91" s="21" t="s">
        <v>26</v>
      </c>
      <c r="J91" s="21">
        <v>1</v>
      </c>
      <c r="K91" s="21">
        <v>0</v>
      </c>
      <c r="L91" s="2"/>
      <c r="M91" s="64" t="s">
        <v>1170</v>
      </c>
      <c r="N91" s="42"/>
      <c r="P91" s="21"/>
      <c r="Q91" s="12"/>
      <c r="R91">
        <f t="shared" ref="R91:R113" si="6">COUNTIF(C:C,C91)</f>
        <v>1</v>
      </c>
      <c r="S91" s="21" t="s">
        <v>99</v>
      </c>
      <c r="T91" s="21" t="s">
        <v>99</v>
      </c>
      <c r="W91" t="e">
        <f>INDEX(#REF!,MATCH($E91,#REF!,0))</f>
        <v>#REF!</v>
      </c>
      <c r="X91" t="e">
        <f>INDEX(#REF!,MATCH($E91,#REF!,0))</f>
        <v>#REF!</v>
      </c>
      <c r="Y91" t="e">
        <f>INDEX(#REF!,MATCH($E91,#REF!,0))</f>
        <v>#REF!</v>
      </c>
      <c r="Z91" t="e">
        <f>INDEX(#REF!,MATCH($E91,#REF!,0))</f>
        <v>#REF!</v>
      </c>
      <c r="AA91" t="e">
        <f>INDEX(#REF!,MATCH($E91,#REF!,0))</f>
        <v>#REF!</v>
      </c>
      <c r="AB91" t="e">
        <f>INDEX(#REF!,MATCH($E91,#REF!,0))</f>
        <v>#REF!</v>
      </c>
      <c r="AC91" t="e">
        <f>INDEX(#REF!,MATCH($E91,#REF!,0))</f>
        <v>#REF!</v>
      </c>
      <c r="AD91" t="e">
        <f>INDEX(#REF!,MATCH($E91,#REF!,0))</f>
        <v>#REF!</v>
      </c>
      <c r="AE91" t="e">
        <f t="shared" si="5"/>
        <v>#REF!</v>
      </c>
    </row>
    <row r="92" spans="2:31" x14ac:dyDescent="0.25">
      <c r="B92" s="45" t="s">
        <v>1490</v>
      </c>
      <c r="C92" s="45" t="s">
        <v>202</v>
      </c>
      <c r="D92" s="45" t="s">
        <v>201</v>
      </c>
      <c r="E92" s="45">
        <v>110102</v>
      </c>
      <c r="F92" s="45">
        <v>1004</v>
      </c>
      <c r="G92" s="21">
        <v>1</v>
      </c>
      <c r="H92" s="21">
        <v>2</v>
      </c>
      <c r="I92" s="21" t="s">
        <v>26</v>
      </c>
      <c r="J92" s="21">
        <v>1</v>
      </c>
      <c r="K92" s="21">
        <v>0</v>
      </c>
      <c r="L92" s="2"/>
      <c r="M92" s="64" t="s">
        <v>1170</v>
      </c>
      <c r="N92" s="42"/>
      <c r="P92" s="21"/>
      <c r="Q92" s="12"/>
      <c r="R92">
        <f t="shared" si="6"/>
        <v>1</v>
      </c>
      <c r="S92" s="21" t="s">
        <v>99</v>
      </c>
      <c r="T92" s="21" t="s">
        <v>99</v>
      </c>
      <c r="W92" t="e">
        <f>INDEX(#REF!,MATCH($E92,#REF!,0))</f>
        <v>#REF!</v>
      </c>
      <c r="X92" t="e">
        <f>INDEX(#REF!,MATCH($E92,#REF!,0))</f>
        <v>#REF!</v>
      </c>
      <c r="Y92" t="e">
        <f>INDEX(#REF!,MATCH($E92,#REF!,0))</f>
        <v>#REF!</v>
      </c>
      <c r="Z92" t="e">
        <f>INDEX(#REF!,MATCH($E92,#REF!,0))</f>
        <v>#REF!</v>
      </c>
      <c r="AA92" t="e">
        <f>INDEX(#REF!,MATCH($E92,#REF!,0))</f>
        <v>#REF!</v>
      </c>
      <c r="AB92" t="e">
        <f>INDEX(#REF!,MATCH($E92,#REF!,0))</f>
        <v>#REF!</v>
      </c>
      <c r="AC92" t="e">
        <f>INDEX(#REF!,MATCH($E92,#REF!,0))</f>
        <v>#REF!</v>
      </c>
      <c r="AD92" t="e">
        <f>INDEX(#REF!,MATCH($E92,#REF!,0))</f>
        <v>#REF!</v>
      </c>
      <c r="AE92" t="e">
        <f t="shared" si="5"/>
        <v>#REF!</v>
      </c>
    </row>
    <row r="93" spans="2:31" x14ac:dyDescent="0.25">
      <c r="B93" s="45" t="s">
        <v>1491</v>
      </c>
      <c r="C93" s="45" t="s">
        <v>204</v>
      </c>
      <c r="D93" s="45" t="s">
        <v>203</v>
      </c>
      <c r="E93" s="45">
        <v>110103</v>
      </c>
      <c r="F93" s="45">
        <v>1004</v>
      </c>
      <c r="G93" s="21">
        <v>2</v>
      </c>
      <c r="H93" s="21">
        <v>2</v>
      </c>
      <c r="I93" s="21" t="s">
        <v>26</v>
      </c>
      <c r="J93" s="21">
        <v>1</v>
      </c>
      <c r="K93" s="21">
        <v>0</v>
      </c>
      <c r="L93" s="2"/>
      <c r="M93" s="64" t="s">
        <v>1171</v>
      </c>
      <c r="N93" s="42"/>
      <c r="P93" s="21"/>
      <c r="Q93" s="12"/>
      <c r="R93">
        <f t="shared" si="6"/>
        <v>1</v>
      </c>
      <c r="S93" s="21" t="s">
        <v>99</v>
      </c>
      <c r="T93" s="21" t="s">
        <v>99</v>
      </c>
      <c r="W93" t="e">
        <f>INDEX(#REF!,MATCH($E93,#REF!,0))</f>
        <v>#REF!</v>
      </c>
      <c r="X93" t="e">
        <f>INDEX(#REF!,MATCH($E93,#REF!,0))</f>
        <v>#REF!</v>
      </c>
      <c r="Y93" t="e">
        <f>INDEX(#REF!,MATCH($E93,#REF!,0))</f>
        <v>#REF!</v>
      </c>
      <c r="Z93" t="e">
        <f>INDEX(#REF!,MATCH($E93,#REF!,0))</f>
        <v>#REF!</v>
      </c>
      <c r="AA93" t="e">
        <f>INDEX(#REF!,MATCH($E93,#REF!,0))</f>
        <v>#REF!</v>
      </c>
      <c r="AB93" t="e">
        <f>INDEX(#REF!,MATCH($E93,#REF!,0))</f>
        <v>#REF!</v>
      </c>
      <c r="AC93" t="e">
        <f>INDEX(#REF!,MATCH($E93,#REF!,0))</f>
        <v>#REF!</v>
      </c>
      <c r="AD93" t="e">
        <f>INDEX(#REF!,MATCH($E93,#REF!,0))</f>
        <v>#REF!</v>
      </c>
      <c r="AE93" t="e">
        <f t="shared" si="5"/>
        <v>#REF!</v>
      </c>
    </row>
    <row r="94" spans="2:31" x14ac:dyDescent="0.25">
      <c r="B94" s="45" t="s">
        <v>1492</v>
      </c>
      <c r="C94" s="45" t="s">
        <v>206</v>
      </c>
      <c r="D94" s="45" t="s">
        <v>205</v>
      </c>
      <c r="E94" s="45">
        <v>110104</v>
      </c>
      <c r="F94" s="45">
        <v>1004</v>
      </c>
      <c r="G94" s="21">
        <v>3</v>
      </c>
      <c r="H94" s="21">
        <v>2</v>
      </c>
      <c r="I94" s="21" t="s">
        <v>207</v>
      </c>
      <c r="J94" s="21">
        <v>1000</v>
      </c>
      <c r="K94" s="21">
        <v>0</v>
      </c>
      <c r="L94" s="2"/>
      <c r="M94" s="64" t="s">
        <v>1172</v>
      </c>
      <c r="N94" s="42"/>
      <c r="P94" s="21"/>
      <c r="Q94" s="12"/>
      <c r="R94">
        <f t="shared" si="6"/>
        <v>1</v>
      </c>
      <c r="S94" s="21" t="s">
        <v>99</v>
      </c>
      <c r="T94" s="21" t="s">
        <v>99</v>
      </c>
      <c r="W94" t="e">
        <f>INDEX(#REF!,MATCH($E94,#REF!,0))</f>
        <v>#REF!</v>
      </c>
      <c r="X94" t="e">
        <f>INDEX(#REF!,MATCH($E94,#REF!,0))</f>
        <v>#REF!</v>
      </c>
      <c r="Y94" t="e">
        <f>INDEX(#REF!,MATCH($E94,#REF!,0))</f>
        <v>#REF!</v>
      </c>
      <c r="Z94" t="e">
        <f>INDEX(#REF!,MATCH($E94,#REF!,0))</f>
        <v>#REF!</v>
      </c>
      <c r="AA94" t="e">
        <f>INDEX(#REF!,MATCH($E94,#REF!,0))</f>
        <v>#REF!</v>
      </c>
      <c r="AB94" t="e">
        <f>INDEX(#REF!,MATCH($E94,#REF!,0))</f>
        <v>#REF!</v>
      </c>
      <c r="AC94" t="e">
        <f>INDEX(#REF!,MATCH($E94,#REF!,0))</f>
        <v>#REF!</v>
      </c>
      <c r="AD94" t="e">
        <f>INDEX(#REF!,MATCH($E94,#REF!,0))</f>
        <v>#REF!</v>
      </c>
      <c r="AE94" t="e">
        <f t="shared" si="5"/>
        <v>#REF!</v>
      </c>
    </row>
    <row r="95" spans="2:31" ht="45" x14ac:dyDescent="0.25">
      <c r="B95" s="45" t="s">
        <v>1493</v>
      </c>
      <c r="C95" s="45" t="s">
        <v>209</v>
      </c>
      <c r="D95" s="45" t="s">
        <v>208</v>
      </c>
      <c r="E95" s="45">
        <v>110111</v>
      </c>
      <c r="F95" s="45">
        <v>1004</v>
      </c>
      <c r="G95" s="21">
        <v>10</v>
      </c>
      <c r="H95" s="21">
        <v>2</v>
      </c>
      <c r="I95" s="21" t="s">
        <v>210</v>
      </c>
      <c r="J95" s="21">
        <v>100</v>
      </c>
      <c r="K95" s="21">
        <v>0</v>
      </c>
      <c r="L95" s="2"/>
      <c r="M95" s="64" t="s">
        <v>2250</v>
      </c>
      <c r="N95" s="42"/>
      <c r="P95" s="21"/>
      <c r="Q95" s="12"/>
      <c r="R95">
        <f t="shared" si="6"/>
        <v>1</v>
      </c>
      <c r="S95" s="21" t="s">
        <v>99</v>
      </c>
      <c r="T95" s="21" t="s">
        <v>99</v>
      </c>
      <c r="W95" t="e">
        <f>INDEX(#REF!,MATCH($E95,#REF!,0))</f>
        <v>#REF!</v>
      </c>
      <c r="X95" t="e">
        <f>INDEX(#REF!,MATCH($E95,#REF!,0))</f>
        <v>#REF!</v>
      </c>
      <c r="Y95" t="e">
        <f>INDEX(#REF!,MATCH($E95,#REF!,0))</f>
        <v>#REF!</v>
      </c>
      <c r="Z95" t="e">
        <f>INDEX(#REF!,MATCH($E95,#REF!,0))</f>
        <v>#REF!</v>
      </c>
      <c r="AA95" t="e">
        <f>INDEX(#REF!,MATCH($E95,#REF!,0))</f>
        <v>#REF!</v>
      </c>
      <c r="AB95" t="e">
        <f>INDEX(#REF!,MATCH($E95,#REF!,0))</f>
        <v>#REF!</v>
      </c>
      <c r="AC95" t="e">
        <f>INDEX(#REF!,MATCH($E95,#REF!,0))</f>
        <v>#REF!</v>
      </c>
      <c r="AD95" t="e">
        <f>INDEX(#REF!,MATCH($E95,#REF!,0))</f>
        <v>#REF!</v>
      </c>
      <c r="AE95" t="e">
        <f t="shared" si="5"/>
        <v>#REF!</v>
      </c>
    </row>
    <row r="96" spans="2:31" x14ac:dyDescent="0.25">
      <c r="B96" s="45" t="s">
        <v>1494</v>
      </c>
      <c r="C96" s="45" t="s">
        <v>212</v>
      </c>
      <c r="D96" s="45" t="s">
        <v>211</v>
      </c>
      <c r="E96" s="45">
        <v>110114</v>
      </c>
      <c r="F96" s="45">
        <v>1004</v>
      </c>
      <c r="G96" s="21">
        <v>13</v>
      </c>
      <c r="H96" s="21">
        <v>2</v>
      </c>
      <c r="I96" s="21" t="s">
        <v>26</v>
      </c>
      <c r="J96" s="21">
        <v>1</v>
      </c>
      <c r="K96" s="21">
        <v>0</v>
      </c>
      <c r="L96" s="2"/>
      <c r="M96" s="64" t="s">
        <v>1173</v>
      </c>
      <c r="N96" s="42"/>
      <c r="P96" s="21"/>
      <c r="Q96" s="12"/>
      <c r="R96">
        <f t="shared" si="6"/>
        <v>1</v>
      </c>
      <c r="S96" s="21" t="s">
        <v>99</v>
      </c>
      <c r="T96" s="21">
        <v>360639</v>
      </c>
      <c r="W96" t="e">
        <f>INDEX(#REF!,MATCH($E96,#REF!,0))</f>
        <v>#REF!</v>
      </c>
      <c r="X96" t="e">
        <f>INDEX(#REF!,MATCH($E96,#REF!,0))</f>
        <v>#REF!</v>
      </c>
      <c r="Y96" t="e">
        <f>INDEX(#REF!,MATCH($E96,#REF!,0))</f>
        <v>#REF!</v>
      </c>
      <c r="Z96" t="e">
        <f>INDEX(#REF!,MATCH($E96,#REF!,0))</f>
        <v>#REF!</v>
      </c>
      <c r="AA96" t="e">
        <f>INDEX(#REF!,MATCH($E96,#REF!,0))</f>
        <v>#REF!</v>
      </c>
      <c r="AB96" t="e">
        <f>INDEX(#REF!,MATCH($E96,#REF!,0))</f>
        <v>#REF!</v>
      </c>
      <c r="AC96" t="e">
        <f>INDEX(#REF!,MATCH($E96,#REF!,0))</f>
        <v>#REF!</v>
      </c>
      <c r="AD96" t="e">
        <f>INDEX(#REF!,MATCH($E96,#REF!,0))</f>
        <v>#REF!</v>
      </c>
      <c r="AE96" t="e">
        <f t="shared" si="5"/>
        <v>#REF!</v>
      </c>
    </row>
    <row r="97" spans="2:31" x14ac:dyDescent="0.25">
      <c r="B97" s="45" t="s">
        <v>1495</v>
      </c>
      <c r="C97" s="45" t="s">
        <v>214</v>
      </c>
      <c r="D97" s="45" t="s">
        <v>213</v>
      </c>
      <c r="E97" s="45">
        <v>110115</v>
      </c>
      <c r="F97" s="45">
        <v>1004</v>
      </c>
      <c r="G97" s="21">
        <v>14</v>
      </c>
      <c r="H97" s="21">
        <v>2</v>
      </c>
      <c r="I97" s="21" t="s">
        <v>215</v>
      </c>
      <c r="J97" s="21">
        <v>1</v>
      </c>
      <c r="K97" s="21">
        <v>0</v>
      </c>
      <c r="L97" s="2"/>
      <c r="M97" s="64" t="s">
        <v>1174</v>
      </c>
      <c r="N97" s="42"/>
      <c r="P97" s="21"/>
      <c r="Q97" s="12"/>
      <c r="R97">
        <f t="shared" si="6"/>
        <v>1</v>
      </c>
      <c r="S97" s="21" t="s">
        <v>99</v>
      </c>
      <c r="T97" s="21" t="s">
        <v>99</v>
      </c>
      <c r="W97" t="e">
        <f>INDEX(#REF!,MATCH($E97,#REF!,0))</f>
        <v>#REF!</v>
      </c>
      <c r="X97" t="e">
        <f>INDEX(#REF!,MATCH($E97,#REF!,0))</f>
        <v>#REF!</v>
      </c>
      <c r="Y97" t="e">
        <f>INDEX(#REF!,MATCH($E97,#REF!,0))</f>
        <v>#REF!</v>
      </c>
      <c r="Z97" t="e">
        <f>INDEX(#REF!,MATCH($E97,#REF!,0))</f>
        <v>#REF!</v>
      </c>
      <c r="AA97" t="e">
        <f>INDEX(#REF!,MATCH($E97,#REF!,0))</f>
        <v>#REF!</v>
      </c>
      <c r="AB97" t="e">
        <f>INDEX(#REF!,MATCH($E97,#REF!,0))</f>
        <v>#REF!</v>
      </c>
      <c r="AC97" t="e">
        <f>INDEX(#REF!,MATCH($E97,#REF!,0))</f>
        <v>#REF!</v>
      </c>
      <c r="AD97" t="e">
        <f>INDEX(#REF!,MATCH($E97,#REF!,0))</f>
        <v>#REF!</v>
      </c>
      <c r="AE97" t="e">
        <f t="shared" si="5"/>
        <v>#REF!</v>
      </c>
    </row>
    <row r="98" spans="2:31" x14ac:dyDescent="0.25">
      <c r="B98" s="45" t="s">
        <v>1496</v>
      </c>
      <c r="C98" s="45" t="s">
        <v>216</v>
      </c>
      <c r="D98" s="45" t="s">
        <v>1948</v>
      </c>
      <c r="E98" s="45">
        <v>110116</v>
      </c>
      <c r="F98" s="45">
        <v>1004</v>
      </c>
      <c r="G98" s="21">
        <v>15</v>
      </c>
      <c r="H98" s="21">
        <v>2</v>
      </c>
      <c r="I98" s="21" t="s">
        <v>26</v>
      </c>
      <c r="J98" s="21">
        <v>1</v>
      </c>
      <c r="K98" s="21" t="s">
        <v>2509</v>
      </c>
      <c r="L98" s="2"/>
      <c r="M98" s="64" t="s">
        <v>1175</v>
      </c>
      <c r="N98" s="42"/>
      <c r="P98" s="21"/>
      <c r="Q98" s="12"/>
      <c r="R98">
        <f t="shared" si="6"/>
        <v>1</v>
      </c>
      <c r="S98" s="21" t="s">
        <v>99</v>
      </c>
      <c r="T98" s="21" t="s">
        <v>99</v>
      </c>
      <c r="W98" t="e">
        <f>INDEX(#REF!,MATCH($E98,#REF!,0))</f>
        <v>#REF!</v>
      </c>
      <c r="X98" t="e">
        <f>INDEX(#REF!,MATCH($E98,#REF!,0))</f>
        <v>#REF!</v>
      </c>
      <c r="Y98" t="e">
        <f>INDEX(#REF!,MATCH($E98,#REF!,0))</f>
        <v>#REF!</v>
      </c>
      <c r="Z98" t="e">
        <f>INDEX(#REF!,MATCH($E98,#REF!,0))</f>
        <v>#REF!</v>
      </c>
      <c r="AA98" t="e">
        <f>INDEX(#REF!,MATCH($E98,#REF!,0))</f>
        <v>#REF!</v>
      </c>
      <c r="AB98" t="e">
        <f>INDEX(#REF!,MATCH($E98,#REF!,0))</f>
        <v>#REF!</v>
      </c>
      <c r="AC98" t="e">
        <f>INDEX(#REF!,MATCH($E98,#REF!,0))</f>
        <v>#REF!</v>
      </c>
      <c r="AD98" t="e">
        <f>INDEX(#REF!,MATCH($E98,#REF!,0))</f>
        <v>#REF!</v>
      </c>
      <c r="AE98" t="e">
        <f t="shared" si="5"/>
        <v>#REF!</v>
      </c>
    </row>
    <row r="99" spans="2:31" x14ac:dyDescent="0.25">
      <c r="B99" s="45" t="s">
        <v>1497</v>
      </c>
      <c r="C99" s="45" t="s">
        <v>218</v>
      </c>
      <c r="D99" s="45" t="s">
        <v>217</v>
      </c>
      <c r="E99" s="45">
        <v>110117</v>
      </c>
      <c r="F99" s="45">
        <v>1004</v>
      </c>
      <c r="G99" s="21">
        <v>16</v>
      </c>
      <c r="H99" s="21">
        <v>2</v>
      </c>
      <c r="I99" s="21" t="s">
        <v>21</v>
      </c>
      <c r="J99" s="21">
        <v>10</v>
      </c>
      <c r="K99" s="21">
        <v>0</v>
      </c>
      <c r="L99" s="2"/>
      <c r="M99" s="64" t="s">
        <v>1176</v>
      </c>
      <c r="N99" s="42"/>
      <c r="P99" s="21"/>
      <c r="Q99" s="12"/>
      <c r="R99">
        <f t="shared" si="6"/>
        <v>1</v>
      </c>
      <c r="S99" s="21" t="s">
        <v>99</v>
      </c>
      <c r="T99" s="21" t="s">
        <v>99</v>
      </c>
      <c r="W99" t="e">
        <f>INDEX(#REF!,MATCH($E99,#REF!,0))</f>
        <v>#REF!</v>
      </c>
      <c r="X99" t="e">
        <f>INDEX(#REF!,MATCH($E99,#REF!,0))</f>
        <v>#REF!</v>
      </c>
      <c r="Y99" t="e">
        <f>INDEX(#REF!,MATCH($E99,#REF!,0))</f>
        <v>#REF!</v>
      </c>
      <c r="Z99" t="e">
        <f>INDEX(#REF!,MATCH($E99,#REF!,0))</f>
        <v>#REF!</v>
      </c>
      <c r="AA99" t="e">
        <f>INDEX(#REF!,MATCH($E99,#REF!,0))</f>
        <v>#REF!</v>
      </c>
      <c r="AB99" t="e">
        <f>INDEX(#REF!,MATCH($E99,#REF!,0))</f>
        <v>#REF!</v>
      </c>
      <c r="AC99" t="e">
        <f>INDEX(#REF!,MATCH($E99,#REF!,0))</f>
        <v>#REF!</v>
      </c>
      <c r="AD99" t="e">
        <f>INDEX(#REF!,MATCH($E99,#REF!,0))</f>
        <v>#REF!</v>
      </c>
      <c r="AE99" t="e">
        <f t="shared" si="5"/>
        <v>#REF!</v>
      </c>
    </row>
    <row r="100" spans="2:31" x14ac:dyDescent="0.25">
      <c r="B100" s="45" t="s">
        <v>2190</v>
      </c>
      <c r="C100" s="45" t="s">
        <v>219</v>
      </c>
      <c r="D100" s="45" t="s">
        <v>1949</v>
      </c>
      <c r="E100" s="45">
        <v>110118</v>
      </c>
      <c r="F100" s="45">
        <v>1004</v>
      </c>
      <c r="G100" s="21">
        <v>17</v>
      </c>
      <c r="H100" s="21">
        <v>2</v>
      </c>
      <c r="I100" s="21" t="s">
        <v>26</v>
      </c>
      <c r="J100" s="21">
        <v>1</v>
      </c>
      <c r="K100" s="21">
        <v>0</v>
      </c>
      <c r="L100" s="2" t="s">
        <v>2236</v>
      </c>
      <c r="M100" s="64" t="s">
        <v>1177</v>
      </c>
      <c r="N100" s="42"/>
      <c r="P100" s="21"/>
      <c r="Q100" s="12"/>
      <c r="R100">
        <f t="shared" si="6"/>
        <v>1</v>
      </c>
      <c r="S100" s="21" t="s">
        <v>99</v>
      </c>
      <c r="T100" s="21" t="s">
        <v>99</v>
      </c>
      <c r="W100" t="e">
        <f>INDEX(#REF!,MATCH($E100,#REF!,0))</f>
        <v>#REF!</v>
      </c>
      <c r="X100" t="e">
        <f>INDEX(#REF!,MATCH($E100,#REF!,0))</f>
        <v>#REF!</v>
      </c>
      <c r="Y100" t="e">
        <f>INDEX(#REF!,MATCH($E100,#REF!,0))</f>
        <v>#REF!</v>
      </c>
      <c r="Z100" t="e">
        <f>INDEX(#REF!,MATCH($E100,#REF!,0))</f>
        <v>#REF!</v>
      </c>
      <c r="AA100" t="e">
        <f>INDEX(#REF!,MATCH($E100,#REF!,0))</f>
        <v>#REF!</v>
      </c>
      <c r="AB100" t="e">
        <f>INDEX(#REF!,MATCH($E100,#REF!,0))</f>
        <v>#REF!</v>
      </c>
      <c r="AC100" t="e">
        <f>INDEX(#REF!,MATCH($E100,#REF!,0))</f>
        <v>#REF!</v>
      </c>
      <c r="AD100" t="e">
        <f>INDEX(#REF!,MATCH($E100,#REF!,0))</f>
        <v>#REF!</v>
      </c>
      <c r="AE100" t="e">
        <f t="shared" si="5"/>
        <v>#REF!</v>
      </c>
    </row>
    <row r="101" spans="2:31" x14ac:dyDescent="0.25">
      <c r="B101" s="45" t="s">
        <v>1498</v>
      </c>
      <c r="C101" s="45" t="s">
        <v>221</v>
      </c>
      <c r="D101" s="45" t="s">
        <v>220</v>
      </c>
      <c r="E101" s="45">
        <v>110119</v>
      </c>
      <c r="F101" s="45">
        <v>1004</v>
      </c>
      <c r="G101" s="21">
        <v>18</v>
      </c>
      <c r="H101" s="21">
        <v>2</v>
      </c>
      <c r="I101" s="21" t="s">
        <v>222</v>
      </c>
      <c r="J101" s="21">
        <v>1000</v>
      </c>
      <c r="K101" s="21">
        <v>0</v>
      </c>
      <c r="L101" s="2"/>
      <c r="M101" s="64" t="s">
        <v>1178</v>
      </c>
      <c r="N101" s="42"/>
      <c r="P101" s="21"/>
      <c r="Q101" s="12"/>
      <c r="R101">
        <f t="shared" si="6"/>
        <v>1</v>
      </c>
      <c r="S101" s="21" t="s">
        <v>99</v>
      </c>
      <c r="T101" s="21">
        <v>350167</v>
      </c>
      <c r="W101" t="e">
        <f>INDEX(#REF!,MATCH($E101,#REF!,0))</f>
        <v>#REF!</v>
      </c>
      <c r="X101" t="e">
        <f>INDEX(#REF!,MATCH($E101,#REF!,0))</f>
        <v>#REF!</v>
      </c>
      <c r="Y101" t="e">
        <f>INDEX(#REF!,MATCH($E101,#REF!,0))</f>
        <v>#REF!</v>
      </c>
      <c r="Z101" t="e">
        <f>INDEX(#REF!,MATCH($E101,#REF!,0))</f>
        <v>#REF!</v>
      </c>
      <c r="AA101" t="e">
        <f>INDEX(#REF!,MATCH($E101,#REF!,0))</f>
        <v>#REF!</v>
      </c>
      <c r="AB101" t="e">
        <f>INDEX(#REF!,MATCH($E101,#REF!,0))</f>
        <v>#REF!</v>
      </c>
      <c r="AC101" t="e">
        <f>INDEX(#REF!,MATCH($E101,#REF!,0))</f>
        <v>#REF!</v>
      </c>
      <c r="AD101" t="e">
        <f>INDEX(#REF!,MATCH($E101,#REF!,0))</f>
        <v>#REF!</v>
      </c>
      <c r="AE101" t="e">
        <f t="shared" si="5"/>
        <v>#REF!</v>
      </c>
    </row>
    <row r="102" spans="2:31" x14ac:dyDescent="0.25">
      <c r="B102" s="45" t="s">
        <v>1499</v>
      </c>
      <c r="C102" s="45" t="s">
        <v>224</v>
      </c>
      <c r="D102" s="45" t="s">
        <v>223</v>
      </c>
      <c r="E102" s="45">
        <v>110120</v>
      </c>
      <c r="F102" s="45">
        <v>1004</v>
      </c>
      <c r="G102" s="21">
        <v>19</v>
      </c>
      <c r="H102" s="21">
        <v>2</v>
      </c>
      <c r="I102" s="21" t="s">
        <v>225</v>
      </c>
      <c r="J102" s="21">
        <v>10</v>
      </c>
      <c r="K102" s="21">
        <v>0</v>
      </c>
      <c r="L102" s="2"/>
      <c r="M102" s="64" t="s">
        <v>1179</v>
      </c>
      <c r="N102" s="42"/>
      <c r="P102" s="21"/>
      <c r="Q102" s="12"/>
      <c r="R102">
        <f t="shared" si="6"/>
        <v>1</v>
      </c>
      <c r="S102" s="21" t="s">
        <v>99</v>
      </c>
      <c r="T102" s="21" t="s">
        <v>99</v>
      </c>
      <c r="W102" t="e">
        <f>INDEX(#REF!,MATCH($E102,#REF!,0))</f>
        <v>#REF!</v>
      </c>
      <c r="X102" t="e">
        <f>INDEX(#REF!,MATCH($E102,#REF!,0))</f>
        <v>#REF!</v>
      </c>
      <c r="Y102" t="e">
        <f>INDEX(#REF!,MATCH($E102,#REF!,0))</f>
        <v>#REF!</v>
      </c>
      <c r="Z102" t="e">
        <f>INDEX(#REF!,MATCH($E102,#REF!,0))</f>
        <v>#REF!</v>
      </c>
      <c r="AA102" t="e">
        <f>INDEX(#REF!,MATCH($E102,#REF!,0))</f>
        <v>#REF!</v>
      </c>
      <c r="AB102" t="e">
        <f>INDEX(#REF!,MATCH($E102,#REF!,0))</f>
        <v>#REF!</v>
      </c>
      <c r="AC102" t="e">
        <f>INDEX(#REF!,MATCH($E102,#REF!,0))</f>
        <v>#REF!</v>
      </c>
      <c r="AD102" t="e">
        <f>INDEX(#REF!,MATCH($E102,#REF!,0))</f>
        <v>#REF!</v>
      </c>
      <c r="AE102" t="e">
        <f t="shared" si="5"/>
        <v>#REF!</v>
      </c>
    </row>
    <row r="103" spans="2:31" x14ac:dyDescent="0.25">
      <c r="B103" s="45" t="s">
        <v>1500</v>
      </c>
      <c r="C103" s="45" t="s">
        <v>227</v>
      </c>
      <c r="D103" s="45" t="s">
        <v>226</v>
      </c>
      <c r="E103" s="45">
        <v>110121</v>
      </c>
      <c r="F103" s="45">
        <v>1004</v>
      </c>
      <c r="G103" s="21">
        <v>20</v>
      </c>
      <c r="H103" s="21">
        <v>2</v>
      </c>
      <c r="I103" s="21" t="s">
        <v>225</v>
      </c>
      <c r="J103" s="21">
        <v>10</v>
      </c>
      <c r="K103" s="21">
        <v>0</v>
      </c>
      <c r="L103" s="2"/>
      <c r="M103" s="64" t="s">
        <v>1180</v>
      </c>
      <c r="N103" s="42"/>
      <c r="P103" s="21"/>
      <c r="Q103" s="12"/>
      <c r="R103">
        <f t="shared" si="6"/>
        <v>1</v>
      </c>
      <c r="S103" s="21" t="s">
        <v>99</v>
      </c>
      <c r="T103" s="21" t="s">
        <v>99</v>
      </c>
      <c r="W103" t="e">
        <f>INDEX(#REF!,MATCH($E103,#REF!,0))</f>
        <v>#REF!</v>
      </c>
      <c r="X103" t="e">
        <f>INDEX(#REF!,MATCH($E103,#REF!,0))</f>
        <v>#REF!</v>
      </c>
      <c r="Y103" t="e">
        <f>INDEX(#REF!,MATCH($E103,#REF!,0))</f>
        <v>#REF!</v>
      </c>
      <c r="Z103" t="e">
        <f>INDEX(#REF!,MATCH($E103,#REF!,0))</f>
        <v>#REF!</v>
      </c>
      <c r="AA103" t="e">
        <f>INDEX(#REF!,MATCH($E103,#REF!,0))</f>
        <v>#REF!</v>
      </c>
      <c r="AB103" t="e">
        <f>INDEX(#REF!,MATCH($E103,#REF!,0))</f>
        <v>#REF!</v>
      </c>
      <c r="AC103" t="e">
        <f>INDEX(#REF!,MATCH($E103,#REF!,0))</f>
        <v>#REF!</v>
      </c>
      <c r="AD103" t="e">
        <f>INDEX(#REF!,MATCH($E103,#REF!,0))</f>
        <v>#REF!</v>
      </c>
      <c r="AE103" t="e">
        <f t="shared" si="5"/>
        <v>#REF!</v>
      </c>
    </row>
    <row r="104" spans="2:31" x14ac:dyDescent="0.25">
      <c r="B104" s="45" t="s">
        <v>1501</v>
      </c>
      <c r="C104" s="45" t="s">
        <v>229</v>
      </c>
      <c r="D104" s="45" t="s">
        <v>228</v>
      </c>
      <c r="E104" s="45">
        <v>110126</v>
      </c>
      <c r="F104" s="45">
        <v>1005</v>
      </c>
      <c r="G104" s="21">
        <v>0</v>
      </c>
      <c r="H104" s="21">
        <v>2</v>
      </c>
      <c r="I104" s="21" t="s">
        <v>210</v>
      </c>
      <c r="J104" s="21">
        <v>100</v>
      </c>
      <c r="K104" s="21">
        <v>0</v>
      </c>
      <c r="L104" s="2"/>
      <c r="M104" s="64" t="s">
        <v>1181</v>
      </c>
      <c r="N104" s="42"/>
      <c r="P104" s="21"/>
      <c r="Q104" s="12"/>
      <c r="R104">
        <f t="shared" si="6"/>
        <v>1</v>
      </c>
      <c r="S104" s="21" t="s">
        <v>99</v>
      </c>
      <c r="T104" s="21" t="s">
        <v>99</v>
      </c>
      <c r="W104" t="e">
        <f>INDEX(#REF!,MATCH($E104,#REF!,0))</f>
        <v>#REF!</v>
      </c>
      <c r="X104" t="e">
        <f>INDEX(#REF!,MATCH($E104,#REF!,0))</f>
        <v>#REF!</v>
      </c>
      <c r="Y104" t="e">
        <f>INDEX(#REF!,MATCH($E104,#REF!,0))</f>
        <v>#REF!</v>
      </c>
      <c r="Z104" t="e">
        <f>INDEX(#REF!,MATCH($E104,#REF!,0))</f>
        <v>#REF!</v>
      </c>
      <c r="AA104" t="e">
        <f>INDEX(#REF!,MATCH($E104,#REF!,0))</f>
        <v>#REF!</v>
      </c>
      <c r="AB104" t="e">
        <f>INDEX(#REF!,MATCH($E104,#REF!,0))</f>
        <v>#REF!</v>
      </c>
      <c r="AC104" t="e">
        <f>INDEX(#REF!,MATCH($E104,#REF!,0))</f>
        <v>#REF!</v>
      </c>
      <c r="AD104" t="e">
        <f>INDEX(#REF!,MATCH($E104,#REF!,0))</f>
        <v>#REF!</v>
      </c>
      <c r="AE104" t="e">
        <f t="shared" si="5"/>
        <v>#REF!</v>
      </c>
    </row>
    <row r="105" spans="2:31" ht="45" x14ac:dyDescent="0.25">
      <c r="B105" s="45" t="s">
        <v>1502</v>
      </c>
      <c r="C105" s="45" t="s">
        <v>231</v>
      </c>
      <c r="D105" s="45" t="s">
        <v>230</v>
      </c>
      <c r="E105" s="45">
        <v>110127</v>
      </c>
      <c r="F105" s="45">
        <v>1005</v>
      </c>
      <c r="G105" s="21">
        <v>1</v>
      </c>
      <c r="H105" s="21">
        <v>2</v>
      </c>
      <c r="I105" s="21" t="s">
        <v>210</v>
      </c>
      <c r="J105" s="21">
        <v>100</v>
      </c>
      <c r="K105" s="21">
        <v>0</v>
      </c>
      <c r="L105" s="2"/>
      <c r="M105" s="64" t="s">
        <v>2251</v>
      </c>
      <c r="N105" s="42"/>
      <c r="P105" s="21"/>
      <c r="Q105" s="12"/>
      <c r="R105">
        <f t="shared" si="6"/>
        <v>1</v>
      </c>
      <c r="S105" s="21" t="s">
        <v>99</v>
      </c>
      <c r="T105" s="21" t="s">
        <v>99</v>
      </c>
      <c r="W105" t="e">
        <f>INDEX(#REF!,MATCH($E105,#REF!,0))</f>
        <v>#REF!</v>
      </c>
      <c r="X105" t="e">
        <f>INDEX(#REF!,MATCH($E105,#REF!,0))</f>
        <v>#REF!</v>
      </c>
      <c r="Y105" t="e">
        <f>INDEX(#REF!,MATCH($E105,#REF!,0))</f>
        <v>#REF!</v>
      </c>
      <c r="Z105" t="e">
        <f>INDEX(#REF!,MATCH($E105,#REF!,0))</f>
        <v>#REF!</v>
      </c>
      <c r="AA105" t="e">
        <f>INDEX(#REF!,MATCH($E105,#REF!,0))</f>
        <v>#REF!</v>
      </c>
      <c r="AB105" t="e">
        <f>INDEX(#REF!,MATCH($E105,#REF!,0))</f>
        <v>#REF!</v>
      </c>
      <c r="AC105" t="e">
        <f>INDEX(#REF!,MATCH($E105,#REF!,0))</f>
        <v>#REF!</v>
      </c>
      <c r="AD105" t="e">
        <f>INDEX(#REF!,MATCH($E105,#REF!,0))</f>
        <v>#REF!</v>
      </c>
      <c r="AE105" t="e">
        <f t="shared" si="5"/>
        <v>#REF!</v>
      </c>
    </row>
    <row r="106" spans="2:31" ht="45" x14ac:dyDescent="0.25">
      <c r="B106" s="45" t="s">
        <v>1503</v>
      </c>
      <c r="C106" s="45" t="s">
        <v>233</v>
      </c>
      <c r="D106" s="45" t="s">
        <v>232</v>
      </c>
      <c r="E106" s="45">
        <v>110128</v>
      </c>
      <c r="F106" s="45">
        <v>1005</v>
      </c>
      <c r="G106" s="21">
        <v>2</v>
      </c>
      <c r="H106" s="21">
        <v>2</v>
      </c>
      <c r="I106" s="21" t="s">
        <v>210</v>
      </c>
      <c r="J106" s="21">
        <v>100</v>
      </c>
      <c r="K106" s="21">
        <v>0</v>
      </c>
      <c r="L106" s="2"/>
      <c r="M106" s="64" t="s">
        <v>2252</v>
      </c>
      <c r="N106" s="42"/>
      <c r="P106" s="21"/>
      <c r="Q106" s="12"/>
      <c r="R106">
        <f t="shared" si="6"/>
        <v>1</v>
      </c>
      <c r="S106" s="21" t="s">
        <v>99</v>
      </c>
      <c r="T106" s="21" t="s">
        <v>99</v>
      </c>
      <c r="W106" t="e">
        <f>INDEX(#REF!,MATCH($E106,#REF!,0))</f>
        <v>#REF!</v>
      </c>
      <c r="X106" t="e">
        <f>INDEX(#REF!,MATCH($E106,#REF!,0))</f>
        <v>#REF!</v>
      </c>
      <c r="Y106" t="e">
        <f>INDEX(#REF!,MATCH($E106,#REF!,0))</f>
        <v>#REF!</v>
      </c>
      <c r="Z106" t="e">
        <f>INDEX(#REF!,MATCH($E106,#REF!,0))</f>
        <v>#REF!</v>
      </c>
      <c r="AA106" t="e">
        <f>INDEX(#REF!,MATCH($E106,#REF!,0))</f>
        <v>#REF!</v>
      </c>
      <c r="AB106" t="e">
        <f>INDEX(#REF!,MATCH($E106,#REF!,0))</f>
        <v>#REF!</v>
      </c>
      <c r="AC106" t="e">
        <f>INDEX(#REF!,MATCH($E106,#REF!,0))</f>
        <v>#REF!</v>
      </c>
      <c r="AD106" t="e">
        <f>INDEX(#REF!,MATCH($E106,#REF!,0))</f>
        <v>#REF!</v>
      </c>
      <c r="AE106" t="e">
        <f t="shared" si="5"/>
        <v>#REF!</v>
      </c>
    </row>
    <row r="107" spans="2:31" x14ac:dyDescent="0.25">
      <c r="B107" s="45" t="s">
        <v>1504</v>
      </c>
      <c r="C107" s="45" t="s">
        <v>235</v>
      </c>
      <c r="D107" s="45" t="s">
        <v>234</v>
      </c>
      <c r="E107" s="45">
        <v>110131</v>
      </c>
      <c r="F107" s="45">
        <v>1005</v>
      </c>
      <c r="G107" s="21">
        <v>5</v>
      </c>
      <c r="H107" s="21">
        <v>2</v>
      </c>
      <c r="I107" s="21" t="s">
        <v>210</v>
      </c>
      <c r="J107" s="21">
        <v>100</v>
      </c>
      <c r="K107" s="21">
        <v>0</v>
      </c>
      <c r="L107" s="2"/>
      <c r="M107" s="64" t="s">
        <v>1182</v>
      </c>
      <c r="N107" s="42"/>
      <c r="P107" s="21"/>
      <c r="Q107" s="12"/>
      <c r="R107">
        <f t="shared" si="6"/>
        <v>1</v>
      </c>
      <c r="S107" s="21" t="s">
        <v>99</v>
      </c>
      <c r="T107" s="21" t="s">
        <v>99</v>
      </c>
      <c r="W107" t="e">
        <f>INDEX(#REF!,MATCH($E107,#REF!,0))</f>
        <v>#REF!</v>
      </c>
      <c r="X107" t="e">
        <f>INDEX(#REF!,MATCH($E107,#REF!,0))</f>
        <v>#REF!</v>
      </c>
      <c r="Y107" t="e">
        <f>INDEX(#REF!,MATCH($E107,#REF!,0))</f>
        <v>#REF!</v>
      </c>
      <c r="Z107" t="e">
        <f>INDEX(#REF!,MATCH($E107,#REF!,0))</f>
        <v>#REF!</v>
      </c>
      <c r="AA107" t="e">
        <f>INDEX(#REF!,MATCH($E107,#REF!,0))</f>
        <v>#REF!</v>
      </c>
      <c r="AB107" t="e">
        <f>INDEX(#REF!,MATCH($E107,#REF!,0))</f>
        <v>#REF!</v>
      </c>
      <c r="AC107" t="e">
        <f>INDEX(#REF!,MATCH($E107,#REF!,0))</f>
        <v>#REF!</v>
      </c>
      <c r="AD107" t="e">
        <f>INDEX(#REF!,MATCH($E107,#REF!,0))</f>
        <v>#REF!</v>
      </c>
      <c r="AE107" t="e">
        <f t="shared" si="5"/>
        <v>#REF!</v>
      </c>
    </row>
    <row r="108" spans="2:31" ht="45" x14ac:dyDescent="0.25">
      <c r="B108" s="45" t="s">
        <v>1505</v>
      </c>
      <c r="C108" s="45" t="s">
        <v>237</v>
      </c>
      <c r="D108" s="45" t="s">
        <v>236</v>
      </c>
      <c r="E108" s="45">
        <v>110132</v>
      </c>
      <c r="F108" s="45">
        <v>1005</v>
      </c>
      <c r="G108" s="21">
        <v>6</v>
      </c>
      <c r="H108" s="21">
        <v>2</v>
      </c>
      <c r="I108" s="21" t="s">
        <v>210</v>
      </c>
      <c r="J108" s="21">
        <v>100</v>
      </c>
      <c r="K108" s="21">
        <v>0</v>
      </c>
      <c r="L108" s="2"/>
      <c r="M108" s="64" t="s">
        <v>2253</v>
      </c>
      <c r="N108" s="42"/>
      <c r="P108" s="21"/>
      <c r="Q108" s="12"/>
      <c r="R108">
        <f t="shared" si="6"/>
        <v>1</v>
      </c>
      <c r="S108" s="21" t="s">
        <v>99</v>
      </c>
      <c r="T108" s="21" t="s">
        <v>99</v>
      </c>
      <c r="W108" t="e">
        <f>INDEX(#REF!,MATCH($E108,#REF!,0))</f>
        <v>#REF!</v>
      </c>
      <c r="X108" t="e">
        <f>INDEX(#REF!,MATCH($E108,#REF!,0))</f>
        <v>#REF!</v>
      </c>
      <c r="Y108" t="e">
        <f>INDEX(#REF!,MATCH($E108,#REF!,0))</f>
        <v>#REF!</v>
      </c>
      <c r="Z108" t="e">
        <f>INDEX(#REF!,MATCH($E108,#REF!,0))</f>
        <v>#REF!</v>
      </c>
      <c r="AA108" t="e">
        <f>INDEX(#REF!,MATCH($E108,#REF!,0))</f>
        <v>#REF!</v>
      </c>
      <c r="AB108" t="e">
        <f>INDEX(#REF!,MATCH($E108,#REF!,0))</f>
        <v>#REF!</v>
      </c>
      <c r="AC108" t="e">
        <f>INDEX(#REF!,MATCH($E108,#REF!,0))</f>
        <v>#REF!</v>
      </c>
      <c r="AD108" t="e">
        <f>INDEX(#REF!,MATCH($E108,#REF!,0))</f>
        <v>#REF!</v>
      </c>
      <c r="AE108" t="e">
        <f t="shared" si="5"/>
        <v>#REF!</v>
      </c>
    </row>
    <row r="109" spans="2:31" x14ac:dyDescent="0.25">
      <c r="B109" s="45" t="s">
        <v>1506</v>
      </c>
      <c r="C109" s="45" t="s">
        <v>239</v>
      </c>
      <c r="D109" s="45" t="s">
        <v>238</v>
      </c>
      <c r="E109" s="45">
        <v>110134</v>
      </c>
      <c r="F109" s="45">
        <v>1005</v>
      </c>
      <c r="G109" s="21">
        <v>8</v>
      </c>
      <c r="H109" s="21">
        <v>2</v>
      </c>
      <c r="I109" s="21" t="s">
        <v>210</v>
      </c>
      <c r="J109" s="21">
        <v>100</v>
      </c>
      <c r="K109" s="21">
        <v>0</v>
      </c>
      <c r="L109" s="2"/>
      <c r="M109" s="64" t="s">
        <v>1183</v>
      </c>
      <c r="N109" s="42"/>
      <c r="P109" s="21"/>
      <c r="Q109" s="12"/>
      <c r="R109">
        <f t="shared" si="6"/>
        <v>1</v>
      </c>
      <c r="S109" s="21" t="s">
        <v>99</v>
      </c>
      <c r="T109" s="21" t="s">
        <v>99</v>
      </c>
      <c r="W109" t="e">
        <f>INDEX(#REF!,MATCH($E109,#REF!,0))</f>
        <v>#REF!</v>
      </c>
      <c r="X109" t="e">
        <f>INDEX(#REF!,MATCH($E109,#REF!,0))</f>
        <v>#REF!</v>
      </c>
      <c r="Y109" t="e">
        <f>INDEX(#REF!,MATCH($E109,#REF!,0))</f>
        <v>#REF!</v>
      </c>
      <c r="Z109" t="e">
        <f>INDEX(#REF!,MATCH($E109,#REF!,0))</f>
        <v>#REF!</v>
      </c>
      <c r="AA109" t="e">
        <f>INDEX(#REF!,MATCH($E109,#REF!,0))</f>
        <v>#REF!</v>
      </c>
      <c r="AB109" t="e">
        <f>INDEX(#REF!,MATCH($E109,#REF!,0))</f>
        <v>#REF!</v>
      </c>
      <c r="AC109" t="e">
        <f>INDEX(#REF!,MATCH($E109,#REF!,0))</f>
        <v>#REF!</v>
      </c>
      <c r="AD109" t="e">
        <f>INDEX(#REF!,MATCH($E109,#REF!,0))</f>
        <v>#REF!</v>
      </c>
      <c r="AE109" t="e">
        <f t="shared" si="5"/>
        <v>#REF!</v>
      </c>
    </row>
    <row r="110" spans="2:31" ht="45" x14ac:dyDescent="0.25">
      <c r="B110" s="45" t="s">
        <v>1507</v>
      </c>
      <c r="C110" s="45" t="s">
        <v>241</v>
      </c>
      <c r="D110" s="45" t="s">
        <v>240</v>
      </c>
      <c r="E110" s="45">
        <v>110135</v>
      </c>
      <c r="F110" s="45">
        <v>1005</v>
      </c>
      <c r="G110" s="21">
        <v>10</v>
      </c>
      <c r="H110" s="21">
        <v>2</v>
      </c>
      <c r="I110" s="21" t="s">
        <v>210</v>
      </c>
      <c r="J110" s="21">
        <v>100</v>
      </c>
      <c r="K110" s="21">
        <v>0</v>
      </c>
      <c r="L110" s="2"/>
      <c r="M110" s="64" t="s">
        <v>2254</v>
      </c>
      <c r="N110" s="42"/>
      <c r="P110" s="21"/>
      <c r="Q110" s="12"/>
      <c r="R110">
        <f t="shared" si="6"/>
        <v>1</v>
      </c>
      <c r="S110" s="21" t="s">
        <v>99</v>
      </c>
      <c r="T110" s="21" t="s">
        <v>99</v>
      </c>
      <c r="W110" t="e">
        <f>INDEX(#REF!,MATCH($E110,#REF!,0))</f>
        <v>#REF!</v>
      </c>
      <c r="X110" t="e">
        <f>INDEX(#REF!,MATCH($E110,#REF!,0))</f>
        <v>#REF!</v>
      </c>
      <c r="Y110" t="e">
        <f>INDEX(#REF!,MATCH($E110,#REF!,0))</f>
        <v>#REF!</v>
      </c>
      <c r="Z110" t="e">
        <f>INDEX(#REF!,MATCH($E110,#REF!,0))</f>
        <v>#REF!</v>
      </c>
      <c r="AA110" t="e">
        <f>INDEX(#REF!,MATCH($E110,#REF!,0))</f>
        <v>#REF!</v>
      </c>
      <c r="AB110" t="e">
        <f>INDEX(#REF!,MATCH($E110,#REF!,0))</f>
        <v>#REF!</v>
      </c>
      <c r="AC110" t="e">
        <f>INDEX(#REF!,MATCH($E110,#REF!,0))</f>
        <v>#REF!</v>
      </c>
      <c r="AD110" t="e">
        <f>INDEX(#REF!,MATCH($E110,#REF!,0))</f>
        <v>#REF!</v>
      </c>
      <c r="AE110" t="e">
        <f t="shared" si="5"/>
        <v>#REF!</v>
      </c>
    </row>
    <row r="111" spans="2:31" ht="45" x14ac:dyDescent="0.25">
      <c r="B111" s="45" t="s">
        <v>1508</v>
      </c>
      <c r="C111" s="45" t="s">
        <v>243</v>
      </c>
      <c r="D111" s="45" t="s">
        <v>242</v>
      </c>
      <c r="E111" s="45">
        <v>110136</v>
      </c>
      <c r="F111" s="45">
        <v>1005</v>
      </c>
      <c r="G111" s="21">
        <v>9</v>
      </c>
      <c r="H111" s="21">
        <v>2</v>
      </c>
      <c r="I111" s="21" t="s">
        <v>210</v>
      </c>
      <c r="J111" s="21">
        <v>100</v>
      </c>
      <c r="K111" s="21">
        <v>0</v>
      </c>
      <c r="L111" s="2"/>
      <c r="M111" s="64" t="s">
        <v>2255</v>
      </c>
      <c r="N111" s="42"/>
      <c r="P111" s="21"/>
      <c r="Q111" s="12"/>
      <c r="R111">
        <f t="shared" si="6"/>
        <v>1</v>
      </c>
      <c r="S111" s="21" t="s">
        <v>99</v>
      </c>
      <c r="T111" s="21" t="s">
        <v>99</v>
      </c>
      <c r="W111" t="e">
        <f>INDEX(#REF!,MATCH($E111,#REF!,0))</f>
        <v>#REF!</v>
      </c>
      <c r="X111" t="e">
        <f>INDEX(#REF!,MATCH($E111,#REF!,0))</f>
        <v>#REF!</v>
      </c>
      <c r="Y111" t="e">
        <f>INDEX(#REF!,MATCH($E111,#REF!,0))</f>
        <v>#REF!</v>
      </c>
      <c r="Z111" t="e">
        <f>INDEX(#REF!,MATCH($E111,#REF!,0))</f>
        <v>#REF!</v>
      </c>
      <c r="AA111" t="e">
        <f>INDEX(#REF!,MATCH($E111,#REF!,0))</f>
        <v>#REF!</v>
      </c>
      <c r="AB111" t="e">
        <f>INDEX(#REF!,MATCH($E111,#REF!,0))</f>
        <v>#REF!</v>
      </c>
      <c r="AC111" t="e">
        <f>INDEX(#REF!,MATCH($E111,#REF!,0))</f>
        <v>#REF!</v>
      </c>
      <c r="AD111" t="e">
        <f>INDEX(#REF!,MATCH($E111,#REF!,0))</f>
        <v>#REF!</v>
      </c>
      <c r="AE111" t="e">
        <f t="shared" si="5"/>
        <v>#REF!</v>
      </c>
    </row>
    <row r="112" spans="2:31" x14ac:dyDescent="0.25">
      <c r="B112" s="45" t="s">
        <v>1509</v>
      </c>
      <c r="C112" s="45" t="s">
        <v>1359</v>
      </c>
      <c r="D112" s="45" t="s">
        <v>1357</v>
      </c>
      <c r="E112" s="45">
        <v>110137</v>
      </c>
      <c r="F112" s="45">
        <v>1005</v>
      </c>
      <c r="G112" s="21">
        <v>11</v>
      </c>
      <c r="H112" s="21">
        <v>2</v>
      </c>
      <c r="I112" s="21" t="s">
        <v>210</v>
      </c>
      <c r="J112" s="21">
        <v>100</v>
      </c>
      <c r="K112" s="21">
        <v>0</v>
      </c>
      <c r="L112" s="2"/>
      <c r="M112" s="64" t="s">
        <v>2256</v>
      </c>
      <c r="N112" s="42"/>
      <c r="P112" s="21"/>
      <c r="Q112" s="12" t="s">
        <v>1411</v>
      </c>
      <c r="R112">
        <f t="shared" si="6"/>
        <v>1</v>
      </c>
      <c r="S112" s="21"/>
      <c r="T112" s="21"/>
      <c r="W112" t="e">
        <f>INDEX(#REF!,MATCH($E112,#REF!,0))</f>
        <v>#REF!</v>
      </c>
      <c r="X112" t="e">
        <f>INDEX(#REF!,MATCH($E112,#REF!,0))</f>
        <v>#REF!</v>
      </c>
      <c r="Y112" t="e">
        <f>INDEX(#REF!,MATCH($E112,#REF!,0))</f>
        <v>#REF!</v>
      </c>
      <c r="Z112" t="e">
        <f>INDEX(#REF!,MATCH($E112,#REF!,0))</f>
        <v>#REF!</v>
      </c>
      <c r="AA112" t="e">
        <f>INDEX(#REF!,MATCH($E112,#REF!,0))</f>
        <v>#REF!</v>
      </c>
      <c r="AB112" t="e">
        <f>INDEX(#REF!,MATCH($E112,#REF!,0))</f>
        <v>#REF!</v>
      </c>
      <c r="AC112" t="e">
        <f>INDEX(#REF!,MATCH($E112,#REF!,0))</f>
        <v>#REF!</v>
      </c>
      <c r="AD112" t="e">
        <f>INDEX(#REF!,MATCH($E112,#REF!,0))</f>
        <v>#REF!</v>
      </c>
      <c r="AE112" t="e">
        <f t="shared" si="5"/>
        <v>#REF!</v>
      </c>
    </row>
    <row r="113" spans="2:31" ht="45" x14ac:dyDescent="0.25">
      <c r="B113" s="45" t="s">
        <v>1510</v>
      </c>
      <c r="C113" s="45" t="s">
        <v>1360</v>
      </c>
      <c r="D113" s="45" t="s">
        <v>1358</v>
      </c>
      <c r="E113" s="45">
        <v>110138</v>
      </c>
      <c r="F113" s="45">
        <v>1005</v>
      </c>
      <c r="G113" s="21">
        <v>12</v>
      </c>
      <c r="H113" s="21">
        <v>2</v>
      </c>
      <c r="I113" s="21" t="s">
        <v>210</v>
      </c>
      <c r="J113" s="21">
        <v>100</v>
      </c>
      <c r="K113" s="21">
        <v>0</v>
      </c>
      <c r="L113" s="2"/>
      <c r="M113" s="64" t="s">
        <v>2257</v>
      </c>
      <c r="N113" s="42"/>
      <c r="P113" s="21"/>
      <c r="Q113" s="12" t="s">
        <v>1411</v>
      </c>
      <c r="R113">
        <f t="shared" si="6"/>
        <v>1</v>
      </c>
      <c r="S113" s="21"/>
      <c r="T113" s="21"/>
      <c r="W113" t="e">
        <f>INDEX(#REF!,MATCH($E113,#REF!,0))</f>
        <v>#REF!</v>
      </c>
      <c r="X113" t="e">
        <f>INDEX(#REF!,MATCH($E113,#REF!,0))</f>
        <v>#REF!</v>
      </c>
      <c r="Y113" t="e">
        <f>INDEX(#REF!,MATCH($E113,#REF!,0))</f>
        <v>#REF!</v>
      </c>
      <c r="Z113" t="e">
        <f>INDEX(#REF!,MATCH($E113,#REF!,0))</f>
        <v>#REF!</v>
      </c>
      <c r="AA113" t="e">
        <f>INDEX(#REF!,MATCH($E113,#REF!,0))</f>
        <v>#REF!</v>
      </c>
      <c r="AB113" t="e">
        <f>INDEX(#REF!,MATCH($E113,#REF!,0))</f>
        <v>#REF!</v>
      </c>
      <c r="AC113" t="e">
        <f>INDEX(#REF!,MATCH($E113,#REF!,0))</f>
        <v>#REF!</v>
      </c>
      <c r="AD113" t="e">
        <f>INDEX(#REF!,MATCH($E113,#REF!,0))</f>
        <v>#REF!</v>
      </c>
      <c r="AE113" t="e">
        <f t="shared" si="5"/>
        <v>#REF!</v>
      </c>
    </row>
    <row r="114" spans="2:31" x14ac:dyDescent="0.25">
      <c r="B114" s="89" t="s">
        <v>3231</v>
      </c>
      <c r="C114" s="89" t="s">
        <v>3230</v>
      </c>
      <c r="D114" s="89" t="s">
        <v>3533</v>
      </c>
      <c r="E114" s="89">
        <v>110139</v>
      </c>
      <c r="F114" s="89">
        <v>1005</v>
      </c>
      <c r="G114" s="90">
        <v>13</v>
      </c>
      <c r="H114" s="90">
        <v>2</v>
      </c>
      <c r="I114" s="90" t="s">
        <v>18</v>
      </c>
      <c r="J114" s="90">
        <v>1</v>
      </c>
      <c r="K114" s="90" t="s">
        <v>2509</v>
      </c>
      <c r="L114" s="91">
        <v>9</v>
      </c>
      <c r="M114" s="92"/>
      <c r="N114" s="93"/>
      <c r="O114" s="94"/>
      <c r="P114" s="90" t="s">
        <v>3525</v>
      </c>
      <c r="Q114" s="95" t="s">
        <v>3526</v>
      </c>
      <c r="S114" s="21"/>
      <c r="T114" s="21"/>
    </row>
    <row r="115" spans="2:31" ht="30" x14ac:dyDescent="0.25">
      <c r="B115" s="45" t="s">
        <v>1511</v>
      </c>
      <c r="C115" s="45" t="s">
        <v>245</v>
      </c>
      <c r="D115" s="45" t="s">
        <v>244</v>
      </c>
      <c r="E115" s="45">
        <v>110140</v>
      </c>
      <c r="F115" s="45">
        <v>1005</v>
      </c>
      <c r="G115" s="21">
        <v>14</v>
      </c>
      <c r="H115" s="21">
        <v>2</v>
      </c>
      <c r="I115" s="21" t="s">
        <v>210</v>
      </c>
      <c r="J115" s="21">
        <v>100</v>
      </c>
      <c r="K115" s="21">
        <v>0</v>
      </c>
      <c r="L115" s="2"/>
      <c r="M115" s="64" t="s">
        <v>1265</v>
      </c>
      <c r="N115" s="42"/>
      <c r="P115" s="21"/>
      <c r="Q115" s="12"/>
      <c r="R115">
        <f t="shared" ref="R115:R138" si="7">COUNTIF(C:C,C115)</f>
        <v>1</v>
      </c>
      <c r="S115" s="21" t="s">
        <v>99</v>
      </c>
      <c r="T115" s="21" t="s">
        <v>99</v>
      </c>
      <c r="W115" t="e">
        <f>INDEX(#REF!,MATCH($E115,#REF!,0))</f>
        <v>#REF!</v>
      </c>
      <c r="X115" t="e">
        <f>INDEX(#REF!,MATCH($E115,#REF!,0))</f>
        <v>#REF!</v>
      </c>
      <c r="Y115" t="e">
        <f>INDEX(#REF!,MATCH($E115,#REF!,0))</f>
        <v>#REF!</v>
      </c>
      <c r="Z115" t="e">
        <f>INDEX(#REF!,MATCH($E115,#REF!,0))</f>
        <v>#REF!</v>
      </c>
      <c r="AA115" t="e">
        <f>INDEX(#REF!,MATCH($E115,#REF!,0))</f>
        <v>#REF!</v>
      </c>
      <c r="AB115" t="e">
        <f>INDEX(#REF!,MATCH($E115,#REF!,0))</f>
        <v>#REF!</v>
      </c>
      <c r="AC115" t="e">
        <f>INDEX(#REF!,MATCH($E115,#REF!,0))</f>
        <v>#REF!</v>
      </c>
      <c r="AD115" t="e">
        <f>INDEX(#REF!,MATCH($E115,#REF!,0))</f>
        <v>#REF!</v>
      </c>
      <c r="AE115" t="e">
        <f t="shared" si="5"/>
        <v>#REF!</v>
      </c>
    </row>
    <row r="116" spans="2:31" ht="45" x14ac:dyDescent="0.25">
      <c r="B116" s="45" t="s">
        <v>1512</v>
      </c>
      <c r="C116" s="45" t="s">
        <v>247</v>
      </c>
      <c r="D116" s="45" t="s">
        <v>246</v>
      </c>
      <c r="E116" s="45">
        <v>110141</v>
      </c>
      <c r="F116" s="45">
        <v>1005</v>
      </c>
      <c r="G116" s="21">
        <v>15</v>
      </c>
      <c r="H116" s="21">
        <v>2</v>
      </c>
      <c r="I116" s="21" t="s">
        <v>210</v>
      </c>
      <c r="J116" s="21">
        <v>100</v>
      </c>
      <c r="K116" s="21">
        <v>0</v>
      </c>
      <c r="L116" s="2"/>
      <c r="M116" s="64" t="s">
        <v>2258</v>
      </c>
      <c r="N116" s="42"/>
      <c r="P116" s="21"/>
      <c r="Q116" s="12"/>
      <c r="R116">
        <f t="shared" si="7"/>
        <v>1</v>
      </c>
      <c r="S116" s="21" t="s">
        <v>99</v>
      </c>
      <c r="T116" s="21" t="s">
        <v>99</v>
      </c>
      <c r="W116" t="e">
        <f>INDEX(#REF!,MATCH($E116,#REF!,0))</f>
        <v>#REF!</v>
      </c>
      <c r="X116" t="e">
        <f>INDEX(#REF!,MATCH($E116,#REF!,0))</f>
        <v>#REF!</v>
      </c>
      <c r="Y116" t="e">
        <f>INDEX(#REF!,MATCH($E116,#REF!,0))</f>
        <v>#REF!</v>
      </c>
      <c r="Z116" t="e">
        <f>INDEX(#REF!,MATCH($E116,#REF!,0))</f>
        <v>#REF!</v>
      </c>
      <c r="AA116" t="e">
        <f>INDEX(#REF!,MATCH($E116,#REF!,0))</f>
        <v>#REF!</v>
      </c>
      <c r="AB116" t="e">
        <f>INDEX(#REF!,MATCH($E116,#REF!,0))</f>
        <v>#REF!</v>
      </c>
      <c r="AC116" t="e">
        <f>INDEX(#REF!,MATCH($E116,#REF!,0))</f>
        <v>#REF!</v>
      </c>
      <c r="AD116" t="e">
        <f>INDEX(#REF!,MATCH($E116,#REF!,0))</f>
        <v>#REF!</v>
      </c>
      <c r="AE116" t="e">
        <f t="shared" si="5"/>
        <v>#REF!</v>
      </c>
    </row>
    <row r="117" spans="2:31" ht="45" x14ac:dyDescent="0.25">
      <c r="B117" s="45" t="s">
        <v>1513</v>
      </c>
      <c r="C117" s="45" t="s">
        <v>249</v>
      </c>
      <c r="D117" s="45" t="s">
        <v>248</v>
      </c>
      <c r="E117" s="45">
        <v>110142</v>
      </c>
      <c r="F117" s="45">
        <v>1005</v>
      </c>
      <c r="G117" s="21">
        <v>16</v>
      </c>
      <c r="H117" s="21">
        <v>2</v>
      </c>
      <c r="I117" s="21" t="s">
        <v>210</v>
      </c>
      <c r="J117" s="21">
        <v>100</v>
      </c>
      <c r="K117" s="21">
        <v>0</v>
      </c>
      <c r="L117" s="2"/>
      <c r="M117" s="64" t="s">
        <v>2259</v>
      </c>
      <c r="N117" s="42"/>
      <c r="P117" s="21"/>
      <c r="Q117" s="12"/>
      <c r="R117">
        <f t="shared" si="7"/>
        <v>1</v>
      </c>
      <c r="S117" s="21" t="s">
        <v>99</v>
      </c>
      <c r="T117" s="21" t="s">
        <v>99</v>
      </c>
      <c r="W117" t="e">
        <f>INDEX(#REF!,MATCH($E117,#REF!,0))</f>
        <v>#REF!</v>
      </c>
      <c r="X117" t="e">
        <f>INDEX(#REF!,MATCH($E117,#REF!,0))</f>
        <v>#REF!</v>
      </c>
      <c r="Y117" t="e">
        <f>INDEX(#REF!,MATCH($E117,#REF!,0))</f>
        <v>#REF!</v>
      </c>
      <c r="Z117" t="e">
        <f>INDEX(#REF!,MATCH($E117,#REF!,0))</f>
        <v>#REF!</v>
      </c>
      <c r="AA117" t="e">
        <f>INDEX(#REF!,MATCH($E117,#REF!,0))</f>
        <v>#REF!</v>
      </c>
      <c r="AB117" t="e">
        <f>INDEX(#REF!,MATCH($E117,#REF!,0))</f>
        <v>#REF!</v>
      </c>
      <c r="AC117" t="e">
        <f>INDEX(#REF!,MATCH($E117,#REF!,0))</f>
        <v>#REF!</v>
      </c>
      <c r="AD117" t="e">
        <f>INDEX(#REF!,MATCH($E117,#REF!,0))</f>
        <v>#REF!</v>
      </c>
      <c r="AE117" t="e">
        <f t="shared" si="5"/>
        <v>#REF!</v>
      </c>
    </row>
    <row r="118" spans="2:31" x14ac:dyDescent="0.25">
      <c r="B118" s="45" t="s">
        <v>1514</v>
      </c>
      <c r="C118" s="45" t="s">
        <v>251</v>
      </c>
      <c r="D118" s="45" t="s">
        <v>250</v>
      </c>
      <c r="E118" s="45">
        <v>110145</v>
      </c>
      <c r="F118" s="45">
        <v>1005</v>
      </c>
      <c r="G118" s="21">
        <v>19</v>
      </c>
      <c r="H118" s="21">
        <v>2</v>
      </c>
      <c r="I118" s="21" t="s">
        <v>210</v>
      </c>
      <c r="J118" s="21">
        <v>100</v>
      </c>
      <c r="K118" s="21">
        <v>0</v>
      </c>
      <c r="L118" s="2"/>
      <c r="M118" s="64" t="s">
        <v>1184</v>
      </c>
      <c r="N118" s="42"/>
      <c r="P118" s="21"/>
      <c r="Q118" s="12"/>
      <c r="R118">
        <f t="shared" si="7"/>
        <v>1</v>
      </c>
      <c r="S118" s="21" t="s">
        <v>99</v>
      </c>
      <c r="T118" s="21" t="s">
        <v>99</v>
      </c>
      <c r="W118" t="e">
        <f>INDEX(#REF!,MATCH($E118,#REF!,0))</f>
        <v>#REF!</v>
      </c>
      <c r="X118" t="e">
        <f>INDEX(#REF!,MATCH($E118,#REF!,0))</f>
        <v>#REF!</v>
      </c>
      <c r="Y118" t="e">
        <f>INDEX(#REF!,MATCH($E118,#REF!,0))</f>
        <v>#REF!</v>
      </c>
      <c r="Z118" t="e">
        <f>INDEX(#REF!,MATCH($E118,#REF!,0))</f>
        <v>#REF!</v>
      </c>
      <c r="AA118" t="e">
        <f>INDEX(#REF!,MATCH($E118,#REF!,0))</f>
        <v>#REF!</v>
      </c>
      <c r="AB118" t="e">
        <f>INDEX(#REF!,MATCH($E118,#REF!,0))</f>
        <v>#REF!</v>
      </c>
      <c r="AC118" t="e">
        <f>INDEX(#REF!,MATCH($E118,#REF!,0))</f>
        <v>#REF!</v>
      </c>
      <c r="AD118" t="e">
        <f>INDEX(#REF!,MATCH($E118,#REF!,0))</f>
        <v>#REF!</v>
      </c>
      <c r="AE118" t="e">
        <f t="shared" si="5"/>
        <v>#REF!</v>
      </c>
    </row>
    <row r="119" spans="2:31" ht="45" x14ac:dyDescent="0.25">
      <c r="B119" s="45" t="s">
        <v>1515</v>
      </c>
      <c r="C119" s="45" t="s">
        <v>253</v>
      </c>
      <c r="D119" s="45" t="s">
        <v>252</v>
      </c>
      <c r="E119" s="45">
        <v>110146</v>
      </c>
      <c r="F119" s="45">
        <v>1005</v>
      </c>
      <c r="G119" s="21">
        <v>20</v>
      </c>
      <c r="H119" s="21">
        <v>2</v>
      </c>
      <c r="I119" s="21" t="s">
        <v>210</v>
      </c>
      <c r="J119" s="21">
        <v>100</v>
      </c>
      <c r="K119" s="21">
        <v>0</v>
      </c>
      <c r="L119" s="2"/>
      <c r="M119" s="64" t="s">
        <v>2260</v>
      </c>
      <c r="N119" s="42"/>
      <c r="P119" s="21"/>
      <c r="Q119" s="12"/>
      <c r="R119">
        <f t="shared" si="7"/>
        <v>1</v>
      </c>
      <c r="S119" s="21" t="s">
        <v>99</v>
      </c>
      <c r="T119" s="21" t="s">
        <v>99</v>
      </c>
      <c r="W119" t="e">
        <f>INDEX(#REF!,MATCH($E119,#REF!,0))</f>
        <v>#REF!</v>
      </c>
      <c r="X119" t="e">
        <f>INDEX(#REF!,MATCH($E119,#REF!,0))</f>
        <v>#REF!</v>
      </c>
      <c r="Y119" t="e">
        <f>INDEX(#REF!,MATCH($E119,#REF!,0))</f>
        <v>#REF!</v>
      </c>
      <c r="Z119" t="e">
        <f>INDEX(#REF!,MATCH($E119,#REF!,0))</f>
        <v>#REF!</v>
      </c>
      <c r="AA119" t="e">
        <f>INDEX(#REF!,MATCH($E119,#REF!,0))</f>
        <v>#REF!</v>
      </c>
      <c r="AB119" t="e">
        <f>INDEX(#REF!,MATCH($E119,#REF!,0))</f>
        <v>#REF!</v>
      </c>
      <c r="AC119" t="e">
        <f>INDEX(#REF!,MATCH($E119,#REF!,0))</f>
        <v>#REF!</v>
      </c>
      <c r="AD119" t="e">
        <f>INDEX(#REF!,MATCH($E119,#REF!,0))</f>
        <v>#REF!</v>
      </c>
      <c r="AE119" t="e">
        <f t="shared" si="5"/>
        <v>#REF!</v>
      </c>
    </row>
    <row r="120" spans="2:31" x14ac:dyDescent="0.25">
      <c r="B120" s="45" t="s">
        <v>1516</v>
      </c>
      <c r="C120" s="45" t="s">
        <v>255</v>
      </c>
      <c r="D120" s="45" t="s">
        <v>254</v>
      </c>
      <c r="E120" s="45">
        <v>110148</v>
      </c>
      <c r="F120" s="45">
        <v>1005</v>
      </c>
      <c r="G120" s="21">
        <v>22</v>
      </c>
      <c r="H120" s="21">
        <v>2</v>
      </c>
      <c r="I120" s="21" t="s">
        <v>210</v>
      </c>
      <c r="J120" s="21">
        <v>100</v>
      </c>
      <c r="K120" s="21">
        <v>0</v>
      </c>
      <c r="L120" s="2"/>
      <c r="M120" s="64" t="s">
        <v>1185</v>
      </c>
      <c r="N120" s="42"/>
      <c r="P120" s="21"/>
      <c r="Q120" s="12"/>
      <c r="R120">
        <f t="shared" si="7"/>
        <v>1</v>
      </c>
      <c r="S120" s="21" t="s">
        <v>99</v>
      </c>
      <c r="T120" s="21" t="s">
        <v>99</v>
      </c>
      <c r="W120" t="e">
        <f>INDEX(#REF!,MATCH($E120,#REF!,0))</f>
        <v>#REF!</v>
      </c>
      <c r="X120" t="e">
        <f>INDEX(#REF!,MATCH($E120,#REF!,0))</f>
        <v>#REF!</v>
      </c>
      <c r="Y120" t="e">
        <f>INDEX(#REF!,MATCH($E120,#REF!,0))</f>
        <v>#REF!</v>
      </c>
      <c r="Z120" t="e">
        <f>INDEX(#REF!,MATCH($E120,#REF!,0))</f>
        <v>#REF!</v>
      </c>
      <c r="AA120" t="e">
        <f>INDEX(#REF!,MATCH($E120,#REF!,0))</f>
        <v>#REF!</v>
      </c>
      <c r="AB120" t="e">
        <f>INDEX(#REF!,MATCH($E120,#REF!,0))</f>
        <v>#REF!</v>
      </c>
      <c r="AC120" t="e">
        <f>INDEX(#REF!,MATCH($E120,#REF!,0))</f>
        <v>#REF!</v>
      </c>
      <c r="AD120" t="e">
        <f>INDEX(#REF!,MATCH($E120,#REF!,0))</f>
        <v>#REF!</v>
      </c>
      <c r="AE120" t="e">
        <f t="shared" si="5"/>
        <v>#REF!</v>
      </c>
    </row>
    <row r="121" spans="2:31" ht="45" x14ac:dyDescent="0.25">
      <c r="B121" s="45" t="s">
        <v>1517</v>
      </c>
      <c r="C121" s="45" t="s">
        <v>257</v>
      </c>
      <c r="D121" s="45" t="s">
        <v>256</v>
      </c>
      <c r="E121" s="45">
        <v>110149</v>
      </c>
      <c r="F121" s="45">
        <v>1005</v>
      </c>
      <c r="G121" s="21">
        <v>23</v>
      </c>
      <c r="H121" s="21">
        <v>2</v>
      </c>
      <c r="I121" s="21" t="s">
        <v>210</v>
      </c>
      <c r="J121" s="21">
        <v>100</v>
      </c>
      <c r="K121" s="21">
        <v>0</v>
      </c>
      <c r="L121" s="2"/>
      <c r="M121" s="64" t="s">
        <v>2261</v>
      </c>
      <c r="N121" s="42"/>
      <c r="P121" s="21"/>
      <c r="Q121" s="12"/>
      <c r="R121">
        <f t="shared" si="7"/>
        <v>1</v>
      </c>
      <c r="S121" s="21" t="s">
        <v>99</v>
      </c>
      <c r="T121" s="21" t="s">
        <v>99</v>
      </c>
      <c r="W121" t="e">
        <f>INDEX(#REF!,MATCH($E121,#REF!,0))</f>
        <v>#REF!</v>
      </c>
      <c r="X121" t="e">
        <f>INDEX(#REF!,MATCH($E121,#REF!,0))</f>
        <v>#REF!</v>
      </c>
      <c r="Y121" t="e">
        <f>INDEX(#REF!,MATCH($E121,#REF!,0))</f>
        <v>#REF!</v>
      </c>
      <c r="Z121" t="e">
        <f>INDEX(#REF!,MATCH($E121,#REF!,0))</f>
        <v>#REF!</v>
      </c>
      <c r="AA121" t="e">
        <f>INDEX(#REF!,MATCH($E121,#REF!,0))</f>
        <v>#REF!</v>
      </c>
      <c r="AB121" t="e">
        <f>INDEX(#REF!,MATCH($E121,#REF!,0))</f>
        <v>#REF!</v>
      </c>
      <c r="AC121" t="e">
        <f>INDEX(#REF!,MATCH($E121,#REF!,0))</f>
        <v>#REF!</v>
      </c>
      <c r="AD121" t="e">
        <f>INDEX(#REF!,MATCH($E121,#REF!,0))</f>
        <v>#REF!</v>
      </c>
      <c r="AE121" t="e">
        <f t="shared" si="5"/>
        <v>#REF!</v>
      </c>
    </row>
    <row r="122" spans="2:31" ht="30" x14ac:dyDescent="0.25">
      <c r="B122" s="45" t="s">
        <v>1518</v>
      </c>
      <c r="C122" s="45" t="s">
        <v>259</v>
      </c>
      <c r="D122" s="45" t="s">
        <v>258</v>
      </c>
      <c r="E122" s="45">
        <v>110151</v>
      </c>
      <c r="F122" s="45">
        <v>1006</v>
      </c>
      <c r="G122" s="21">
        <v>0</v>
      </c>
      <c r="H122" s="21">
        <v>2</v>
      </c>
      <c r="I122" s="21" t="s">
        <v>210</v>
      </c>
      <c r="J122" s="21">
        <v>100</v>
      </c>
      <c r="K122" s="21">
        <v>0</v>
      </c>
      <c r="L122" s="2"/>
      <c r="M122" s="64" t="s">
        <v>1266</v>
      </c>
      <c r="N122" s="42"/>
      <c r="P122" s="21"/>
      <c r="Q122" s="12"/>
      <c r="R122">
        <f t="shared" si="7"/>
        <v>1</v>
      </c>
      <c r="S122" s="21" t="s">
        <v>99</v>
      </c>
      <c r="T122" s="21" t="s">
        <v>99</v>
      </c>
      <c r="W122" t="e">
        <f>INDEX(#REF!,MATCH($E122,#REF!,0))</f>
        <v>#REF!</v>
      </c>
      <c r="X122" t="e">
        <f>INDEX(#REF!,MATCH($E122,#REF!,0))</f>
        <v>#REF!</v>
      </c>
      <c r="Y122" t="e">
        <f>INDEX(#REF!,MATCH($E122,#REF!,0))</f>
        <v>#REF!</v>
      </c>
      <c r="Z122" t="e">
        <f>INDEX(#REF!,MATCH($E122,#REF!,0))</f>
        <v>#REF!</v>
      </c>
      <c r="AA122" t="e">
        <f>INDEX(#REF!,MATCH($E122,#REF!,0))</f>
        <v>#REF!</v>
      </c>
      <c r="AB122" t="e">
        <f>INDEX(#REF!,MATCH($E122,#REF!,0))</f>
        <v>#REF!</v>
      </c>
      <c r="AC122" t="e">
        <f>INDEX(#REF!,MATCH($E122,#REF!,0))</f>
        <v>#REF!</v>
      </c>
      <c r="AD122" t="e">
        <f>INDEX(#REF!,MATCH($E122,#REF!,0))</f>
        <v>#REF!</v>
      </c>
      <c r="AE122" t="e">
        <f t="shared" si="5"/>
        <v>#REF!</v>
      </c>
    </row>
    <row r="123" spans="2:31" x14ac:dyDescent="0.25">
      <c r="B123" s="45" t="s">
        <v>1519</v>
      </c>
      <c r="C123" s="45" t="s">
        <v>261</v>
      </c>
      <c r="D123" s="45" t="s">
        <v>260</v>
      </c>
      <c r="E123" s="45">
        <v>110152</v>
      </c>
      <c r="F123" s="45">
        <v>1006</v>
      </c>
      <c r="G123" s="21">
        <v>1</v>
      </c>
      <c r="H123" s="21">
        <v>2</v>
      </c>
      <c r="I123" s="21" t="s">
        <v>210</v>
      </c>
      <c r="J123" s="21">
        <v>100</v>
      </c>
      <c r="K123" s="21">
        <v>0</v>
      </c>
      <c r="L123" s="2"/>
      <c r="M123" s="64" t="s">
        <v>1186</v>
      </c>
      <c r="N123" s="42"/>
      <c r="P123" s="21"/>
      <c r="Q123" s="12"/>
      <c r="R123">
        <f t="shared" si="7"/>
        <v>1</v>
      </c>
      <c r="S123" s="21" t="s">
        <v>99</v>
      </c>
      <c r="T123" s="21" t="s">
        <v>99</v>
      </c>
      <c r="W123" t="e">
        <f>INDEX(#REF!,MATCH($E123,#REF!,0))</f>
        <v>#REF!</v>
      </c>
      <c r="X123" t="e">
        <f>INDEX(#REF!,MATCH($E123,#REF!,0))</f>
        <v>#REF!</v>
      </c>
      <c r="Y123" t="e">
        <f>INDEX(#REF!,MATCH($E123,#REF!,0))</f>
        <v>#REF!</v>
      </c>
      <c r="Z123" t="e">
        <f>INDEX(#REF!,MATCH($E123,#REF!,0))</f>
        <v>#REF!</v>
      </c>
      <c r="AA123" t="e">
        <f>INDEX(#REF!,MATCH($E123,#REF!,0))</f>
        <v>#REF!</v>
      </c>
      <c r="AB123" t="e">
        <f>INDEX(#REF!,MATCH($E123,#REF!,0))</f>
        <v>#REF!</v>
      </c>
      <c r="AC123" t="e">
        <f>INDEX(#REF!,MATCH($E123,#REF!,0))</f>
        <v>#REF!</v>
      </c>
      <c r="AD123" t="e">
        <f>INDEX(#REF!,MATCH($E123,#REF!,0))</f>
        <v>#REF!</v>
      </c>
      <c r="AE123" t="e">
        <f t="shared" si="5"/>
        <v>#REF!</v>
      </c>
    </row>
    <row r="124" spans="2:31" x14ac:dyDescent="0.25">
      <c r="B124" s="45" t="s">
        <v>1520</v>
      </c>
      <c r="C124" s="45" t="s">
        <v>263</v>
      </c>
      <c r="D124" s="45" t="s">
        <v>262</v>
      </c>
      <c r="E124" s="45">
        <v>110153</v>
      </c>
      <c r="F124" s="45">
        <v>1006</v>
      </c>
      <c r="G124" s="21">
        <v>2</v>
      </c>
      <c r="H124" s="21">
        <v>2</v>
      </c>
      <c r="I124" s="21" t="s">
        <v>147</v>
      </c>
      <c r="J124" s="21">
        <v>100000</v>
      </c>
      <c r="K124" s="21">
        <v>0</v>
      </c>
      <c r="L124" s="2"/>
      <c r="M124" s="64" t="s">
        <v>1187</v>
      </c>
      <c r="N124" s="42"/>
      <c r="P124" s="21"/>
      <c r="Q124" s="12"/>
      <c r="R124">
        <f t="shared" si="7"/>
        <v>1</v>
      </c>
      <c r="S124" s="21" t="s">
        <v>99</v>
      </c>
      <c r="T124" s="21" t="s">
        <v>99</v>
      </c>
      <c r="W124" t="e">
        <f>INDEX(#REF!,MATCH($E124,#REF!,0))</f>
        <v>#REF!</v>
      </c>
      <c r="X124" t="e">
        <f>INDEX(#REF!,MATCH($E124,#REF!,0))</f>
        <v>#REF!</v>
      </c>
      <c r="Y124" t="e">
        <f>INDEX(#REF!,MATCH($E124,#REF!,0))</f>
        <v>#REF!</v>
      </c>
      <c r="Z124" t="e">
        <f>INDEX(#REF!,MATCH($E124,#REF!,0))</f>
        <v>#REF!</v>
      </c>
      <c r="AA124" t="e">
        <f>INDEX(#REF!,MATCH($E124,#REF!,0))</f>
        <v>#REF!</v>
      </c>
      <c r="AB124" t="e">
        <f>INDEX(#REF!,MATCH($E124,#REF!,0))</f>
        <v>#REF!</v>
      </c>
      <c r="AC124" t="e">
        <f>INDEX(#REF!,MATCH($E124,#REF!,0))</f>
        <v>#REF!</v>
      </c>
      <c r="AD124" t="e">
        <f>INDEX(#REF!,MATCH($E124,#REF!,0))</f>
        <v>#REF!</v>
      </c>
      <c r="AE124" t="e">
        <f t="shared" si="5"/>
        <v>#REF!</v>
      </c>
    </row>
    <row r="125" spans="2:31" x14ac:dyDescent="0.25">
      <c r="B125" s="45" t="s">
        <v>1521</v>
      </c>
      <c r="C125" s="45" t="s">
        <v>265</v>
      </c>
      <c r="D125" s="45" t="s">
        <v>264</v>
      </c>
      <c r="E125" s="45">
        <v>110154</v>
      </c>
      <c r="F125" s="45">
        <v>1006</v>
      </c>
      <c r="G125" s="21">
        <v>3</v>
      </c>
      <c r="H125" s="21">
        <v>2</v>
      </c>
      <c r="I125" s="21" t="s">
        <v>147</v>
      </c>
      <c r="J125" s="21">
        <v>100000</v>
      </c>
      <c r="K125" s="21">
        <v>0</v>
      </c>
      <c r="L125" s="2"/>
      <c r="M125" s="64" t="s">
        <v>1188</v>
      </c>
      <c r="N125" s="42"/>
      <c r="P125" s="21"/>
      <c r="Q125" s="12"/>
      <c r="R125">
        <f t="shared" si="7"/>
        <v>1</v>
      </c>
      <c r="S125" s="21" t="s">
        <v>99</v>
      </c>
      <c r="T125" s="21" t="s">
        <v>99</v>
      </c>
      <c r="W125" t="e">
        <f>INDEX(#REF!,MATCH($E125,#REF!,0))</f>
        <v>#REF!</v>
      </c>
      <c r="X125" t="e">
        <f>INDEX(#REF!,MATCH($E125,#REF!,0))</f>
        <v>#REF!</v>
      </c>
      <c r="Y125" t="e">
        <f>INDEX(#REF!,MATCH($E125,#REF!,0))</f>
        <v>#REF!</v>
      </c>
      <c r="Z125" t="e">
        <f>INDEX(#REF!,MATCH($E125,#REF!,0))</f>
        <v>#REF!</v>
      </c>
      <c r="AA125" t="e">
        <f>INDEX(#REF!,MATCH($E125,#REF!,0))</f>
        <v>#REF!</v>
      </c>
      <c r="AB125" t="e">
        <f>INDEX(#REF!,MATCH($E125,#REF!,0))</f>
        <v>#REF!</v>
      </c>
      <c r="AC125" t="e">
        <f>INDEX(#REF!,MATCH($E125,#REF!,0))</f>
        <v>#REF!</v>
      </c>
      <c r="AD125" t="e">
        <f>INDEX(#REF!,MATCH($E125,#REF!,0))</f>
        <v>#REF!</v>
      </c>
      <c r="AE125" t="e">
        <f t="shared" si="5"/>
        <v>#REF!</v>
      </c>
    </row>
    <row r="126" spans="2:31" ht="45" x14ac:dyDescent="0.25">
      <c r="B126" s="45" t="s">
        <v>1522</v>
      </c>
      <c r="C126" s="45" t="s">
        <v>267</v>
      </c>
      <c r="D126" s="45" t="s">
        <v>266</v>
      </c>
      <c r="E126" s="45">
        <v>110155</v>
      </c>
      <c r="F126" s="45">
        <v>1006</v>
      </c>
      <c r="G126" s="21">
        <v>4</v>
      </c>
      <c r="H126" s="21">
        <v>2</v>
      </c>
      <c r="I126" s="21" t="s">
        <v>147</v>
      </c>
      <c r="J126" s="21">
        <v>100000</v>
      </c>
      <c r="K126" s="21">
        <v>0</v>
      </c>
      <c r="L126" s="2"/>
      <c r="M126" s="64" t="s">
        <v>2262</v>
      </c>
      <c r="N126" s="42"/>
      <c r="P126" s="21"/>
      <c r="Q126" s="12"/>
      <c r="R126">
        <f t="shared" si="7"/>
        <v>1</v>
      </c>
      <c r="S126" s="21" t="s">
        <v>99</v>
      </c>
      <c r="T126" s="21" t="s">
        <v>99</v>
      </c>
      <c r="W126" t="e">
        <f>INDEX(#REF!,MATCH($E126,#REF!,0))</f>
        <v>#REF!</v>
      </c>
      <c r="X126" t="e">
        <f>INDEX(#REF!,MATCH($E126,#REF!,0))</f>
        <v>#REF!</v>
      </c>
      <c r="Y126" t="e">
        <f>INDEX(#REF!,MATCH($E126,#REF!,0))</f>
        <v>#REF!</v>
      </c>
      <c r="Z126" t="e">
        <f>INDEX(#REF!,MATCH($E126,#REF!,0))</f>
        <v>#REF!</v>
      </c>
      <c r="AA126" t="e">
        <f>INDEX(#REF!,MATCH($E126,#REF!,0))</f>
        <v>#REF!</v>
      </c>
      <c r="AB126" t="e">
        <f>INDEX(#REF!,MATCH($E126,#REF!,0))</f>
        <v>#REF!</v>
      </c>
      <c r="AC126" t="e">
        <f>INDEX(#REF!,MATCH($E126,#REF!,0))</f>
        <v>#REF!</v>
      </c>
      <c r="AD126" t="e">
        <f>INDEX(#REF!,MATCH($E126,#REF!,0))</f>
        <v>#REF!</v>
      </c>
      <c r="AE126" t="e">
        <f t="shared" si="5"/>
        <v>#REF!</v>
      </c>
    </row>
    <row r="127" spans="2:31" x14ac:dyDescent="0.25">
      <c r="B127" s="45" t="s">
        <v>1523</v>
      </c>
      <c r="C127" s="45" t="s">
        <v>269</v>
      </c>
      <c r="D127" s="45" t="s">
        <v>268</v>
      </c>
      <c r="E127" s="45">
        <v>110157</v>
      </c>
      <c r="F127" s="45">
        <v>1006</v>
      </c>
      <c r="G127" s="21">
        <v>6</v>
      </c>
      <c r="H127" s="21">
        <v>2</v>
      </c>
      <c r="I127" s="21" t="s">
        <v>210</v>
      </c>
      <c r="J127" s="21">
        <v>100</v>
      </c>
      <c r="K127" s="21">
        <v>0</v>
      </c>
      <c r="L127" s="2"/>
      <c r="M127" s="64" t="s">
        <v>1189</v>
      </c>
      <c r="N127" s="42"/>
      <c r="P127" s="21"/>
      <c r="Q127" s="12"/>
      <c r="R127">
        <f t="shared" si="7"/>
        <v>1</v>
      </c>
      <c r="S127" s="21" t="s">
        <v>99</v>
      </c>
      <c r="T127" s="21" t="s">
        <v>99</v>
      </c>
      <c r="W127" t="e">
        <f>INDEX(#REF!,MATCH($E127,#REF!,0))</f>
        <v>#REF!</v>
      </c>
      <c r="X127" t="e">
        <f>INDEX(#REF!,MATCH($E127,#REF!,0))</f>
        <v>#REF!</v>
      </c>
      <c r="Y127" t="e">
        <f>INDEX(#REF!,MATCH($E127,#REF!,0))</f>
        <v>#REF!</v>
      </c>
      <c r="Z127" t="e">
        <f>INDEX(#REF!,MATCH($E127,#REF!,0))</f>
        <v>#REF!</v>
      </c>
      <c r="AA127" t="e">
        <f>INDEX(#REF!,MATCH($E127,#REF!,0))</f>
        <v>#REF!</v>
      </c>
      <c r="AB127" t="e">
        <f>INDEX(#REF!,MATCH($E127,#REF!,0))</f>
        <v>#REF!</v>
      </c>
      <c r="AC127" t="e">
        <f>INDEX(#REF!,MATCH($E127,#REF!,0))</f>
        <v>#REF!</v>
      </c>
      <c r="AD127" t="e">
        <f>INDEX(#REF!,MATCH($E127,#REF!,0))</f>
        <v>#REF!</v>
      </c>
      <c r="AE127" t="e">
        <f t="shared" si="5"/>
        <v>#REF!</v>
      </c>
    </row>
    <row r="128" spans="2:31" ht="45" x14ac:dyDescent="0.25">
      <c r="B128" s="45" t="s">
        <v>1524</v>
      </c>
      <c r="C128" s="45" t="s">
        <v>271</v>
      </c>
      <c r="D128" s="45" t="s">
        <v>270</v>
      </c>
      <c r="E128" s="45">
        <v>110158</v>
      </c>
      <c r="F128" s="45">
        <v>1006</v>
      </c>
      <c r="G128" s="21">
        <v>7</v>
      </c>
      <c r="H128" s="21">
        <v>2</v>
      </c>
      <c r="I128" s="21" t="s">
        <v>147</v>
      </c>
      <c r="J128" s="21">
        <v>100000</v>
      </c>
      <c r="K128" s="21">
        <v>0</v>
      </c>
      <c r="L128" s="2"/>
      <c r="M128" s="64" t="s">
        <v>2263</v>
      </c>
      <c r="N128" s="42"/>
      <c r="P128" s="21"/>
      <c r="Q128" s="12"/>
      <c r="R128">
        <f t="shared" si="7"/>
        <v>1</v>
      </c>
      <c r="S128" s="21" t="s">
        <v>99</v>
      </c>
      <c r="T128" s="21" t="s">
        <v>99</v>
      </c>
      <c r="W128" t="e">
        <f>INDEX(#REF!,MATCH($E128,#REF!,0))</f>
        <v>#REF!</v>
      </c>
      <c r="X128" t="e">
        <f>INDEX(#REF!,MATCH($E128,#REF!,0))</f>
        <v>#REF!</v>
      </c>
      <c r="Y128" t="e">
        <f>INDEX(#REF!,MATCH($E128,#REF!,0))</f>
        <v>#REF!</v>
      </c>
      <c r="Z128" t="e">
        <f>INDEX(#REF!,MATCH($E128,#REF!,0))</f>
        <v>#REF!</v>
      </c>
      <c r="AA128" t="e">
        <f>INDEX(#REF!,MATCH($E128,#REF!,0))</f>
        <v>#REF!</v>
      </c>
      <c r="AB128" t="e">
        <f>INDEX(#REF!,MATCH($E128,#REF!,0))</f>
        <v>#REF!</v>
      </c>
      <c r="AC128" t="e">
        <f>INDEX(#REF!,MATCH($E128,#REF!,0))</f>
        <v>#REF!</v>
      </c>
      <c r="AD128" t="e">
        <f>INDEX(#REF!,MATCH($E128,#REF!,0))</f>
        <v>#REF!</v>
      </c>
      <c r="AE128" t="e">
        <f t="shared" si="5"/>
        <v>#REF!</v>
      </c>
    </row>
    <row r="129" spans="2:31" ht="45" x14ac:dyDescent="0.25">
      <c r="B129" s="45" t="s">
        <v>1525</v>
      </c>
      <c r="C129" s="45" t="s">
        <v>273</v>
      </c>
      <c r="D129" s="45" t="s">
        <v>272</v>
      </c>
      <c r="E129" s="45">
        <v>110159</v>
      </c>
      <c r="F129" s="45">
        <v>1006</v>
      </c>
      <c r="G129" s="21">
        <v>8</v>
      </c>
      <c r="H129" s="21">
        <v>2</v>
      </c>
      <c r="I129" s="21" t="s">
        <v>147</v>
      </c>
      <c r="J129" s="21">
        <v>100000</v>
      </c>
      <c r="K129" s="21">
        <v>0</v>
      </c>
      <c r="L129" s="2"/>
      <c r="M129" s="64" t="s">
        <v>2264</v>
      </c>
      <c r="N129" s="42"/>
      <c r="P129" s="21"/>
      <c r="Q129" s="12"/>
      <c r="R129">
        <f t="shared" si="7"/>
        <v>1</v>
      </c>
      <c r="S129" s="21" t="s">
        <v>99</v>
      </c>
      <c r="T129" s="21" t="s">
        <v>99</v>
      </c>
      <c r="W129" t="e">
        <f>INDEX(#REF!,MATCH($E129,#REF!,0))</f>
        <v>#REF!</v>
      </c>
      <c r="X129" t="e">
        <f>INDEX(#REF!,MATCH($E129,#REF!,0))</f>
        <v>#REF!</v>
      </c>
      <c r="Y129" t="e">
        <f>INDEX(#REF!,MATCH($E129,#REF!,0))</f>
        <v>#REF!</v>
      </c>
      <c r="Z129" t="e">
        <f>INDEX(#REF!,MATCH($E129,#REF!,0))</f>
        <v>#REF!</v>
      </c>
      <c r="AA129" t="e">
        <f>INDEX(#REF!,MATCH($E129,#REF!,0))</f>
        <v>#REF!</v>
      </c>
      <c r="AB129" t="e">
        <f>INDEX(#REF!,MATCH($E129,#REF!,0))</f>
        <v>#REF!</v>
      </c>
      <c r="AC129" t="e">
        <f>INDEX(#REF!,MATCH($E129,#REF!,0))</f>
        <v>#REF!</v>
      </c>
      <c r="AD129" t="e">
        <f>INDEX(#REF!,MATCH($E129,#REF!,0))</f>
        <v>#REF!</v>
      </c>
      <c r="AE129" t="e">
        <f t="shared" si="5"/>
        <v>#REF!</v>
      </c>
    </row>
    <row r="130" spans="2:31" ht="45" x14ac:dyDescent="0.25">
      <c r="B130" s="45" t="s">
        <v>1526</v>
      </c>
      <c r="C130" s="45" t="s">
        <v>275</v>
      </c>
      <c r="D130" s="45" t="s">
        <v>274</v>
      </c>
      <c r="E130" s="45">
        <v>110160</v>
      </c>
      <c r="F130" s="45">
        <v>1006</v>
      </c>
      <c r="G130" s="21">
        <v>9</v>
      </c>
      <c r="H130" s="21">
        <v>2</v>
      </c>
      <c r="I130" s="21" t="s">
        <v>175</v>
      </c>
      <c r="J130" s="21">
        <v>10000</v>
      </c>
      <c r="K130" s="21">
        <v>0</v>
      </c>
      <c r="L130" s="2"/>
      <c r="M130" s="64" t="s">
        <v>2265</v>
      </c>
      <c r="N130" s="42"/>
      <c r="P130" s="21"/>
      <c r="Q130" s="12"/>
      <c r="R130">
        <f t="shared" si="7"/>
        <v>1</v>
      </c>
      <c r="S130" s="21" t="s">
        <v>99</v>
      </c>
      <c r="T130" s="21" t="s">
        <v>99</v>
      </c>
      <c r="W130" t="e">
        <f>INDEX(#REF!,MATCH($E130,#REF!,0))</f>
        <v>#REF!</v>
      </c>
      <c r="X130" t="e">
        <f>INDEX(#REF!,MATCH($E130,#REF!,0))</f>
        <v>#REF!</v>
      </c>
      <c r="Y130" t="e">
        <f>INDEX(#REF!,MATCH($E130,#REF!,0))</f>
        <v>#REF!</v>
      </c>
      <c r="Z130" t="e">
        <f>INDEX(#REF!,MATCH($E130,#REF!,0))</f>
        <v>#REF!</v>
      </c>
      <c r="AA130" t="e">
        <f>INDEX(#REF!,MATCH($E130,#REF!,0))</f>
        <v>#REF!</v>
      </c>
      <c r="AB130" t="e">
        <f>INDEX(#REF!,MATCH($E130,#REF!,0))</f>
        <v>#REF!</v>
      </c>
      <c r="AC130" t="e">
        <f>INDEX(#REF!,MATCH($E130,#REF!,0))</f>
        <v>#REF!</v>
      </c>
      <c r="AD130" t="e">
        <f>INDEX(#REF!,MATCH($E130,#REF!,0))</f>
        <v>#REF!</v>
      </c>
      <c r="AE130" t="e">
        <f t="shared" si="5"/>
        <v>#REF!</v>
      </c>
    </row>
    <row r="131" spans="2:31" ht="45" x14ac:dyDescent="0.25">
      <c r="B131" s="45" t="s">
        <v>1527</v>
      </c>
      <c r="C131" s="45" t="s">
        <v>277</v>
      </c>
      <c r="D131" s="45" t="s">
        <v>276</v>
      </c>
      <c r="E131" s="45">
        <v>110161</v>
      </c>
      <c r="F131" s="45">
        <v>1006</v>
      </c>
      <c r="G131" s="21">
        <v>10</v>
      </c>
      <c r="H131" s="21">
        <v>2</v>
      </c>
      <c r="I131" s="21" t="s">
        <v>175</v>
      </c>
      <c r="J131" s="21">
        <v>10000</v>
      </c>
      <c r="K131" s="21">
        <v>0</v>
      </c>
      <c r="L131" s="2"/>
      <c r="M131" s="64" t="s">
        <v>2266</v>
      </c>
      <c r="N131" s="42"/>
      <c r="P131" s="21"/>
      <c r="Q131" s="12"/>
      <c r="R131">
        <f t="shared" si="7"/>
        <v>1</v>
      </c>
      <c r="S131" s="21" t="s">
        <v>99</v>
      </c>
      <c r="T131" s="21" t="s">
        <v>99</v>
      </c>
      <c r="W131" t="e">
        <f>INDEX(#REF!,MATCH($E131,#REF!,0))</f>
        <v>#REF!</v>
      </c>
      <c r="X131" t="e">
        <f>INDEX(#REF!,MATCH($E131,#REF!,0))</f>
        <v>#REF!</v>
      </c>
      <c r="Y131" t="e">
        <f>INDEX(#REF!,MATCH($E131,#REF!,0))</f>
        <v>#REF!</v>
      </c>
      <c r="Z131" t="e">
        <f>INDEX(#REF!,MATCH($E131,#REF!,0))</f>
        <v>#REF!</v>
      </c>
      <c r="AA131" t="e">
        <f>INDEX(#REF!,MATCH($E131,#REF!,0))</f>
        <v>#REF!</v>
      </c>
      <c r="AB131" t="e">
        <f>INDEX(#REF!,MATCH($E131,#REF!,0))</f>
        <v>#REF!</v>
      </c>
      <c r="AC131" t="e">
        <f>INDEX(#REF!,MATCH($E131,#REF!,0))</f>
        <v>#REF!</v>
      </c>
      <c r="AD131" t="e">
        <f>INDEX(#REF!,MATCH($E131,#REF!,0))</f>
        <v>#REF!</v>
      </c>
      <c r="AE131" t="e">
        <f t="shared" si="5"/>
        <v>#REF!</v>
      </c>
    </row>
    <row r="132" spans="2:31" x14ac:dyDescent="0.25">
      <c r="B132" s="45" t="s">
        <v>1528</v>
      </c>
      <c r="C132" s="45" t="s">
        <v>279</v>
      </c>
      <c r="D132" s="45" t="s">
        <v>278</v>
      </c>
      <c r="E132" s="45">
        <v>110162</v>
      </c>
      <c r="F132" s="45">
        <v>1006</v>
      </c>
      <c r="G132" s="21">
        <v>11</v>
      </c>
      <c r="H132" s="21">
        <v>2</v>
      </c>
      <c r="I132" s="21" t="s">
        <v>21</v>
      </c>
      <c r="J132" s="21">
        <v>10</v>
      </c>
      <c r="K132" s="21">
        <v>0</v>
      </c>
      <c r="L132" s="2"/>
      <c r="M132" s="64" t="s">
        <v>1190</v>
      </c>
      <c r="N132" s="42"/>
      <c r="P132" s="21"/>
      <c r="Q132" s="12"/>
      <c r="R132">
        <f t="shared" si="7"/>
        <v>1</v>
      </c>
      <c r="S132" s="21" t="s">
        <v>99</v>
      </c>
      <c r="T132" s="21" t="s">
        <v>99</v>
      </c>
      <c r="W132" t="e">
        <f>INDEX(#REF!,MATCH($E132,#REF!,0))</f>
        <v>#REF!</v>
      </c>
      <c r="X132" t="e">
        <f>INDEX(#REF!,MATCH($E132,#REF!,0))</f>
        <v>#REF!</v>
      </c>
      <c r="Y132" t="e">
        <f>INDEX(#REF!,MATCH($E132,#REF!,0))</f>
        <v>#REF!</v>
      </c>
      <c r="Z132" t="e">
        <f>INDEX(#REF!,MATCH($E132,#REF!,0))</f>
        <v>#REF!</v>
      </c>
      <c r="AA132" t="e">
        <f>INDEX(#REF!,MATCH($E132,#REF!,0))</f>
        <v>#REF!</v>
      </c>
      <c r="AB132" t="e">
        <f>INDEX(#REF!,MATCH($E132,#REF!,0))</f>
        <v>#REF!</v>
      </c>
      <c r="AC132" t="e">
        <f>INDEX(#REF!,MATCH($E132,#REF!,0))</f>
        <v>#REF!</v>
      </c>
      <c r="AD132" t="e">
        <f>INDEX(#REF!,MATCH($E132,#REF!,0))</f>
        <v>#REF!</v>
      </c>
      <c r="AE132" t="e">
        <f t="shared" si="5"/>
        <v>#REF!</v>
      </c>
    </row>
    <row r="133" spans="2:31" ht="45" x14ac:dyDescent="0.25">
      <c r="B133" s="45" t="s">
        <v>1529</v>
      </c>
      <c r="C133" s="45" t="s">
        <v>281</v>
      </c>
      <c r="D133" s="45" t="s">
        <v>280</v>
      </c>
      <c r="E133" s="45">
        <v>110163</v>
      </c>
      <c r="F133" s="45">
        <v>1006</v>
      </c>
      <c r="G133" s="21">
        <v>12</v>
      </c>
      <c r="H133" s="21">
        <v>2</v>
      </c>
      <c r="I133" s="21" t="s">
        <v>147</v>
      </c>
      <c r="J133" s="21">
        <v>100000</v>
      </c>
      <c r="K133" s="21">
        <v>0</v>
      </c>
      <c r="L133" s="2"/>
      <c r="M133" s="64" t="s">
        <v>2267</v>
      </c>
      <c r="N133" s="42"/>
      <c r="P133" s="21"/>
      <c r="Q133" s="12"/>
      <c r="R133">
        <f t="shared" si="7"/>
        <v>1</v>
      </c>
      <c r="S133" s="21" t="s">
        <v>99</v>
      </c>
      <c r="T133" s="21" t="s">
        <v>99</v>
      </c>
      <c r="W133" t="e">
        <f>INDEX(#REF!,MATCH($E133,#REF!,0))</f>
        <v>#REF!</v>
      </c>
      <c r="X133" t="e">
        <f>INDEX(#REF!,MATCH($E133,#REF!,0))</f>
        <v>#REF!</v>
      </c>
      <c r="Y133" t="e">
        <f>INDEX(#REF!,MATCH($E133,#REF!,0))</f>
        <v>#REF!</v>
      </c>
      <c r="Z133" t="e">
        <f>INDEX(#REF!,MATCH($E133,#REF!,0))</f>
        <v>#REF!</v>
      </c>
      <c r="AA133" t="e">
        <f>INDEX(#REF!,MATCH($E133,#REF!,0))</f>
        <v>#REF!</v>
      </c>
      <c r="AB133" t="e">
        <f>INDEX(#REF!,MATCH($E133,#REF!,0))</f>
        <v>#REF!</v>
      </c>
      <c r="AC133" t="e">
        <f>INDEX(#REF!,MATCH($E133,#REF!,0))</f>
        <v>#REF!</v>
      </c>
      <c r="AD133" t="e">
        <f>INDEX(#REF!,MATCH($E133,#REF!,0))</f>
        <v>#REF!</v>
      </c>
      <c r="AE133" t="e">
        <f t="shared" si="5"/>
        <v>#REF!</v>
      </c>
    </row>
    <row r="134" spans="2:31" ht="45" x14ac:dyDescent="0.25">
      <c r="B134" s="45" t="s">
        <v>1530</v>
      </c>
      <c r="C134" s="45" t="s">
        <v>283</v>
      </c>
      <c r="D134" s="45" t="s">
        <v>282</v>
      </c>
      <c r="E134" s="45">
        <v>110164</v>
      </c>
      <c r="F134" s="45">
        <v>1006</v>
      </c>
      <c r="G134" s="21">
        <v>13</v>
      </c>
      <c r="H134" s="21">
        <v>2</v>
      </c>
      <c r="I134" s="21" t="s">
        <v>147</v>
      </c>
      <c r="J134" s="21">
        <v>100000</v>
      </c>
      <c r="K134" s="21">
        <v>0</v>
      </c>
      <c r="L134" s="2"/>
      <c r="M134" s="64" t="s">
        <v>2268</v>
      </c>
      <c r="N134" s="42"/>
      <c r="P134" s="21"/>
      <c r="Q134" s="12"/>
      <c r="R134">
        <f t="shared" si="7"/>
        <v>1</v>
      </c>
      <c r="S134" s="21" t="s">
        <v>99</v>
      </c>
      <c r="T134" s="21" t="s">
        <v>99</v>
      </c>
      <c r="W134" t="e">
        <f>INDEX(#REF!,MATCH($E134,#REF!,0))</f>
        <v>#REF!</v>
      </c>
      <c r="X134" t="e">
        <f>INDEX(#REF!,MATCH($E134,#REF!,0))</f>
        <v>#REF!</v>
      </c>
      <c r="Y134" t="e">
        <f>INDEX(#REF!,MATCH($E134,#REF!,0))</f>
        <v>#REF!</v>
      </c>
      <c r="Z134" t="e">
        <f>INDEX(#REF!,MATCH($E134,#REF!,0))</f>
        <v>#REF!</v>
      </c>
      <c r="AA134" t="e">
        <f>INDEX(#REF!,MATCH($E134,#REF!,0))</f>
        <v>#REF!</v>
      </c>
      <c r="AB134" t="e">
        <f>INDEX(#REF!,MATCH($E134,#REF!,0))</f>
        <v>#REF!</v>
      </c>
      <c r="AC134" t="e">
        <f>INDEX(#REF!,MATCH($E134,#REF!,0))</f>
        <v>#REF!</v>
      </c>
      <c r="AD134" t="e">
        <f>INDEX(#REF!,MATCH($E134,#REF!,0))</f>
        <v>#REF!</v>
      </c>
      <c r="AE134" t="e">
        <f t="shared" si="5"/>
        <v>#REF!</v>
      </c>
    </row>
    <row r="135" spans="2:31" ht="45" x14ac:dyDescent="0.25">
      <c r="B135" s="45" t="s">
        <v>1531</v>
      </c>
      <c r="C135" s="45" t="s">
        <v>285</v>
      </c>
      <c r="D135" s="45" t="s">
        <v>284</v>
      </c>
      <c r="E135" s="45">
        <v>110167</v>
      </c>
      <c r="F135" s="45">
        <v>1006</v>
      </c>
      <c r="G135" s="21">
        <v>16</v>
      </c>
      <c r="H135" s="21">
        <v>2</v>
      </c>
      <c r="I135" s="21" t="s">
        <v>210</v>
      </c>
      <c r="J135" s="21">
        <v>100</v>
      </c>
      <c r="K135" s="21">
        <v>0</v>
      </c>
      <c r="L135" s="2"/>
      <c r="M135" s="64" t="s">
        <v>2269</v>
      </c>
      <c r="N135" s="42"/>
      <c r="P135" s="21"/>
      <c r="Q135" s="12"/>
      <c r="R135">
        <f t="shared" si="7"/>
        <v>1</v>
      </c>
      <c r="S135" s="21" t="s">
        <v>99</v>
      </c>
      <c r="T135" s="21" t="s">
        <v>99</v>
      </c>
      <c r="W135" t="e">
        <f>INDEX(#REF!,MATCH($E135,#REF!,0))</f>
        <v>#REF!</v>
      </c>
      <c r="X135" t="e">
        <f>INDEX(#REF!,MATCH($E135,#REF!,0))</f>
        <v>#REF!</v>
      </c>
      <c r="Y135" t="e">
        <f>INDEX(#REF!,MATCH($E135,#REF!,0))</f>
        <v>#REF!</v>
      </c>
      <c r="Z135" t="e">
        <f>INDEX(#REF!,MATCH($E135,#REF!,0))</f>
        <v>#REF!</v>
      </c>
      <c r="AA135" t="e">
        <f>INDEX(#REF!,MATCH($E135,#REF!,0))</f>
        <v>#REF!</v>
      </c>
      <c r="AB135" t="e">
        <f>INDEX(#REF!,MATCH($E135,#REF!,0))</f>
        <v>#REF!</v>
      </c>
      <c r="AC135" t="e">
        <f>INDEX(#REF!,MATCH($E135,#REF!,0))</f>
        <v>#REF!</v>
      </c>
      <c r="AD135" t="e">
        <f>INDEX(#REF!,MATCH($E135,#REF!,0))</f>
        <v>#REF!</v>
      </c>
      <c r="AE135" t="e">
        <f t="shared" si="5"/>
        <v>#REF!</v>
      </c>
    </row>
    <row r="136" spans="2:31" x14ac:dyDescent="0.25">
      <c r="B136" s="45" t="s">
        <v>1532</v>
      </c>
      <c r="C136" s="45" t="s">
        <v>287</v>
      </c>
      <c r="D136" s="45" t="s">
        <v>286</v>
      </c>
      <c r="E136" s="45">
        <v>110169</v>
      </c>
      <c r="F136" s="45">
        <v>1006</v>
      </c>
      <c r="G136" s="21">
        <v>18</v>
      </c>
      <c r="H136" s="21">
        <v>2</v>
      </c>
      <c r="I136" s="21" t="s">
        <v>210</v>
      </c>
      <c r="J136" s="21">
        <v>100</v>
      </c>
      <c r="K136" s="21">
        <v>0</v>
      </c>
      <c r="L136" s="2"/>
      <c r="M136" s="64" t="s">
        <v>1191</v>
      </c>
      <c r="N136" s="42"/>
      <c r="P136" s="21"/>
      <c r="Q136" s="12"/>
      <c r="R136">
        <f t="shared" si="7"/>
        <v>1</v>
      </c>
      <c r="S136" s="21" t="s">
        <v>99</v>
      </c>
      <c r="T136" s="21" t="s">
        <v>99</v>
      </c>
      <c r="W136" t="e">
        <f>INDEX(#REF!,MATCH($E136,#REF!,0))</f>
        <v>#REF!</v>
      </c>
      <c r="X136" t="e">
        <f>INDEX(#REF!,MATCH($E136,#REF!,0))</f>
        <v>#REF!</v>
      </c>
      <c r="Y136" t="e">
        <f>INDEX(#REF!,MATCH($E136,#REF!,0))</f>
        <v>#REF!</v>
      </c>
      <c r="Z136" t="e">
        <f>INDEX(#REF!,MATCH($E136,#REF!,0))</f>
        <v>#REF!</v>
      </c>
      <c r="AA136" t="e">
        <f>INDEX(#REF!,MATCH($E136,#REF!,0))</f>
        <v>#REF!</v>
      </c>
      <c r="AB136" t="e">
        <f>INDEX(#REF!,MATCH($E136,#REF!,0))</f>
        <v>#REF!</v>
      </c>
      <c r="AC136" t="e">
        <f>INDEX(#REF!,MATCH($E136,#REF!,0))</f>
        <v>#REF!</v>
      </c>
      <c r="AD136" t="e">
        <f>INDEX(#REF!,MATCH($E136,#REF!,0))</f>
        <v>#REF!</v>
      </c>
      <c r="AE136" t="e">
        <f t="shared" si="5"/>
        <v>#REF!</v>
      </c>
    </row>
    <row r="137" spans="2:31" ht="45" x14ac:dyDescent="0.25">
      <c r="B137" s="45" t="s">
        <v>1533</v>
      </c>
      <c r="C137" s="45" t="s">
        <v>289</v>
      </c>
      <c r="D137" s="45" t="s">
        <v>288</v>
      </c>
      <c r="E137" s="45">
        <v>110172</v>
      </c>
      <c r="F137" s="45">
        <v>1006</v>
      </c>
      <c r="G137" s="21">
        <v>21</v>
      </c>
      <c r="H137" s="21">
        <v>2</v>
      </c>
      <c r="I137" s="21" t="s">
        <v>175</v>
      </c>
      <c r="J137" s="21">
        <v>10000</v>
      </c>
      <c r="K137" s="21">
        <v>0</v>
      </c>
      <c r="L137" s="2"/>
      <c r="M137" s="64" t="s">
        <v>2270</v>
      </c>
      <c r="N137" s="42"/>
      <c r="P137" s="21"/>
      <c r="Q137" s="12"/>
      <c r="R137">
        <f t="shared" si="7"/>
        <v>1</v>
      </c>
      <c r="S137" s="21" t="s">
        <v>99</v>
      </c>
      <c r="T137" s="21" t="s">
        <v>99</v>
      </c>
      <c r="W137" t="e">
        <f>INDEX(#REF!,MATCH($E137,#REF!,0))</f>
        <v>#REF!</v>
      </c>
      <c r="X137" t="e">
        <f>INDEX(#REF!,MATCH($E137,#REF!,0))</f>
        <v>#REF!</v>
      </c>
      <c r="Y137" t="e">
        <f>INDEX(#REF!,MATCH($E137,#REF!,0))</f>
        <v>#REF!</v>
      </c>
      <c r="Z137" t="e">
        <f>INDEX(#REF!,MATCH($E137,#REF!,0))</f>
        <v>#REF!</v>
      </c>
      <c r="AA137" t="e">
        <f>INDEX(#REF!,MATCH($E137,#REF!,0))</f>
        <v>#REF!</v>
      </c>
      <c r="AB137" t="e">
        <f>INDEX(#REF!,MATCH($E137,#REF!,0))</f>
        <v>#REF!</v>
      </c>
      <c r="AC137" t="e">
        <f>INDEX(#REF!,MATCH($E137,#REF!,0))</f>
        <v>#REF!</v>
      </c>
      <c r="AD137" t="e">
        <f>INDEX(#REF!,MATCH($E137,#REF!,0))</f>
        <v>#REF!</v>
      </c>
      <c r="AE137" t="e">
        <f t="shared" si="5"/>
        <v>#REF!</v>
      </c>
    </row>
    <row r="138" spans="2:31" ht="45" x14ac:dyDescent="0.25">
      <c r="B138" s="45" t="s">
        <v>1534</v>
      </c>
      <c r="C138" s="45" t="s">
        <v>291</v>
      </c>
      <c r="D138" s="45" t="s">
        <v>290</v>
      </c>
      <c r="E138" s="45">
        <v>110173</v>
      </c>
      <c r="F138" s="45">
        <v>1006</v>
      </c>
      <c r="G138" s="21">
        <v>22</v>
      </c>
      <c r="H138" s="21">
        <v>2</v>
      </c>
      <c r="I138" s="21" t="s">
        <v>175</v>
      </c>
      <c r="J138" s="21">
        <v>10000</v>
      </c>
      <c r="K138" s="21">
        <v>0</v>
      </c>
      <c r="L138" s="2"/>
      <c r="M138" s="64" t="s">
        <v>2271</v>
      </c>
      <c r="N138" s="42"/>
      <c r="P138" s="21"/>
      <c r="Q138" s="12"/>
      <c r="R138">
        <f t="shared" si="7"/>
        <v>1</v>
      </c>
      <c r="S138" s="21" t="s">
        <v>99</v>
      </c>
      <c r="T138" s="21" t="s">
        <v>99</v>
      </c>
      <c r="W138" t="e">
        <f>INDEX(#REF!,MATCH($E138,#REF!,0))</f>
        <v>#REF!</v>
      </c>
      <c r="X138" t="e">
        <f>INDEX(#REF!,MATCH($E138,#REF!,0))</f>
        <v>#REF!</v>
      </c>
      <c r="Y138" t="e">
        <f>INDEX(#REF!,MATCH($E138,#REF!,0))</f>
        <v>#REF!</v>
      </c>
      <c r="Z138" t="e">
        <f>INDEX(#REF!,MATCH($E138,#REF!,0))</f>
        <v>#REF!</v>
      </c>
      <c r="AA138" t="e">
        <f>INDEX(#REF!,MATCH($E138,#REF!,0))</f>
        <v>#REF!</v>
      </c>
      <c r="AB138" t="e">
        <f>INDEX(#REF!,MATCH($E138,#REF!,0))</f>
        <v>#REF!</v>
      </c>
      <c r="AC138" t="e">
        <f>INDEX(#REF!,MATCH($E138,#REF!,0))</f>
        <v>#REF!</v>
      </c>
      <c r="AD138" t="e">
        <f>INDEX(#REF!,MATCH($E138,#REF!,0))</f>
        <v>#REF!</v>
      </c>
      <c r="AE138" t="e">
        <f t="shared" si="5"/>
        <v>#REF!</v>
      </c>
    </row>
    <row r="139" spans="2:31" x14ac:dyDescent="0.25">
      <c r="B139" s="89" t="s">
        <v>3209</v>
      </c>
      <c r="C139" s="89" t="s">
        <v>3208</v>
      </c>
      <c r="D139" s="89" t="s">
        <v>3534</v>
      </c>
      <c r="E139" s="89">
        <v>110185</v>
      </c>
      <c r="F139" s="89">
        <v>1007</v>
      </c>
      <c r="G139" s="90">
        <v>13</v>
      </c>
      <c r="H139" s="90">
        <v>2</v>
      </c>
      <c r="I139" s="90" t="s">
        <v>18</v>
      </c>
      <c r="J139" s="90">
        <v>1</v>
      </c>
      <c r="K139" s="90" t="s">
        <v>2509</v>
      </c>
      <c r="L139" s="91">
        <v>81</v>
      </c>
      <c r="M139" s="92"/>
      <c r="N139" s="93"/>
      <c r="O139" s="94"/>
      <c r="P139" s="90" t="s">
        <v>3525</v>
      </c>
      <c r="Q139" s="95" t="s">
        <v>3526</v>
      </c>
      <c r="S139" s="21"/>
      <c r="T139" s="21"/>
    </row>
    <row r="140" spans="2:31" x14ac:dyDescent="0.25">
      <c r="B140" s="45" t="s">
        <v>1535</v>
      </c>
      <c r="C140" s="45" t="s">
        <v>293</v>
      </c>
      <c r="D140" s="45" t="s">
        <v>292</v>
      </c>
      <c r="E140" s="45">
        <v>110186</v>
      </c>
      <c r="F140" s="45">
        <v>1007</v>
      </c>
      <c r="G140" s="21">
        <v>10</v>
      </c>
      <c r="H140" s="21">
        <v>2</v>
      </c>
      <c r="I140" s="21" t="s">
        <v>21</v>
      </c>
      <c r="J140" s="21">
        <v>10</v>
      </c>
      <c r="K140" s="21">
        <v>0</v>
      </c>
      <c r="L140" s="2"/>
      <c r="M140" s="64" t="s">
        <v>1192</v>
      </c>
      <c r="N140" s="42"/>
      <c r="P140" s="21"/>
      <c r="Q140" s="12"/>
      <c r="R140">
        <f>COUNTIF(C:C,C140)</f>
        <v>1</v>
      </c>
      <c r="S140" s="21" t="s">
        <v>99</v>
      </c>
      <c r="T140" s="21" t="s">
        <v>99</v>
      </c>
      <c r="W140" t="e">
        <f>INDEX(#REF!,MATCH($E140,#REF!,0))</f>
        <v>#REF!</v>
      </c>
      <c r="X140" t="e">
        <f>INDEX(#REF!,MATCH($E140,#REF!,0))</f>
        <v>#REF!</v>
      </c>
      <c r="Y140" t="e">
        <f>INDEX(#REF!,MATCH($E140,#REF!,0))</f>
        <v>#REF!</v>
      </c>
      <c r="Z140" t="e">
        <f>INDEX(#REF!,MATCH($E140,#REF!,0))</f>
        <v>#REF!</v>
      </c>
      <c r="AA140" t="e">
        <f>INDEX(#REF!,MATCH($E140,#REF!,0))</f>
        <v>#REF!</v>
      </c>
      <c r="AB140" t="e">
        <f>INDEX(#REF!,MATCH($E140,#REF!,0))</f>
        <v>#REF!</v>
      </c>
      <c r="AC140" t="e">
        <f>INDEX(#REF!,MATCH($E140,#REF!,0))</f>
        <v>#REF!</v>
      </c>
      <c r="AD140" t="e">
        <f>INDEX(#REF!,MATCH($E140,#REF!,0))</f>
        <v>#REF!</v>
      </c>
      <c r="AE140" t="e">
        <f t="shared" si="5"/>
        <v>#REF!</v>
      </c>
    </row>
    <row r="141" spans="2:31" x14ac:dyDescent="0.25">
      <c r="B141" s="89" t="s">
        <v>3233</v>
      </c>
      <c r="C141" s="89" t="s">
        <v>3232</v>
      </c>
      <c r="D141" s="89" t="s">
        <v>3535</v>
      </c>
      <c r="E141" s="89">
        <v>110187</v>
      </c>
      <c r="F141" s="89">
        <v>1007</v>
      </c>
      <c r="G141" s="90">
        <v>9</v>
      </c>
      <c r="H141" s="90">
        <v>2</v>
      </c>
      <c r="I141" s="90" t="s">
        <v>18</v>
      </c>
      <c r="J141" s="90">
        <v>1</v>
      </c>
      <c r="K141" s="90" t="s">
        <v>2509</v>
      </c>
      <c r="L141" s="91">
        <v>29</v>
      </c>
      <c r="M141" s="92"/>
      <c r="N141" s="93"/>
      <c r="O141" s="94"/>
      <c r="P141" s="90" t="s">
        <v>3525</v>
      </c>
      <c r="Q141" s="95" t="s">
        <v>3526</v>
      </c>
      <c r="S141" s="21"/>
      <c r="T141" s="21"/>
    </row>
    <row r="142" spans="2:31" x14ac:dyDescent="0.25">
      <c r="B142" s="89" t="s">
        <v>3211</v>
      </c>
      <c r="C142" s="89" t="s">
        <v>3210</v>
      </c>
      <c r="D142" s="89" t="s">
        <v>3536</v>
      </c>
      <c r="E142" s="89">
        <v>110188</v>
      </c>
      <c r="F142" s="89">
        <v>1007</v>
      </c>
      <c r="G142" s="90">
        <v>11</v>
      </c>
      <c r="H142" s="90">
        <v>2</v>
      </c>
      <c r="I142" s="90" t="s">
        <v>18</v>
      </c>
      <c r="J142" s="90">
        <v>1</v>
      </c>
      <c r="K142" s="90" t="s">
        <v>2509</v>
      </c>
      <c r="L142" s="91">
        <v>38</v>
      </c>
      <c r="M142" s="92"/>
      <c r="N142" s="93"/>
      <c r="O142" s="94"/>
      <c r="P142" s="90" t="s">
        <v>3525</v>
      </c>
      <c r="Q142" s="95" t="s">
        <v>3526</v>
      </c>
      <c r="S142" s="21"/>
      <c r="T142" s="21"/>
    </row>
    <row r="143" spans="2:31" x14ac:dyDescent="0.25">
      <c r="B143" s="89" t="s">
        <v>3217</v>
      </c>
      <c r="C143" s="89" t="s">
        <v>3216</v>
      </c>
      <c r="D143" s="89" t="s">
        <v>3550</v>
      </c>
      <c r="E143" s="89">
        <v>110189</v>
      </c>
      <c r="F143" s="89">
        <v>1007</v>
      </c>
      <c r="G143" s="90">
        <v>12</v>
      </c>
      <c r="H143" s="90">
        <v>2</v>
      </c>
      <c r="I143" s="90" t="s">
        <v>18</v>
      </c>
      <c r="J143" s="90">
        <v>1</v>
      </c>
      <c r="K143" s="90" t="s">
        <v>2509</v>
      </c>
      <c r="L143" s="91">
        <v>39</v>
      </c>
      <c r="M143" s="92"/>
      <c r="N143" s="93"/>
      <c r="O143" s="94"/>
      <c r="P143" s="90" t="s">
        <v>3525</v>
      </c>
      <c r="Q143" s="95" t="s">
        <v>3526</v>
      </c>
      <c r="S143" s="21"/>
      <c r="T143" s="21"/>
    </row>
    <row r="144" spans="2:31" x14ac:dyDescent="0.25">
      <c r="B144" s="45" t="s">
        <v>2231</v>
      </c>
      <c r="C144" s="45" t="s">
        <v>295</v>
      </c>
      <c r="D144" s="45" t="s">
        <v>294</v>
      </c>
      <c r="E144" s="45">
        <v>110195</v>
      </c>
      <c r="F144" s="45">
        <v>1007</v>
      </c>
      <c r="G144" s="21">
        <v>19</v>
      </c>
      <c r="H144" s="21">
        <v>2</v>
      </c>
      <c r="I144" s="21" t="s">
        <v>21</v>
      </c>
      <c r="J144" s="21">
        <v>10</v>
      </c>
      <c r="K144" s="21">
        <v>0</v>
      </c>
      <c r="L144" s="2"/>
      <c r="M144" s="64" t="s">
        <v>1193</v>
      </c>
      <c r="N144" s="42"/>
      <c r="P144" s="21"/>
      <c r="Q144" s="12"/>
      <c r="R144">
        <f t="shared" ref="R144:R170" si="8">COUNTIF(C:C,C144)</f>
        <v>1</v>
      </c>
      <c r="S144" s="21" t="s">
        <v>99</v>
      </c>
      <c r="T144" s="21" t="s">
        <v>99</v>
      </c>
      <c r="W144" t="e">
        <f>INDEX(#REF!,MATCH($E144,#REF!,0))</f>
        <v>#REF!</v>
      </c>
      <c r="X144" t="e">
        <f>INDEX(#REF!,MATCH($E144,#REF!,0))</f>
        <v>#REF!</v>
      </c>
      <c r="Y144" t="e">
        <f>INDEX(#REF!,MATCH($E144,#REF!,0))</f>
        <v>#REF!</v>
      </c>
      <c r="Z144" t="e">
        <f>INDEX(#REF!,MATCH($E144,#REF!,0))</f>
        <v>#REF!</v>
      </c>
      <c r="AA144" t="e">
        <f>INDEX(#REF!,MATCH($E144,#REF!,0))</f>
        <v>#REF!</v>
      </c>
      <c r="AB144" t="e">
        <f>INDEX(#REF!,MATCH($E144,#REF!,0))</f>
        <v>#REF!</v>
      </c>
      <c r="AC144" t="e">
        <f>INDEX(#REF!,MATCH($E144,#REF!,0))</f>
        <v>#REF!</v>
      </c>
      <c r="AD144" t="e">
        <f>INDEX(#REF!,MATCH($E144,#REF!,0))</f>
        <v>#REF!</v>
      </c>
      <c r="AE144" t="e">
        <f t="shared" si="5"/>
        <v>#REF!</v>
      </c>
    </row>
    <row r="145" spans="2:31" x14ac:dyDescent="0.25">
      <c r="B145" s="45" t="s">
        <v>2232</v>
      </c>
      <c r="C145" s="45" t="s">
        <v>297</v>
      </c>
      <c r="D145" s="45" t="s">
        <v>296</v>
      </c>
      <c r="E145" s="45">
        <v>110196</v>
      </c>
      <c r="F145" s="45">
        <v>1007</v>
      </c>
      <c r="G145" s="21">
        <v>20</v>
      </c>
      <c r="H145" s="21">
        <v>2</v>
      </c>
      <c r="I145" s="21" t="s">
        <v>21</v>
      </c>
      <c r="J145" s="21">
        <v>10</v>
      </c>
      <c r="K145" s="21">
        <v>0</v>
      </c>
      <c r="L145" s="2"/>
      <c r="M145" s="64" t="s">
        <v>1194</v>
      </c>
      <c r="N145" s="42"/>
      <c r="P145" s="21"/>
      <c r="Q145" s="12"/>
      <c r="R145">
        <f t="shared" si="8"/>
        <v>1</v>
      </c>
      <c r="S145" s="21" t="s">
        <v>99</v>
      </c>
      <c r="T145" s="21" t="s">
        <v>99</v>
      </c>
      <c r="W145" t="e">
        <f>INDEX(#REF!,MATCH($E145,#REF!,0))</f>
        <v>#REF!</v>
      </c>
      <c r="X145" t="e">
        <f>INDEX(#REF!,MATCH($E145,#REF!,0))</f>
        <v>#REF!</v>
      </c>
      <c r="Y145" t="e">
        <f>INDEX(#REF!,MATCH($E145,#REF!,0))</f>
        <v>#REF!</v>
      </c>
      <c r="Z145" t="e">
        <f>INDEX(#REF!,MATCH($E145,#REF!,0))</f>
        <v>#REF!</v>
      </c>
      <c r="AA145" t="e">
        <f>INDEX(#REF!,MATCH($E145,#REF!,0))</f>
        <v>#REF!</v>
      </c>
      <c r="AB145" t="e">
        <f>INDEX(#REF!,MATCH($E145,#REF!,0))</f>
        <v>#REF!</v>
      </c>
      <c r="AC145" t="e">
        <f>INDEX(#REF!,MATCH($E145,#REF!,0))</f>
        <v>#REF!</v>
      </c>
      <c r="AD145" t="e">
        <f>INDEX(#REF!,MATCH($E145,#REF!,0))</f>
        <v>#REF!</v>
      </c>
      <c r="AE145" t="e">
        <f t="shared" si="5"/>
        <v>#REF!</v>
      </c>
    </row>
    <row r="146" spans="2:31" x14ac:dyDescent="0.25">
      <c r="B146" s="45" t="s">
        <v>1536</v>
      </c>
      <c r="C146" s="45" t="s">
        <v>299</v>
      </c>
      <c r="D146" s="45" t="s">
        <v>298</v>
      </c>
      <c r="E146" s="45">
        <v>110198</v>
      </c>
      <c r="F146" s="45">
        <v>1007</v>
      </c>
      <c r="G146" s="21">
        <v>22</v>
      </c>
      <c r="H146" s="21">
        <v>2</v>
      </c>
      <c r="I146" s="21" t="s">
        <v>222</v>
      </c>
      <c r="J146" s="21">
        <v>1000</v>
      </c>
      <c r="K146" s="21">
        <v>0</v>
      </c>
      <c r="L146" s="2"/>
      <c r="M146" s="64" t="s">
        <v>1195</v>
      </c>
      <c r="N146" s="42"/>
      <c r="P146" s="21"/>
      <c r="Q146" s="12"/>
      <c r="R146">
        <f t="shared" si="8"/>
        <v>1</v>
      </c>
      <c r="S146" s="21" t="s">
        <v>99</v>
      </c>
      <c r="T146" s="21" t="s">
        <v>99</v>
      </c>
      <c r="W146" t="e">
        <f>INDEX(#REF!,MATCH($E146,#REF!,0))</f>
        <v>#REF!</v>
      </c>
      <c r="X146" t="e">
        <f>INDEX(#REF!,MATCH($E146,#REF!,0))</f>
        <v>#REF!</v>
      </c>
      <c r="Y146" t="e">
        <f>INDEX(#REF!,MATCH($E146,#REF!,0))</f>
        <v>#REF!</v>
      </c>
      <c r="Z146" t="e">
        <f>INDEX(#REF!,MATCH($E146,#REF!,0))</f>
        <v>#REF!</v>
      </c>
      <c r="AA146" t="e">
        <f>INDEX(#REF!,MATCH($E146,#REF!,0))</f>
        <v>#REF!</v>
      </c>
      <c r="AB146" t="e">
        <f>INDEX(#REF!,MATCH($E146,#REF!,0))</f>
        <v>#REF!</v>
      </c>
      <c r="AC146" t="e">
        <f>INDEX(#REF!,MATCH($E146,#REF!,0))</f>
        <v>#REF!</v>
      </c>
      <c r="AD146" t="e">
        <f>INDEX(#REF!,MATCH($E146,#REF!,0))</f>
        <v>#REF!</v>
      </c>
      <c r="AE146" t="e">
        <f t="shared" si="5"/>
        <v>#REF!</v>
      </c>
    </row>
    <row r="147" spans="2:31" ht="45" x14ac:dyDescent="0.25">
      <c r="B147" s="45" t="s">
        <v>1537</v>
      </c>
      <c r="C147" s="45" t="s">
        <v>301</v>
      </c>
      <c r="D147" s="45" t="s">
        <v>300</v>
      </c>
      <c r="E147" s="45">
        <v>110199</v>
      </c>
      <c r="F147" s="45">
        <v>1007</v>
      </c>
      <c r="G147" s="21">
        <v>23</v>
      </c>
      <c r="H147" s="21">
        <v>2</v>
      </c>
      <c r="I147" s="21" t="s">
        <v>210</v>
      </c>
      <c r="J147" s="21">
        <v>100</v>
      </c>
      <c r="K147" s="21">
        <v>0</v>
      </c>
      <c r="L147" s="2"/>
      <c r="M147" s="64" t="s">
        <v>2272</v>
      </c>
      <c r="N147" s="42"/>
      <c r="P147" s="21"/>
      <c r="Q147" s="12"/>
      <c r="R147">
        <f t="shared" si="8"/>
        <v>1</v>
      </c>
      <c r="S147" s="21" t="s">
        <v>99</v>
      </c>
      <c r="T147" s="21" t="s">
        <v>99</v>
      </c>
      <c r="W147" t="e">
        <f>INDEX(#REF!,MATCH($E147,#REF!,0))</f>
        <v>#REF!</v>
      </c>
      <c r="X147" t="e">
        <f>INDEX(#REF!,MATCH($E147,#REF!,0))</f>
        <v>#REF!</v>
      </c>
      <c r="Y147" t="e">
        <f>INDEX(#REF!,MATCH($E147,#REF!,0))</f>
        <v>#REF!</v>
      </c>
      <c r="Z147" t="e">
        <f>INDEX(#REF!,MATCH($E147,#REF!,0))</f>
        <v>#REF!</v>
      </c>
      <c r="AA147" t="e">
        <f>INDEX(#REF!,MATCH($E147,#REF!,0))</f>
        <v>#REF!</v>
      </c>
      <c r="AB147" t="e">
        <f>INDEX(#REF!,MATCH($E147,#REF!,0))</f>
        <v>#REF!</v>
      </c>
      <c r="AC147" t="e">
        <f>INDEX(#REF!,MATCH($E147,#REF!,0))</f>
        <v>#REF!</v>
      </c>
      <c r="AD147" t="e">
        <f>INDEX(#REF!,MATCH($E147,#REF!,0))</f>
        <v>#REF!</v>
      </c>
      <c r="AE147" t="e">
        <f t="shared" ref="AE147:AE212" si="9">AND(X147=F147,G147=Y147,AC147=J147,AD147=H147)</f>
        <v>#REF!</v>
      </c>
    </row>
    <row r="148" spans="2:31" x14ac:dyDescent="0.25">
      <c r="B148" s="45" t="s">
        <v>1538</v>
      </c>
      <c r="C148" s="45" t="s">
        <v>303</v>
      </c>
      <c r="D148" s="45" t="s">
        <v>302</v>
      </c>
      <c r="E148" s="45">
        <v>110205</v>
      </c>
      <c r="F148" s="45">
        <v>1008</v>
      </c>
      <c r="G148" s="21">
        <v>4</v>
      </c>
      <c r="H148" s="21">
        <v>2</v>
      </c>
      <c r="I148" s="21" t="s">
        <v>120</v>
      </c>
      <c r="J148" s="21">
        <v>1000</v>
      </c>
      <c r="K148" s="21">
        <v>0</v>
      </c>
      <c r="L148" s="2"/>
      <c r="M148" s="64" t="s">
        <v>1196</v>
      </c>
      <c r="N148" s="42"/>
      <c r="P148" s="21"/>
      <c r="Q148" s="12"/>
      <c r="R148">
        <f t="shared" si="8"/>
        <v>1</v>
      </c>
      <c r="S148" s="21" t="s">
        <v>99</v>
      </c>
      <c r="T148" s="21">
        <v>349929</v>
      </c>
      <c r="W148" t="e">
        <f>INDEX(#REF!,MATCH($E148,#REF!,0))</f>
        <v>#REF!</v>
      </c>
      <c r="X148" t="e">
        <f>INDEX(#REF!,MATCH($E148,#REF!,0))</f>
        <v>#REF!</v>
      </c>
      <c r="Y148" t="e">
        <f>INDEX(#REF!,MATCH($E148,#REF!,0))</f>
        <v>#REF!</v>
      </c>
      <c r="Z148" t="e">
        <f>INDEX(#REF!,MATCH($E148,#REF!,0))</f>
        <v>#REF!</v>
      </c>
      <c r="AA148" t="e">
        <f>INDEX(#REF!,MATCH($E148,#REF!,0))</f>
        <v>#REF!</v>
      </c>
      <c r="AB148" t="e">
        <f>INDEX(#REF!,MATCH($E148,#REF!,0))</f>
        <v>#REF!</v>
      </c>
      <c r="AC148" t="e">
        <f>INDEX(#REF!,MATCH($E148,#REF!,0))</f>
        <v>#REF!</v>
      </c>
      <c r="AD148" t="e">
        <f>INDEX(#REF!,MATCH($E148,#REF!,0))</f>
        <v>#REF!</v>
      </c>
      <c r="AE148" t="e">
        <f t="shared" si="9"/>
        <v>#REF!</v>
      </c>
    </row>
    <row r="149" spans="2:31" x14ac:dyDescent="0.25">
      <c r="B149" s="45" t="s">
        <v>304</v>
      </c>
      <c r="C149" s="45" t="s">
        <v>305</v>
      </c>
      <c r="D149" s="45" t="s">
        <v>304</v>
      </c>
      <c r="E149" s="45">
        <v>110212</v>
      </c>
      <c r="F149" s="45">
        <v>1008</v>
      </c>
      <c r="G149" s="21">
        <v>11</v>
      </c>
      <c r="H149" s="21">
        <v>2</v>
      </c>
      <c r="I149" s="21" t="s">
        <v>26</v>
      </c>
      <c r="J149" s="21">
        <v>1</v>
      </c>
      <c r="K149" s="21" t="s">
        <v>2511</v>
      </c>
      <c r="L149" s="2"/>
      <c r="M149" s="64" t="s">
        <v>1197</v>
      </c>
      <c r="N149" s="42"/>
      <c r="P149" s="21"/>
      <c r="Q149" s="12"/>
      <c r="R149">
        <f t="shared" si="8"/>
        <v>1</v>
      </c>
      <c r="S149" s="21" t="s">
        <v>99</v>
      </c>
      <c r="T149" s="21">
        <v>383278</v>
      </c>
      <c r="W149" t="e">
        <f>INDEX(#REF!,MATCH($E149,#REF!,0))</f>
        <v>#REF!</v>
      </c>
      <c r="X149" t="e">
        <f>INDEX(#REF!,MATCH($E149,#REF!,0))</f>
        <v>#REF!</v>
      </c>
      <c r="Y149" t="e">
        <f>INDEX(#REF!,MATCH($E149,#REF!,0))</f>
        <v>#REF!</v>
      </c>
      <c r="Z149" t="e">
        <f>INDEX(#REF!,MATCH($E149,#REF!,0))</f>
        <v>#REF!</v>
      </c>
      <c r="AA149" t="e">
        <f>INDEX(#REF!,MATCH($E149,#REF!,0))</f>
        <v>#REF!</v>
      </c>
      <c r="AB149" t="e">
        <f>INDEX(#REF!,MATCH($E149,#REF!,0))</f>
        <v>#REF!</v>
      </c>
      <c r="AC149" t="e">
        <f>INDEX(#REF!,MATCH($E149,#REF!,0))</f>
        <v>#REF!</v>
      </c>
      <c r="AD149" t="e">
        <f>INDEX(#REF!,MATCH($E149,#REF!,0))</f>
        <v>#REF!</v>
      </c>
      <c r="AE149" t="e">
        <f t="shared" si="9"/>
        <v>#REF!</v>
      </c>
    </row>
    <row r="150" spans="2:31" x14ac:dyDescent="0.25">
      <c r="B150" s="45" t="s">
        <v>1539</v>
      </c>
      <c r="C150" s="45" t="s">
        <v>307</v>
      </c>
      <c r="D150" s="45" t="s">
        <v>306</v>
      </c>
      <c r="E150" s="45">
        <v>110216</v>
      </c>
      <c r="F150" s="45">
        <v>1008</v>
      </c>
      <c r="G150" s="21">
        <v>15</v>
      </c>
      <c r="H150" s="21">
        <v>2</v>
      </c>
      <c r="I150" s="21" t="s">
        <v>120</v>
      </c>
      <c r="J150" s="21">
        <v>1000</v>
      </c>
      <c r="K150" s="21">
        <v>0</v>
      </c>
      <c r="L150" s="2"/>
      <c r="M150" s="64" t="s">
        <v>1198</v>
      </c>
      <c r="N150" s="42"/>
      <c r="P150" s="21"/>
      <c r="Q150" s="12"/>
      <c r="R150">
        <f t="shared" si="8"/>
        <v>1</v>
      </c>
      <c r="S150" s="21" t="s">
        <v>99</v>
      </c>
      <c r="T150" s="21" t="s">
        <v>99</v>
      </c>
      <c r="W150" t="e">
        <f>INDEX(#REF!,MATCH($E150,#REF!,0))</f>
        <v>#REF!</v>
      </c>
      <c r="X150" t="e">
        <f>INDEX(#REF!,MATCH($E150,#REF!,0))</f>
        <v>#REF!</v>
      </c>
      <c r="Y150" t="e">
        <f>INDEX(#REF!,MATCH($E150,#REF!,0))</f>
        <v>#REF!</v>
      </c>
      <c r="Z150" t="e">
        <f>INDEX(#REF!,MATCH($E150,#REF!,0))</f>
        <v>#REF!</v>
      </c>
      <c r="AA150" t="e">
        <f>INDEX(#REF!,MATCH($E150,#REF!,0))</f>
        <v>#REF!</v>
      </c>
      <c r="AB150" t="e">
        <f>INDEX(#REF!,MATCH($E150,#REF!,0))</f>
        <v>#REF!</v>
      </c>
      <c r="AC150" t="e">
        <f>INDEX(#REF!,MATCH($E150,#REF!,0))</f>
        <v>#REF!</v>
      </c>
      <c r="AD150" t="e">
        <f>INDEX(#REF!,MATCH($E150,#REF!,0))</f>
        <v>#REF!</v>
      </c>
      <c r="AE150" t="e">
        <f t="shared" si="9"/>
        <v>#REF!</v>
      </c>
    </row>
    <row r="151" spans="2:31" x14ac:dyDescent="0.25">
      <c r="B151" s="45" t="s">
        <v>1540</v>
      </c>
      <c r="C151" s="45" t="s">
        <v>309</v>
      </c>
      <c r="D151" s="45" t="s">
        <v>308</v>
      </c>
      <c r="E151" s="45">
        <v>110217</v>
      </c>
      <c r="F151" s="45">
        <v>1008</v>
      </c>
      <c r="G151" s="21">
        <v>16</v>
      </c>
      <c r="H151" s="21">
        <v>2</v>
      </c>
      <c r="I151" s="21" t="s">
        <v>18</v>
      </c>
      <c r="J151" s="21">
        <v>1</v>
      </c>
      <c r="K151" s="21">
        <v>0</v>
      </c>
      <c r="L151" s="2"/>
      <c r="M151" s="64" t="s">
        <v>1199</v>
      </c>
      <c r="N151" s="42"/>
      <c r="P151" s="21"/>
      <c r="Q151" s="12"/>
      <c r="R151">
        <f t="shared" si="8"/>
        <v>1</v>
      </c>
      <c r="S151" s="21" t="s">
        <v>99</v>
      </c>
      <c r="T151" s="21" t="s">
        <v>99</v>
      </c>
      <c r="W151" t="e">
        <f>INDEX(#REF!,MATCH($E151,#REF!,0))</f>
        <v>#REF!</v>
      </c>
      <c r="X151" t="e">
        <f>INDEX(#REF!,MATCH($E151,#REF!,0))</f>
        <v>#REF!</v>
      </c>
      <c r="Y151" t="e">
        <f>INDEX(#REF!,MATCH($E151,#REF!,0))</f>
        <v>#REF!</v>
      </c>
      <c r="Z151" t="e">
        <f>INDEX(#REF!,MATCH($E151,#REF!,0))</f>
        <v>#REF!</v>
      </c>
      <c r="AA151" t="e">
        <f>INDEX(#REF!,MATCH($E151,#REF!,0))</f>
        <v>#REF!</v>
      </c>
      <c r="AB151" t="e">
        <f>INDEX(#REF!,MATCH($E151,#REF!,0))</f>
        <v>#REF!</v>
      </c>
      <c r="AC151" t="e">
        <f>INDEX(#REF!,MATCH($E151,#REF!,0))</f>
        <v>#REF!</v>
      </c>
      <c r="AD151" t="e">
        <f>INDEX(#REF!,MATCH($E151,#REF!,0))</f>
        <v>#REF!</v>
      </c>
      <c r="AE151" t="e">
        <f t="shared" si="9"/>
        <v>#REF!</v>
      </c>
    </row>
    <row r="152" spans="2:31" x14ac:dyDescent="0.25">
      <c r="B152" s="45" t="s">
        <v>1541</v>
      </c>
      <c r="C152" s="45" t="s">
        <v>311</v>
      </c>
      <c r="D152" s="45" t="s">
        <v>310</v>
      </c>
      <c r="E152" s="45">
        <v>110218</v>
      </c>
      <c r="F152" s="45">
        <v>1008</v>
      </c>
      <c r="G152" s="21">
        <v>17</v>
      </c>
      <c r="H152" s="21">
        <v>2</v>
      </c>
      <c r="I152" s="21" t="s">
        <v>147</v>
      </c>
      <c r="J152" s="21">
        <v>100000</v>
      </c>
      <c r="K152" s="21">
        <v>0</v>
      </c>
      <c r="L152" s="2"/>
      <c r="M152" s="64" t="s">
        <v>1200</v>
      </c>
      <c r="N152" s="42"/>
      <c r="P152" s="21"/>
      <c r="Q152" s="12"/>
      <c r="R152">
        <f t="shared" si="8"/>
        <v>1</v>
      </c>
      <c r="S152" s="21" t="s">
        <v>99</v>
      </c>
      <c r="T152" s="21" t="s">
        <v>99</v>
      </c>
      <c r="W152" t="e">
        <f>INDEX(#REF!,MATCH($E152,#REF!,0))</f>
        <v>#REF!</v>
      </c>
      <c r="X152" t="e">
        <f>INDEX(#REF!,MATCH($E152,#REF!,0))</f>
        <v>#REF!</v>
      </c>
      <c r="Y152" t="e">
        <f>INDEX(#REF!,MATCH($E152,#REF!,0))</f>
        <v>#REF!</v>
      </c>
      <c r="Z152" t="e">
        <f>INDEX(#REF!,MATCH($E152,#REF!,0))</f>
        <v>#REF!</v>
      </c>
      <c r="AA152" t="e">
        <f>INDEX(#REF!,MATCH($E152,#REF!,0))</f>
        <v>#REF!</v>
      </c>
      <c r="AB152" t="e">
        <f>INDEX(#REF!,MATCH($E152,#REF!,0))</f>
        <v>#REF!</v>
      </c>
      <c r="AC152" t="e">
        <f>INDEX(#REF!,MATCH($E152,#REF!,0))</f>
        <v>#REF!</v>
      </c>
      <c r="AD152" t="e">
        <f>INDEX(#REF!,MATCH($E152,#REF!,0))</f>
        <v>#REF!</v>
      </c>
      <c r="AE152" t="e">
        <f t="shared" si="9"/>
        <v>#REF!</v>
      </c>
    </row>
    <row r="153" spans="2:31" x14ac:dyDescent="0.25">
      <c r="B153" s="45" t="s">
        <v>1542</v>
      </c>
      <c r="C153" s="45" t="s">
        <v>313</v>
      </c>
      <c r="D153" s="45" t="s">
        <v>312</v>
      </c>
      <c r="E153" s="45">
        <v>110219</v>
      </c>
      <c r="F153" s="45">
        <v>1008</v>
      </c>
      <c r="G153" s="21">
        <v>18</v>
      </c>
      <c r="H153" s="21">
        <v>2</v>
      </c>
      <c r="I153" s="21" t="s">
        <v>314</v>
      </c>
      <c r="J153" s="21">
        <v>1000</v>
      </c>
      <c r="K153" s="21">
        <v>0</v>
      </c>
      <c r="L153" s="2"/>
      <c r="M153" s="64" t="s">
        <v>1201</v>
      </c>
      <c r="N153" s="42"/>
      <c r="P153" s="21"/>
      <c r="Q153" s="12"/>
      <c r="R153">
        <f t="shared" si="8"/>
        <v>1</v>
      </c>
      <c r="S153" s="21" t="s">
        <v>99</v>
      </c>
      <c r="T153" s="21" t="s">
        <v>99</v>
      </c>
      <c r="W153" t="e">
        <f>INDEX(#REF!,MATCH($E153,#REF!,0))</f>
        <v>#REF!</v>
      </c>
      <c r="X153" t="e">
        <f>INDEX(#REF!,MATCH($E153,#REF!,0))</f>
        <v>#REF!</v>
      </c>
      <c r="Y153" t="e">
        <f>INDEX(#REF!,MATCH($E153,#REF!,0))</f>
        <v>#REF!</v>
      </c>
      <c r="Z153" t="e">
        <f>INDEX(#REF!,MATCH($E153,#REF!,0))</f>
        <v>#REF!</v>
      </c>
      <c r="AA153" t="e">
        <f>INDEX(#REF!,MATCH($E153,#REF!,0))</f>
        <v>#REF!</v>
      </c>
      <c r="AB153" t="e">
        <f>INDEX(#REF!,MATCH($E153,#REF!,0))</f>
        <v>#REF!</v>
      </c>
      <c r="AC153" t="e">
        <f>INDEX(#REF!,MATCH($E153,#REF!,0))</f>
        <v>#REF!</v>
      </c>
      <c r="AD153" t="e">
        <f>INDEX(#REF!,MATCH($E153,#REF!,0))</f>
        <v>#REF!</v>
      </c>
      <c r="AE153" t="e">
        <f t="shared" si="9"/>
        <v>#REF!</v>
      </c>
    </row>
    <row r="154" spans="2:31" x14ac:dyDescent="0.25">
      <c r="B154" s="45" t="s">
        <v>1543</v>
      </c>
      <c r="C154" s="45" t="s">
        <v>316</v>
      </c>
      <c r="D154" s="45" t="s">
        <v>315</v>
      </c>
      <c r="E154" s="45">
        <v>110231</v>
      </c>
      <c r="F154" s="45">
        <v>1009</v>
      </c>
      <c r="G154" s="21">
        <v>5</v>
      </c>
      <c r="H154" s="21">
        <v>2</v>
      </c>
      <c r="I154" s="21" t="s">
        <v>147</v>
      </c>
      <c r="J154" s="21">
        <v>100000</v>
      </c>
      <c r="K154" s="21">
        <v>0</v>
      </c>
      <c r="L154" s="2"/>
      <c r="M154" s="64" t="s">
        <v>1202</v>
      </c>
      <c r="N154" s="42"/>
      <c r="P154" s="21"/>
      <c r="Q154" s="12"/>
      <c r="R154">
        <f t="shared" si="8"/>
        <v>1</v>
      </c>
      <c r="S154" s="21" t="s">
        <v>99</v>
      </c>
      <c r="T154" s="21" t="s">
        <v>99</v>
      </c>
      <c r="W154" t="e">
        <f>INDEX(#REF!,MATCH($E154,#REF!,0))</f>
        <v>#REF!</v>
      </c>
      <c r="X154" t="e">
        <f>INDEX(#REF!,MATCH($E154,#REF!,0))</f>
        <v>#REF!</v>
      </c>
      <c r="Y154" t="e">
        <f>INDEX(#REF!,MATCH($E154,#REF!,0))</f>
        <v>#REF!</v>
      </c>
      <c r="Z154" t="e">
        <f>INDEX(#REF!,MATCH($E154,#REF!,0))</f>
        <v>#REF!</v>
      </c>
      <c r="AA154" t="e">
        <f>INDEX(#REF!,MATCH($E154,#REF!,0))</f>
        <v>#REF!</v>
      </c>
      <c r="AB154" t="e">
        <f>INDEX(#REF!,MATCH($E154,#REF!,0))</f>
        <v>#REF!</v>
      </c>
      <c r="AC154" t="e">
        <f>INDEX(#REF!,MATCH($E154,#REF!,0))</f>
        <v>#REF!</v>
      </c>
      <c r="AD154" t="e">
        <f>INDEX(#REF!,MATCH($E154,#REF!,0))</f>
        <v>#REF!</v>
      </c>
      <c r="AE154" t="e">
        <f t="shared" si="9"/>
        <v>#REF!</v>
      </c>
    </row>
    <row r="155" spans="2:31" x14ac:dyDescent="0.25">
      <c r="B155" s="45" t="s">
        <v>1544</v>
      </c>
      <c r="C155" s="45" t="s">
        <v>318</v>
      </c>
      <c r="D155" s="45" t="s">
        <v>317</v>
      </c>
      <c r="E155" s="45">
        <v>110255</v>
      </c>
      <c r="F155" s="45">
        <v>1010</v>
      </c>
      <c r="G155" s="21">
        <v>4</v>
      </c>
      <c r="H155" s="21">
        <v>2</v>
      </c>
      <c r="I155" s="21" t="s">
        <v>215</v>
      </c>
      <c r="J155" s="21">
        <v>1</v>
      </c>
      <c r="K155" s="21">
        <v>0</v>
      </c>
      <c r="L155" s="2"/>
      <c r="M155" s="64" t="s">
        <v>1203</v>
      </c>
      <c r="N155" s="42"/>
      <c r="P155" s="21"/>
      <c r="Q155" s="12"/>
      <c r="R155">
        <f t="shared" si="8"/>
        <v>1</v>
      </c>
      <c r="S155" s="21" t="s">
        <v>99</v>
      </c>
      <c r="T155" s="21" t="s">
        <v>99</v>
      </c>
      <c r="W155" t="e">
        <f>INDEX(#REF!,MATCH($E155,#REF!,0))</f>
        <v>#REF!</v>
      </c>
      <c r="X155" t="e">
        <f>INDEX(#REF!,MATCH($E155,#REF!,0))</f>
        <v>#REF!</v>
      </c>
      <c r="Y155" t="e">
        <f>INDEX(#REF!,MATCH($E155,#REF!,0))</f>
        <v>#REF!</v>
      </c>
      <c r="Z155" t="e">
        <f>INDEX(#REF!,MATCH($E155,#REF!,0))</f>
        <v>#REF!</v>
      </c>
      <c r="AA155" t="e">
        <f>INDEX(#REF!,MATCH($E155,#REF!,0))</f>
        <v>#REF!</v>
      </c>
      <c r="AB155" t="e">
        <f>INDEX(#REF!,MATCH($E155,#REF!,0))</f>
        <v>#REF!</v>
      </c>
      <c r="AC155" t="e">
        <f>INDEX(#REF!,MATCH($E155,#REF!,0))</f>
        <v>#REF!</v>
      </c>
      <c r="AD155" t="e">
        <f>INDEX(#REF!,MATCH($E155,#REF!,0))</f>
        <v>#REF!</v>
      </c>
      <c r="AE155" t="e">
        <f t="shared" si="9"/>
        <v>#REF!</v>
      </c>
    </row>
    <row r="156" spans="2:31" x14ac:dyDescent="0.25">
      <c r="B156" s="45" t="s">
        <v>1545</v>
      </c>
      <c r="C156" s="45" t="s">
        <v>320</v>
      </c>
      <c r="D156" s="45" t="s">
        <v>319</v>
      </c>
      <c r="E156" s="45">
        <v>110257</v>
      </c>
      <c r="F156" s="45">
        <v>1010</v>
      </c>
      <c r="G156" s="21">
        <v>6</v>
      </c>
      <c r="H156" s="21">
        <v>2</v>
      </c>
      <c r="I156" s="21" t="s">
        <v>26</v>
      </c>
      <c r="J156" s="21">
        <v>1</v>
      </c>
      <c r="K156" s="21">
        <v>0</v>
      </c>
      <c r="L156" s="2"/>
      <c r="M156" s="64" t="s">
        <v>1204</v>
      </c>
      <c r="N156" s="42"/>
      <c r="P156" s="21"/>
      <c r="Q156" s="12"/>
      <c r="R156">
        <f t="shared" si="8"/>
        <v>1</v>
      </c>
      <c r="S156" s="21" t="s">
        <v>99</v>
      </c>
      <c r="T156" s="21" t="s">
        <v>99</v>
      </c>
      <c r="W156" t="e">
        <f>INDEX(#REF!,MATCH($E156,#REF!,0))</f>
        <v>#REF!</v>
      </c>
      <c r="X156" t="e">
        <f>INDEX(#REF!,MATCH($E156,#REF!,0))</f>
        <v>#REF!</v>
      </c>
      <c r="Y156" t="e">
        <f>INDEX(#REF!,MATCH($E156,#REF!,0))</f>
        <v>#REF!</v>
      </c>
      <c r="Z156" t="e">
        <f>INDEX(#REF!,MATCH($E156,#REF!,0))</f>
        <v>#REF!</v>
      </c>
      <c r="AA156" t="e">
        <f>INDEX(#REF!,MATCH($E156,#REF!,0))</f>
        <v>#REF!</v>
      </c>
      <c r="AB156" t="e">
        <f>INDEX(#REF!,MATCH($E156,#REF!,0))</f>
        <v>#REF!</v>
      </c>
      <c r="AC156" t="e">
        <f>INDEX(#REF!,MATCH($E156,#REF!,0))</f>
        <v>#REF!</v>
      </c>
      <c r="AD156" t="e">
        <f>INDEX(#REF!,MATCH($E156,#REF!,0))</f>
        <v>#REF!</v>
      </c>
      <c r="AE156" t="e">
        <f t="shared" si="9"/>
        <v>#REF!</v>
      </c>
    </row>
    <row r="157" spans="2:31" x14ac:dyDescent="0.25">
      <c r="B157" s="45" t="s">
        <v>1546</v>
      </c>
      <c r="C157" s="45" t="s">
        <v>322</v>
      </c>
      <c r="D157" s="45" t="s">
        <v>321</v>
      </c>
      <c r="E157" s="45">
        <v>110258</v>
      </c>
      <c r="F157" s="45">
        <v>1010</v>
      </c>
      <c r="G157" s="21">
        <v>7</v>
      </c>
      <c r="H157" s="21">
        <v>2</v>
      </c>
      <c r="I157" s="21" t="s">
        <v>210</v>
      </c>
      <c r="J157" s="21">
        <v>100</v>
      </c>
      <c r="K157" s="21">
        <v>0</v>
      </c>
      <c r="L157" s="2"/>
      <c r="M157" s="64" t="s">
        <v>1205</v>
      </c>
      <c r="N157" s="42"/>
      <c r="P157" s="21"/>
      <c r="Q157" s="12"/>
      <c r="R157">
        <f t="shared" si="8"/>
        <v>1</v>
      </c>
      <c r="S157" s="21" t="s">
        <v>99</v>
      </c>
      <c r="T157" s="21" t="s">
        <v>99</v>
      </c>
      <c r="W157" t="e">
        <f>INDEX(#REF!,MATCH($E157,#REF!,0))</f>
        <v>#REF!</v>
      </c>
      <c r="X157" t="e">
        <f>INDEX(#REF!,MATCH($E157,#REF!,0))</f>
        <v>#REF!</v>
      </c>
      <c r="Y157" t="e">
        <f>INDEX(#REF!,MATCH($E157,#REF!,0))</f>
        <v>#REF!</v>
      </c>
      <c r="Z157" t="e">
        <f>INDEX(#REF!,MATCH($E157,#REF!,0))</f>
        <v>#REF!</v>
      </c>
      <c r="AA157" t="e">
        <f>INDEX(#REF!,MATCH($E157,#REF!,0))</f>
        <v>#REF!</v>
      </c>
      <c r="AB157" t="e">
        <f>INDEX(#REF!,MATCH($E157,#REF!,0))</f>
        <v>#REF!</v>
      </c>
      <c r="AC157" t="e">
        <f>INDEX(#REF!,MATCH($E157,#REF!,0))</f>
        <v>#REF!</v>
      </c>
      <c r="AD157" t="e">
        <f>INDEX(#REF!,MATCH($E157,#REF!,0))</f>
        <v>#REF!</v>
      </c>
      <c r="AE157" t="e">
        <f t="shared" si="9"/>
        <v>#REF!</v>
      </c>
    </row>
    <row r="158" spans="2:31" x14ac:dyDescent="0.25">
      <c r="B158" s="45" t="s">
        <v>1547</v>
      </c>
      <c r="C158" s="45" t="s">
        <v>324</v>
      </c>
      <c r="D158" s="45" t="s">
        <v>323</v>
      </c>
      <c r="E158" s="45">
        <v>110259</v>
      </c>
      <c r="F158" s="45">
        <v>1010</v>
      </c>
      <c r="G158" s="21">
        <v>8</v>
      </c>
      <c r="H158" s="21">
        <v>2</v>
      </c>
      <c r="I158" s="21" t="s">
        <v>210</v>
      </c>
      <c r="J158" s="21">
        <v>100</v>
      </c>
      <c r="K158" s="21">
        <v>0</v>
      </c>
      <c r="L158" s="2"/>
      <c r="M158" s="64" t="s">
        <v>2273</v>
      </c>
      <c r="N158" s="42"/>
      <c r="P158" s="21"/>
      <c r="Q158" s="12"/>
      <c r="R158">
        <f t="shared" si="8"/>
        <v>1</v>
      </c>
      <c r="S158" s="21" t="s">
        <v>99</v>
      </c>
      <c r="T158" s="21" t="s">
        <v>99</v>
      </c>
      <c r="W158" t="e">
        <f>INDEX(#REF!,MATCH($E158,#REF!,0))</f>
        <v>#REF!</v>
      </c>
      <c r="X158" t="e">
        <f>INDEX(#REF!,MATCH($E158,#REF!,0))</f>
        <v>#REF!</v>
      </c>
      <c r="Y158" t="e">
        <f>INDEX(#REF!,MATCH($E158,#REF!,0))</f>
        <v>#REF!</v>
      </c>
      <c r="Z158" t="e">
        <f>INDEX(#REF!,MATCH($E158,#REF!,0))</f>
        <v>#REF!</v>
      </c>
      <c r="AA158" t="e">
        <f>INDEX(#REF!,MATCH($E158,#REF!,0))</f>
        <v>#REF!</v>
      </c>
      <c r="AB158" t="e">
        <f>INDEX(#REF!,MATCH($E158,#REF!,0))</f>
        <v>#REF!</v>
      </c>
      <c r="AC158" t="e">
        <f>INDEX(#REF!,MATCH($E158,#REF!,0))</f>
        <v>#REF!</v>
      </c>
      <c r="AD158" t="e">
        <f>INDEX(#REF!,MATCH($E158,#REF!,0))</f>
        <v>#REF!</v>
      </c>
      <c r="AE158" t="e">
        <f t="shared" si="9"/>
        <v>#REF!</v>
      </c>
    </row>
    <row r="159" spans="2:31" x14ac:dyDescent="0.25">
      <c r="B159" s="45" t="s">
        <v>1548</v>
      </c>
      <c r="C159" s="45" t="s">
        <v>326</v>
      </c>
      <c r="D159" s="45" t="s">
        <v>325</v>
      </c>
      <c r="E159" s="45">
        <v>110260</v>
      </c>
      <c r="F159" s="45">
        <v>1010</v>
      </c>
      <c r="G159" s="21">
        <v>9</v>
      </c>
      <c r="H159" s="21">
        <v>2</v>
      </c>
      <c r="I159" s="21" t="s">
        <v>210</v>
      </c>
      <c r="J159" s="21">
        <v>100</v>
      </c>
      <c r="K159" s="21">
        <v>0</v>
      </c>
      <c r="L159" s="2"/>
      <c r="M159" s="64" t="s">
        <v>1206</v>
      </c>
      <c r="N159" s="42"/>
      <c r="P159" s="21"/>
      <c r="Q159" s="12"/>
      <c r="R159">
        <f t="shared" si="8"/>
        <v>1</v>
      </c>
      <c r="S159" s="21" t="s">
        <v>99</v>
      </c>
      <c r="T159" s="21" t="s">
        <v>99</v>
      </c>
      <c r="W159" t="e">
        <f>INDEX(#REF!,MATCH($E159,#REF!,0))</f>
        <v>#REF!</v>
      </c>
      <c r="X159" t="e">
        <f>INDEX(#REF!,MATCH($E159,#REF!,0))</f>
        <v>#REF!</v>
      </c>
      <c r="Y159" t="e">
        <f>INDEX(#REF!,MATCH($E159,#REF!,0))</f>
        <v>#REF!</v>
      </c>
      <c r="Z159" t="e">
        <f>INDEX(#REF!,MATCH($E159,#REF!,0))</f>
        <v>#REF!</v>
      </c>
      <c r="AA159" t="e">
        <f>INDEX(#REF!,MATCH($E159,#REF!,0))</f>
        <v>#REF!</v>
      </c>
      <c r="AB159" t="e">
        <f>INDEX(#REF!,MATCH($E159,#REF!,0))</f>
        <v>#REF!</v>
      </c>
      <c r="AC159" t="e">
        <f>INDEX(#REF!,MATCH($E159,#REF!,0))</f>
        <v>#REF!</v>
      </c>
      <c r="AD159" t="e">
        <f>INDEX(#REF!,MATCH($E159,#REF!,0))</f>
        <v>#REF!</v>
      </c>
      <c r="AE159" t="e">
        <f t="shared" si="9"/>
        <v>#REF!</v>
      </c>
    </row>
    <row r="160" spans="2:31" ht="45" x14ac:dyDescent="0.25">
      <c r="B160" s="45" t="s">
        <v>1549</v>
      </c>
      <c r="C160" s="45" t="s">
        <v>328</v>
      </c>
      <c r="D160" s="45" t="s">
        <v>327</v>
      </c>
      <c r="E160" s="45">
        <v>110261</v>
      </c>
      <c r="F160" s="45">
        <v>1010</v>
      </c>
      <c r="G160" s="21">
        <v>10</v>
      </c>
      <c r="H160" s="21">
        <v>2</v>
      </c>
      <c r="I160" s="21" t="s">
        <v>210</v>
      </c>
      <c r="J160" s="21">
        <v>100</v>
      </c>
      <c r="K160" s="21">
        <v>0</v>
      </c>
      <c r="L160" s="2"/>
      <c r="M160" s="64" t="s">
        <v>2274</v>
      </c>
      <c r="N160" s="42"/>
      <c r="P160" s="21"/>
      <c r="Q160" s="12"/>
      <c r="R160">
        <f t="shared" si="8"/>
        <v>1</v>
      </c>
      <c r="S160" s="21" t="s">
        <v>99</v>
      </c>
      <c r="T160" s="21" t="s">
        <v>99</v>
      </c>
      <c r="W160" t="e">
        <f>INDEX(#REF!,MATCH($E160,#REF!,0))</f>
        <v>#REF!</v>
      </c>
      <c r="X160" t="e">
        <f>INDEX(#REF!,MATCH($E160,#REF!,0))</f>
        <v>#REF!</v>
      </c>
      <c r="Y160" t="e">
        <f>INDEX(#REF!,MATCH($E160,#REF!,0))</f>
        <v>#REF!</v>
      </c>
      <c r="Z160" t="e">
        <f>INDEX(#REF!,MATCH($E160,#REF!,0))</f>
        <v>#REF!</v>
      </c>
      <c r="AA160" t="e">
        <f>INDEX(#REF!,MATCH($E160,#REF!,0))</f>
        <v>#REF!</v>
      </c>
      <c r="AB160" t="e">
        <f>INDEX(#REF!,MATCH($E160,#REF!,0))</f>
        <v>#REF!</v>
      </c>
      <c r="AC160" t="e">
        <f>INDEX(#REF!,MATCH($E160,#REF!,0))</f>
        <v>#REF!</v>
      </c>
      <c r="AD160" t="e">
        <f>INDEX(#REF!,MATCH($E160,#REF!,0))</f>
        <v>#REF!</v>
      </c>
      <c r="AE160" t="e">
        <f t="shared" si="9"/>
        <v>#REF!</v>
      </c>
    </row>
    <row r="161" spans="2:31" ht="45" x14ac:dyDescent="0.25">
      <c r="B161" s="45" t="s">
        <v>1550</v>
      </c>
      <c r="C161" s="45" t="s">
        <v>330</v>
      </c>
      <c r="D161" s="45" t="s">
        <v>329</v>
      </c>
      <c r="E161" s="45">
        <v>110262</v>
      </c>
      <c r="F161" s="45">
        <v>1010</v>
      </c>
      <c r="G161" s="21">
        <v>11</v>
      </c>
      <c r="H161" s="21">
        <v>2</v>
      </c>
      <c r="I161" s="21" t="s">
        <v>210</v>
      </c>
      <c r="J161" s="21">
        <v>100</v>
      </c>
      <c r="K161" s="21">
        <v>0</v>
      </c>
      <c r="L161" s="2"/>
      <c r="M161" s="64" t="s">
        <v>2275</v>
      </c>
      <c r="N161" s="42"/>
      <c r="P161" s="21"/>
      <c r="Q161" s="12"/>
      <c r="R161">
        <f t="shared" si="8"/>
        <v>1</v>
      </c>
      <c r="S161" s="21" t="s">
        <v>99</v>
      </c>
      <c r="T161" s="21" t="s">
        <v>99</v>
      </c>
      <c r="W161" t="e">
        <f>INDEX(#REF!,MATCH($E161,#REF!,0))</f>
        <v>#REF!</v>
      </c>
      <c r="X161" t="e">
        <f>INDEX(#REF!,MATCH($E161,#REF!,0))</f>
        <v>#REF!</v>
      </c>
      <c r="Y161" t="e">
        <f>INDEX(#REF!,MATCH($E161,#REF!,0))</f>
        <v>#REF!</v>
      </c>
      <c r="Z161" t="e">
        <f>INDEX(#REF!,MATCH($E161,#REF!,0))</f>
        <v>#REF!</v>
      </c>
      <c r="AA161" t="e">
        <f>INDEX(#REF!,MATCH($E161,#REF!,0))</f>
        <v>#REF!</v>
      </c>
      <c r="AB161" t="e">
        <f>INDEX(#REF!,MATCH($E161,#REF!,0))</f>
        <v>#REF!</v>
      </c>
      <c r="AC161" t="e">
        <f>INDEX(#REF!,MATCH($E161,#REF!,0))</f>
        <v>#REF!</v>
      </c>
      <c r="AD161" t="e">
        <f>INDEX(#REF!,MATCH($E161,#REF!,0))</f>
        <v>#REF!</v>
      </c>
      <c r="AE161" t="e">
        <f t="shared" si="9"/>
        <v>#REF!</v>
      </c>
    </row>
    <row r="162" spans="2:31" ht="45" x14ac:dyDescent="0.25">
      <c r="B162" s="45" t="s">
        <v>2142</v>
      </c>
      <c r="C162" s="45" t="s">
        <v>332</v>
      </c>
      <c r="D162" s="45" t="s">
        <v>331</v>
      </c>
      <c r="E162" s="45">
        <v>110266</v>
      </c>
      <c r="F162" s="45">
        <v>1010</v>
      </c>
      <c r="G162" s="21">
        <v>15</v>
      </c>
      <c r="H162" s="21">
        <v>2</v>
      </c>
      <c r="I162" s="21" t="s">
        <v>207</v>
      </c>
      <c r="J162" s="21">
        <v>1000</v>
      </c>
      <c r="K162" s="21">
        <v>0</v>
      </c>
      <c r="L162" s="2"/>
      <c r="M162" s="64" t="s">
        <v>2276</v>
      </c>
      <c r="N162" s="42"/>
      <c r="P162" s="21"/>
      <c r="Q162" s="12"/>
      <c r="R162">
        <f t="shared" si="8"/>
        <v>1</v>
      </c>
      <c r="S162" s="21" t="s">
        <v>99</v>
      </c>
      <c r="T162" s="21" t="s">
        <v>99</v>
      </c>
      <c r="W162" t="e">
        <f>INDEX(#REF!,MATCH($E162,#REF!,0))</f>
        <v>#REF!</v>
      </c>
      <c r="X162" t="e">
        <f>INDEX(#REF!,MATCH($E162,#REF!,0))</f>
        <v>#REF!</v>
      </c>
      <c r="Y162" t="e">
        <f>INDEX(#REF!,MATCH($E162,#REF!,0))</f>
        <v>#REF!</v>
      </c>
      <c r="Z162" t="e">
        <f>INDEX(#REF!,MATCH($E162,#REF!,0))</f>
        <v>#REF!</v>
      </c>
      <c r="AA162" t="e">
        <f>INDEX(#REF!,MATCH($E162,#REF!,0))</f>
        <v>#REF!</v>
      </c>
      <c r="AB162" t="e">
        <f>INDEX(#REF!,MATCH($E162,#REF!,0))</f>
        <v>#REF!</v>
      </c>
      <c r="AC162" t="e">
        <f>INDEX(#REF!,MATCH($E162,#REF!,0))</f>
        <v>#REF!</v>
      </c>
      <c r="AD162" t="e">
        <f>INDEX(#REF!,MATCH($E162,#REF!,0))</f>
        <v>#REF!</v>
      </c>
      <c r="AE162" t="e">
        <f t="shared" si="9"/>
        <v>#REF!</v>
      </c>
    </row>
    <row r="163" spans="2:31" ht="45" x14ac:dyDescent="0.25">
      <c r="B163" s="45" t="s">
        <v>2143</v>
      </c>
      <c r="C163" s="45" t="s">
        <v>334</v>
      </c>
      <c r="D163" s="45" t="s">
        <v>333</v>
      </c>
      <c r="E163" s="45">
        <v>110267</v>
      </c>
      <c r="F163" s="45">
        <v>1010</v>
      </c>
      <c r="G163" s="21">
        <v>16</v>
      </c>
      <c r="H163" s="21">
        <v>2</v>
      </c>
      <c r="I163" s="21" t="s">
        <v>207</v>
      </c>
      <c r="J163" s="21">
        <v>1000</v>
      </c>
      <c r="K163" s="21">
        <v>0</v>
      </c>
      <c r="L163" s="2"/>
      <c r="M163" s="64" t="s">
        <v>2277</v>
      </c>
      <c r="N163" s="42"/>
      <c r="P163" s="21"/>
      <c r="Q163" s="12"/>
      <c r="R163">
        <f t="shared" si="8"/>
        <v>1</v>
      </c>
      <c r="S163" s="21" t="s">
        <v>99</v>
      </c>
      <c r="T163" s="21" t="s">
        <v>99</v>
      </c>
      <c r="W163" t="e">
        <f>INDEX(#REF!,MATCH($E163,#REF!,0))</f>
        <v>#REF!</v>
      </c>
      <c r="X163" t="e">
        <f>INDEX(#REF!,MATCH($E163,#REF!,0))</f>
        <v>#REF!</v>
      </c>
      <c r="Y163" t="e">
        <f>INDEX(#REF!,MATCH($E163,#REF!,0))</f>
        <v>#REF!</v>
      </c>
      <c r="Z163" t="e">
        <f>INDEX(#REF!,MATCH($E163,#REF!,0))</f>
        <v>#REF!</v>
      </c>
      <c r="AA163" t="e">
        <f>INDEX(#REF!,MATCH($E163,#REF!,0))</f>
        <v>#REF!</v>
      </c>
      <c r="AB163" t="e">
        <f>INDEX(#REF!,MATCH($E163,#REF!,0))</f>
        <v>#REF!</v>
      </c>
      <c r="AC163" t="e">
        <f>INDEX(#REF!,MATCH($E163,#REF!,0))</f>
        <v>#REF!</v>
      </c>
      <c r="AD163" t="e">
        <f>INDEX(#REF!,MATCH($E163,#REF!,0))</f>
        <v>#REF!</v>
      </c>
      <c r="AE163" t="e">
        <f t="shared" si="9"/>
        <v>#REF!</v>
      </c>
    </row>
    <row r="164" spans="2:31" ht="45" x14ac:dyDescent="0.25">
      <c r="B164" s="45" t="s">
        <v>2144</v>
      </c>
      <c r="C164" s="45" t="s">
        <v>336</v>
      </c>
      <c r="D164" s="45" t="s">
        <v>335</v>
      </c>
      <c r="E164" s="45">
        <v>110268</v>
      </c>
      <c r="F164" s="45">
        <v>1010</v>
      </c>
      <c r="G164" s="21">
        <v>17</v>
      </c>
      <c r="H164" s="21">
        <v>2</v>
      </c>
      <c r="I164" s="21" t="s">
        <v>207</v>
      </c>
      <c r="J164" s="21">
        <v>1000</v>
      </c>
      <c r="K164" s="21">
        <v>0</v>
      </c>
      <c r="L164" s="2"/>
      <c r="M164" s="64" t="s">
        <v>2278</v>
      </c>
      <c r="N164" s="42"/>
      <c r="P164" s="21"/>
      <c r="Q164" s="12"/>
      <c r="R164">
        <f t="shared" si="8"/>
        <v>1</v>
      </c>
      <c r="S164" s="21" t="s">
        <v>99</v>
      </c>
      <c r="T164" s="21" t="s">
        <v>99</v>
      </c>
      <c r="W164" t="e">
        <f>INDEX(#REF!,MATCH($E164,#REF!,0))</f>
        <v>#REF!</v>
      </c>
      <c r="X164" t="e">
        <f>INDEX(#REF!,MATCH($E164,#REF!,0))</f>
        <v>#REF!</v>
      </c>
      <c r="Y164" t="e">
        <f>INDEX(#REF!,MATCH($E164,#REF!,0))</f>
        <v>#REF!</v>
      </c>
      <c r="Z164" t="e">
        <f>INDEX(#REF!,MATCH($E164,#REF!,0))</f>
        <v>#REF!</v>
      </c>
      <c r="AA164" t="e">
        <f>INDEX(#REF!,MATCH($E164,#REF!,0))</f>
        <v>#REF!</v>
      </c>
      <c r="AB164" t="e">
        <f>INDEX(#REF!,MATCH($E164,#REF!,0))</f>
        <v>#REF!</v>
      </c>
      <c r="AC164" t="e">
        <f>INDEX(#REF!,MATCH($E164,#REF!,0))</f>
        <v>#REF!</v>
      </c>
      <c r="AD164" t="e">
        <f>INDEX(#REF!,MATCH($E164,#REF!,0))</f>
        <v>#REF!</v>
      </c>
      <c r="AE164" t="e">
        <f t="shared" si="9"/>
        <v>#REF!</v>
      </c>
    </row>
    <row r="165" spans="2:31" ht="45" x14ac:dyDescent="0.25">
      <c r="B165" s="45" t="s">
        <v>2145</v>
      </c>
      <c r="C165" s="45" t="s">
        <v>338</v>
      </c>
      <c r="D165" s="45" t="s">
        <v>337</v>
      </c>
      <c r="E165" s="45">
        <v>110269</v>
      </c>
      <c r="F165" s="45">
        <v>1010</v>
      </c>
      <c r="G165" s="21">
        <v>18</v>
      </c>
      <c r="H165" s="21">
        <v>2</v>
      </c>
      <c r="I165" s="21" t="s">
        <v>207</v>
      </c>
      <c r="J165" s="21">
        <v>1000</v>
      </c>
      <c r="K165" s="21">
        <v>0</v>
      </c>
      <c r="L165" s="2"/>
      <c r="M165" s="64" t="s">
        <v>2279</v>
      </c>
      <c r="N165" s="42"/>
      <c r="P165" s="21"/>
      <c r="Q165" s="12"/>
      <c r="R165">
        <f t="shared" si="8"/>
        <v>1</v>
      </c>
      <c r="S165" s="21" t="s">
        <v>99</v>
      </c>
      <c r="T165" s="21" t="s">
        <v>99</v>
      </c>
      <c r="W165" t="e">
        <f>INDEX(#REF!,MATCH($E165,#REF!,0))</f>
        <v>#REF!</v>
      </c>
      <c r="X165" t="e">
        <f>INDEX(#REF!,MATCH($E165,#REF!,0))</f>
        <v>#REF!</v>
      </c>
      <c r="Y165" t="e">
        <f>INDEX(#REF!,MATCH($E165,#REF!,0))</f>
        <v>#REF!</v>
      </c>
      <c r="Z165" t="e">
        <f>INDEX(#REF!,MATCH($E165,#REF!,0))</f>
        <v>#REF!</v>
      </c>
      <c r="AA165" t="e">
        <f>INDEX(#REF!,MATCH($E165,#REF!,0))</f>
        <v>#REF!</v>
      </c>
      <c r="AB165" t="e">
        <f>INDEX(#REF!,MATCH($E165,#REF!,0))</f>
        <v>#REF!</v>
      </c>
      <c r="AC165" t="e">
        <f>INDEX(#REF!,MATCH($E165,#REF!,0))</f>
        <v>#REF!</v>
      </c>
      <c r="AD165" t="e">
        <f>INDEX(#REF!,MATCH($E165,#REF!,0))</f>
        <v>#REF!</v>
      </c>
      <c r="AE165" t="e">
        <f t="shared" si="9"/>
        <v>#REF!</v>
      </c>
    </row>
    <row r="166" spans="2:31" ht="45" x14ac:dyDescent="0.25">
      <c r="B166" s="45" t="s">
        <v>1551</v>
      </c>
      <c r="C166" s="45" t="s">
        <v>340</v>
      </c>
      <c r="D166" s="45" t="s">
        <v>339</v>
      </c>
      <c r="E166" s="45">
        <v>110285</v>
      </c>
      <c r="F166" s="45">
        <v>1011</v>
      </c>
      <c r="G166" s="21">
        <v>9</v>
      </c>
      <c r="H166" s="21">
        <v>2</v>
      </c>
      <c r="I166" s="21" t="s">
        <v>147</v>
      </c>
      <c r="J166" s="21">
        <v>100000</v>
      </c>
      <c r="K166" s="21">
        <v>0</v>
      </c>
      <c r="L166" s="2"/>
      <c r="M166" s="64" t="s">
        <v>2280</v>
      </c>
      <c r="N166" s="42"/>
      <c r="P166" s="21"/>
      <c r="Q166" s="12"/>
      <c r="R166">
        <f t="shared" si="8"/>
        <v>1</v>
      </c>
      <c r="S166" s="21" t="s">
        <v>99</v>
      </c>
      <c r="T166" s="21" t="s">
        <v>99</v>
      </c>
      <c r="W166" t="e">
        <f>INDEX(#REF!,MATCH($E166,#REF!,0))</f>
        <v>#REF!</v>
      </c>
      <c r="X166" t="e">
        <f>INDEX(#REF!,MATCH($E166,#REF!,0))</f>
        <v>#REF!</v>
      </c>
      <c r="Y166" t="e">
        <f>INDEX(#REF!,MATCH($E166,#REF!,0))</f>
        <v>#REF!</v>
      </c>
      <c r="Z166" t="e">
        <f>INDEX(#REF!,MATCH($E166,#REF!,0))</f>
        <v>#REF!</v>
      </c>
      <c r="AA166" t="e">
        <f>INDEX(#REF!,MATCH($E166,#REF!,0))</f>
        <v>#REF!</v>
      </c>
      <c r="AB166" t="e">
        <f>INDEX(#REF!,MATCH($E166,#REF!,0))</f>
        <v>#REF!</v>
      </c>
      <c r="AC166" t="e">
        <f>INDEX(#REF!,MATCH($E166,#REF!,0))</f>
        <v>#REF!</v>
      </c>
      <c r="AD166" t="e">
        <f>INDEX(#REF!,MATCH($E166,#REF!,0))</f>
        <v>#REF!</v>
      </c>
      <c r="AE166" t="e">
        <f t="shared" si="9"/>
        <v>#REF!</v>
      </c>
    </row>
    <row r="167" spans="2:31" x14ac:dyDescent="0.25">
      <c r="B167" s="45" t="s">
        <v>1552</v>
      </c>
      <c r="C167" s="45" t="s">
        <v>342</v>
      </c>
      <c r="D167" s="45" t="s">
        <v>341</v>
      </c>
      <c r="E167" s="45">
        <v>110290</v>
      </c>
      <c r="F167" s="45">
        <v>1011</v>
      </c>
      <c r="G167" s="21">
        <v>14</v>
      </c>
      <c r="H167" s="21">
        <v>2</v>
      </c>
      <c r="I167" s="21" t="s">
        <v>18</v>
      </c>
      <c r="J167" s="21">
        <v>1</v>
      </c>
      <c r="K167" s="21">
        <v>0</v>
      </c>
      <c r="L167" s="2"/>
      <c r="M167" s="64" t="s">
        <v>1207</v>
      </c>
      <c r="N167" s="42"/>
      <c r="P167" s="21"/>
      <c r="Q167" s="12"/>
      <c r="R167">
        <f t="shared" si="8"/>
        <v>1</v>
      </c>
      <c r="S167" s="21" t="s">
        <v>99</v>
      </c>
      <c r="T167" s="21" t="s">
        <v>99</v>
      </c>
      <c r="W167" t="e">
        <f>INDEX(#REF!,MATCH($E167,#REF!,0))</f>
        <v>#REF!</v>
      </c>
      <c r="X167" t="e">
        <f>INDEX(#REF!,MATCH($E167,#REF!,0))</f>
        <v>#REF!</v>
      </c>
      <c r="Y167" t="e">
        <f>INDEX(#REF!,MATCH($E167,#REF!,0))</f>
        <v>#REF!</v>
      </c>
      <c r="Z167" t="e">
        <f>INDEX(#REF!,MATCH($E167,#REF!,0))</f>
        <v>#REF!</v>
      </c>
      <c r="AA167" t="e">
        <f>INDEX(#REF!,MATCH($E167,#REF!,0))</f>
        <v>#REF!</v>
      </c>
      <c r="AB167" t="e">
        <f>INDEX(#REF!,MATCH($E167,#REF!,0))</f>
        <v>#REF!</v>
      </c>
      <c r="AC167" t="e">
        <f>INDEX(#REF!,MATCH($E167,#REF!,0))</f>
        <v>#REF!</v>
      </c>
      <c r="AD167" t="e">
        <f>INDEX(#REF!,MATCH($E167,#REF!,0))</f>
        <v>#REF!</v>
      </c>
      <c r="AE167" t="e">
        <f t="shared" si="9"/>
        <v>#REF!</v>
      </c>
    </row>
    <row r="168" spans="2:31" x14ac:dyDescent="0.25">
      <c r="B168" s="45" t="s">
        <v>1553</v>
      </c>
      <c r="C168" s="45" t="s">
        <v>344</v>
      </c>
      <c r="D168" s="45" t="s">
        <v>343</v>
      </c>
      <c r="E168" s="45">
        <v>110291</v>
      </c>
      <c r="F168" s="45">
        <v>1011</v>
      </c>
      <c r="G168" s="21">
        <v>15</v>
      </c>
      <c r="H168" s="21">
        <v>2</v>
      </c>
      <c r="I168" s="21" t="s">
        <v>18</v>
      </c>
      <c r="J168" s="21">
        <v>1</v>
      </c>
      <c r="K168" s="21">
        <v>0</v>
      </c>
      <c r="L168" s="2"/>
      <c r="M168" s="64" t="s">
        <v>1208</v>
      </c>
      <c r="N168" s="42"/>
      <c r="P168" s="21"/>
      <c r="Q168" s="12"/>
      <c r="R168">
        <f t="shared" si="8"/>
        <v>1</v>
      </c>
      <c r="S168" s="21" t="s">
        <v>99</v>
      </c>
      <c r="T168" s="21" t="s">
        <v>99</v>
      </c>
      <c r="W168" t="e">
        <f>INDEX(#REF!,MATCH($E168,#REF!,0))</f>
        <v>#REF!</v>
      </c>
      <c r="X168" t="e">
        <f>INDEX(#REF!,MATCH($E168,#REF!,0))</f>
        <v>#REF!</v>
      </c>
      <c r="Y168" t="e">
        <f>INDEX(#REF!,MATCH($E168,#REF!,0))</f>
        <v>#REF!</v>
      </c>
      <c r="Z168" t="e">
        <f>INDEX(#REF!,MATCH($E168,#REF!,0))</f>
        <v>#REF!</v>
      </c>
      <c r="AA168" t="e">
        <f>INDEX(#REF!,MATCH($E168,#REF!,0))</f>
        <v>#REF!</v>
      </c>
      <c r="AB168" t="e">
        <f>INDEX(#REF!,MATCH($E168,#REF!,0))</f>
        <v>#REF!</v>
      </c>
      <c r="AC168" t="e">
        <f>INDEX(#REF!,MATCH($E168,#REF!,0))</f>
        <v>#REF!</v>
      </c>
      <c r="AD168" t="e">
        <f>INDEX(#REF!,MATCH($E168,#REF!,0))</f>
        <v>#REF!</v>
      </c>
      <c r="AE168" t="e">
        <f t="shared" si="9"/>
        <v>#REF!</v>
      </c>
    </row>
    <row r="169" spans="2:31" ht="45" x14ac:dyDescent="0.25">
      <c r="B169" s="45" t="s">
        <v>1554</v>
      </c>
      <c r="C169" s="45" t="s">
        <v>346</v>
      </c>
      <c r="D169" s="45" t="s">
        <v>345</v>
      </c>
      <c r="E169" s="45">
        <v>110298</v>
      </c>
      <c r="F169" s="45">
        <v>1011</v>
      </c>
      <c r="G169" s="21">
        <v>22</v>
      </c>
      <c r="H169" s="21">
        <v>2</v>
      </c>
      <c r="I169" s="21" t="s">
        <v>210</v>
      </c>
      <c r="J169" s="21">
        <v>100</v>
      </c>
      <c r="K169" s="21">
        <v>0</v>
      </c>
      <c r="L169" s="2"/>
      <c r="M169" s="64" t="s">
        <v>2281</v>
      </c>
      <c r="N169" s="42"/>
      <c r="P169" s="21"/>
      <c r="Q169" s="12"/>
      <c r="R169">
        <f t="shared" si="8"/>
        <v>1</v>
      </c>
      <c r="S169" s="21" t="s">
        <v>99</v>
      </c>
      <c r="T169" s="21" t="s">
        <v>99</v>
      </c>
      <c r="W169" t="e">
        <f>INDEX(#REF!,MATCH($E169,#REF!,0))</f>
        <v>#REF!</v>
      </c>
      <c r="X169" t="e">
        <f>INDEX(#REF!,MATCH($E169,#REF!,0))</f>
        <v>#REF!</v>
      </c>
      <c r="Y169" t="e">
        <f>INDEX(#REF!,MATCH($E169,#REF!,0))</f>
        <v>#REF!</v>
      </c>
      <c r="Z169" t="e">
        <f>INDEX(#REF!,MATCH($E169,#REF!,0))</f>
        <v>#REF!</v>
      </c>
      <c r="AA169" t="e">
        <f>INDEX(#REF!,MATCH($E169,#REF!,0))</f>
        <v>#REF!</v>
      </c>
      <c r="AB169" t="e">
        <f>INDEX(#REF!,MATCH($E169,#REF!,0))</f>
        <v>#REF!</v>
      </c>
      <c r="AC169" t="e">
        <f>INDEX(#REF!,MATCH($E169,#REF!,0))</f>
        <v>#REF!</v>
      </c>
      <c r="AD169" t="e">
        <f>INDEX(#REF!,MATCH($E169,#REF!,0))</f>
        <v>#REF!</v>
      </c>
      <c r="AE169" t="e">
        <f t="shared" si="9"/>
        <v>#REF!</v>
      </c>
    </row>
    <row r="170" spans="2:31" ht="45" x14ac:dyDescent="0.25">
      <c r="B170" s="45" t="s">
        <v>1555</v>
      </c>
      <c r="C170" s="45" t="s">
        <v>348</v>
      </c>
      <c r="D170" s="45" t="s">
        <v>347</v>
      </c>
      <c r="E170" s="45">
        <v>110300</v>
      </c>
      <c r="F170" s="45">
        <v>1011</v>
      </c>
      <c r="G170" s="21">
        <v>24</v>
      </c>
      <c r="H170" s="21">
        <v>2</v>
      </c>
      <c r="I170" s="21" t="s">
        <v>210</v>
      </c>
      <c r="J170" s="21">
        <v>100</v>
      </c>
      <c r="K170" s="21">
        <v>0</v>
      </c>
      <c r="L170" s="2"/>
      <c r="M170" s="64" t="s">
        <v>2282</v>
      </c>
      <c r="N170" s="42"/>
      <c r="P170" s="21"/>
      <c r="Q170" s="12"/>
      <c r="R170">
        <f t="shared" si="8"/>
        <v>1</v>
      </c>
      <c r="S170" s="21" t="s">
        <v>99</v>
      </c>
      <c r="T170" s="21" t="s">
        <v>99</v>
      </c>
      <c r="W170" t="e">
        <f>INDEX(#REF!,MATCH($E170,#REF!,0))</f>
        <v>#REF!</v>
      </c>
      <c r="X170" t="e">
        <f>INDEX(#REF!,MATCH($E170,#REF!,0))</f>
        <v>#REF!</v>
      </c>
      <c r="Y170" t="e">
        <f>INDEX(#REF!,MATCH($E170,#REF!,0))</f>
        <v>#REF!</v>
      </c>
      <c r="Z170" t="e">
        <f>INDEX(#REF!,MATCH($E170,#REF!,0))</f>
        <v>#REF!</v>
      </c>
      <c r="AA170" t="e">
        <f>INDEX(#REF!,MATCH($E170,#REF!,0))</f>
        <v>#REF!</v>
      </c>
      <c r="AB170" t="e">
        <f>INDEX(#REF!,MATCH($E170,#REF!,0))</f>
        <v>#REF!</v>
      </c>
      <c r="AC170" t="e">
        <f>INDEX(#REF!,MATCH($E170,#REF!,0))</f>
        <v>#REF!</v>
      </c>
      <c r="AD170" t="e">
        <f>INDEX(#REF!,MATCH($E170,#REF!,0))</f>
        <v>#REF!</v>
      </c>
      <c r="AE170" t="e">
        <f t="shared" si="9"/>
        <v>#REF!</v>
      </c>
    </row>
    <row r="171" spans="2:31" x14ac:dyDescent="0.25">
      <c r="B171" s="89" t="s">
        <v>3537</v>
      </c>
      <c r="C171" s="89" t="s">
        <v>3538</v>
      </c>
      <c r="D171" s="89" t="s">
        <v>3539</v>
      </c>
      <c r="E171" s="89">
        <v>110307</v>
      </c>
      <c r="F171" s="89">
        <v>1012</v>
      </c>
      <c r="G171" s="90">
        <v>6</v>
      </c>
      <c r="H171" s="90">
        <v>2</v>
      </c>
      <c r="I171" s="90" t="s">
        <v>18</v>
      </c>
      <c r="J171" s="90">
        <v>1</v>
      </c>
      <c r="K171" s="90" t="s">
        <v>2509</v>
      </c>
      <c r="L171" s="91"/>
      <c r="M171" s="92"/>
      <c r="N171" s="93"/>
      <c r="O171" s="94"/>
      <c r="P171" s="90" t="s">
        <v>3525</v>
      </c>
      <c r="Q171" s="95" t="s">
        <v>3526</v>
      </c>
      <c r="S171" s="21"/>
      <c r="T171" s="21"/>
    </row>
    <row r="172" spans="2:31" x14ac:dyDescent="0.25">
      <c r="B172" s="45" t="s">
        <v>1556</v>
      </c>
      <c r="C172" s="45" t="s">
        <v>350</v>
      </c>
      <c r="D172" s="45" t="s">
        <v>349</v>
      </c>
      <c r="E172" s="45">
        <v>110318</v>
      </c>
      <c r="F172" s="45">
        <v>1012</v>
      </c>
      <c r="G172" s="21">
        <v>17</v>
      </c>
      <c r="H172" s="21">
        <v>2</v>
      </c>
      <c r="I172" s="21" t="s">
        <v>175</v>
      </c>
      <c r="J172" s="21">
        <v>10000</v>
      </c>
      <c r="K172" s="21">
        <v>0</v>
      </c>
      <c r="L172" s="2"/>
      <c r="M172" s="64" t="s">
        <v>1209</v>
      </c>
      <c r="N172" s="42"/>
      <c r="P172" s="21"/>
      <c r="Q172" s="12"/>
      <c r="R172">
        <f t="shared" ref="R172:R186" si="10">COUNTIF(C:C,C172)</f>
        <v>1</v>
      </c>
      <c r="S172" s="21" t="s">
        <v>99</v>
      </c>
      <c r="T172" s="21" t="s">
        <v>99</v>
      </c>
      <c r="W172" t="e">
        <f>INDEX(#REF!,MATCH($E172,#REF!,0))</f>
        <v>#REF!</v>
      </c>
      <c r="X172" t="e">
        <f>INDEX(#REF!,MATCH($E172,#REF!,0))</f>
        <v>#REF!</v>
      </c>
      <c r="Y172" t="e">
        <f>INDEX(#REF!,MATCH($E172,#REF!,0))</f>
        <v>#REF!</v>
      </c>
      <c r="Z172" t="e">
        <f>INDEX(#REF!,MATCH($E172,#REF!,0))</f>
        <v>#REF!</v>
      </c>
      <c r="AA172" t="e">
        <f>INDEX(#REF!,MATCH($E172,#REF!,0))</f>
        <v>#REF!</v>
      </c>
      <c r="AB172" t="e">
        <f>INDEX(#REF!,MATCH($E172,#REF!,0))</f>
        <v>#REF!</v>
      </c>
      <c r="AC172" t="e">
        <f>INDEX(#REF!,MATCH($E172,#REF!,0))</f>
        <v>#REF!</v>
      </c>
      <c r="AD172" t="e">
        <f>INDEX(#REF!,MATCH($E172,#REF!,0))</f>
        <v>#REF!</v>
      </c>
      <c r="AE172" t="e">
        <f t="shared" si="9"/>
        <v>#REF!</v>
      </c>
    </row>
    <row r="173" spans="2:31" x14ac:dyDescent="0.25">
      <c r="B173" s="45" t="s">
        <v>1557</v>
      </c>
      <c r="C173" s="45" t="s">
        <v>352</v>
      </c>
      <c r="D173" s="45" t="s">
        <v>351</v>
      </c>
      <c r="E173" s="45">
        <v>110319</v>
      </c>
      <c r="F173" s="45">
        <v>1012</v>
      </c>
      <c r="G173" s="21">
        <v>18</v>
      </c>
      <c r="H173" s="21">
        <v>2</v>
      </c>
      <c r="I173" s="21" t="s">
        <v>175</v>
      </c>
      <c r="J173" s="21">
        <v>10000</v>
      </c>
      <c r="K173" s="21">
        <v>0</v>
      </c>
      <c r="L173" s="2"/>
      <c r="M173" s="64" t="s">
        <v>1210</v>
      </c>
      <c r="N173" s="42"/>
      <c r="P173" s="21"/>
      <c r="Q173" s="12"/>
      <c r="R173">
        <f t="shared" si="10"/>
        <v>1</v>
      </c>
      <c r="S173" s="21" t="s">
        <v>99</v>
      </c>
      <c r="T173" s="21" t="s">
        <v>99</v>
      </c>
      <c r="W173" t="e">
        <f>INDEX(#REF!,MATCH($E173,#REF!,0))</f>
        <v>#REF!</v>
      </c>
      <c r="X173" t="e">
        <f>INDEX(#REF!,MATCH($E173,#REF!,0))</f>
        <v>#REF!</v>
      </c>
      <c r="Y173" t="e">
        <f>INDEX(#REF!,MATCH($E173,#REF!,0))</f>
        <v>#REF!</v>
      </c>
      <c r="Z173" t="e">
        <f>INDEX(#REF!,MATCH($E173,#REF!,0))</f>
        <v>#REF!</v>
      </c>
      <c r="AA173" t="e">
        <f>INDEX(#REF!,MATCH($E173,#REF!,0))</f>
        <v>#REF!</v>
      </c>
      <c r="AB173" t="e">
        <f>INDEX(#REF!,MATCH($E173,#REF!,0))</f>
        <v>#REF!</v>
      </c>
      <c r="AC173" t="e">
        <f>INDEX(#REF!,MATCH($E173,#REF!,0))</f>
        <v>#REF!</v>
      </c>
      <c r="AD173" t="e">
        <f>INDEX(#REF!,MATCH($E173,#REF!,0))</f>
        <v>#REF!</v>
      </c>
      <c r="AE173" t="e">
        <f t="shared" si="9"/>
        <v>#REF!</v>
      </c>
    </row>
    <row r="174" spans="2:31" x14ac:dyDescent="0.25">
      <c r="B174" s="45" t="s">
        <v>1558</v>
      </c>
      <c r="C174" s="45" t="s">
        <v>354</v>
      </c>
      <c r="D174" s="45" t="s">
        <v>353</v>
      </c>
      <c r="E174" s="45">
        <v>110320</v>
      </c>
      <c r="F174" s="45">
        <v>1012</v>
      </c>
      <c r="G174" s="21">
        <v>19</v>
      </c>
      <c r="H174" s="21">
        <v>2</v>
      </c>
      <c r="I174" s="21" t="s">
        <v>18</v>
      </c>
      <c r="J174" s="21">
        <v>1</v>
      </c>
      <c r="K174" s="21">
        <v>0</v>
      </c>
      <c r="L174" s="2"/>
      <c r="M174" s="64" t="s">
        <v>1211</v>
      </c>
      <c r="N174" s="42"/>
      <c r="P174" s="21"/>
      <c r="Q174" s="12"/>
      <c r="R174">
        <f t="shared" si="10"/>
        <v>1</v>
      </c>
      <c r="S174" s="21" t="s">
        <v>99</v>
      </c>
      <c r="T174" s="21" t="s">
        <v>99</v>
      </c>
      <c r="W174" t="e">
        <f>INDEX(#REF!,MATCH($E174,#REF!,0))</f>
        <v>#REF!</v>
      </c>
      <c r="X174" t="e">
        <f>INDEX(#REF!,MATCH($E174,#REF!,0))</f>
        <v>#REF!</v>
      </c>
      <c r="Y174" t="e">
        <f>INDEX(#REF!,MATCH($E174,#REF!,0))</f>
        <v>#REF!</v>
      </c>
      <c r="Z174" t="e">
        <f>INDEX(#REF!,MATCH($E174,#REF!,0))</f>
        <v>#REF!</v>
      </c>
      <c r="AA174" t="e">
        <f>INDEX(#REF!,MATCH($E174,#REF!,0))</f>
        <v>#REF!</v>
      </c>
      <c r="AB174" t="e">
        <f>INDEX(#REF!,MATCH($E174,#REF!,0))</f>
        <v>#REF!</v>
      </c>
      <c r="AC174" t="e">
        <f>INDEX(#REF!,MATCH($E174,#REF!,0))</f>
        <v>#REF!</v>
      </c>
      <c r="AD174" t="e">
        <f>INDEX(#REF!,MATCH($E174,#REF!,0))</f>
        <v>#REF!</v>
      </c>
      <c r="AE174" t="e">
        <f t="shared" si="9"/>
        <v>#REF!</v>
      </c>
    </row>
    <row r="175" spans="2:31" x14ac:dyDescent="0.25">
      <c r="B175" s="45" t="s">
        <v>1559</v>
      </c>
      <c r="C175" s="45" t="s">
        <v>356</v>
      </c>
      <c r="D175" s="45" t="s">
        <v>355</v>
      </c>
      <c r="E175" s="45">
        <v>110321</v>
      </c>
      <c r="F175" s="45">
        <v>1012</v>
      </c>
      <c r="G175" s="21">
        <v>20</v>
      </c>
      <c r="H175" s="21">
        <v>2</v>
      </c>
      <c r="I175" s="21" t="s">
        <v>18</v>
      </c>
      <c r="J175" s="21">
        <v>1</v>
      </c>
      <c r="K175" s="21">
        <v>0</v>
      </c>
      <c r="L175" s="2"/>
      <c r="M175" s="64" t="s">
        <v>1212</v>
      </c>
      <c r="N175" s="42"/>
      <c r="P175" s="21"/>
      <c r="Q175" s="12"/>
      <c r="R175">
        <f t="shared" si="10"/>
        <v>1</v>
      </c>
      <c r="S175" s="21" t="s">
        <v>99</v>
      </c>
      <c r="T175" s="21">
        <v>350487</v>
      </c>
      <c r="W175" t="e">
        <f>INDEX(#REF!,MATCH($E175,#REF!,0))</f>
        <v>#REF!</v>
      </c>
      <c r="X175" t="e">
        <f>INDEX(#REF!,MATCH($E175,#REF!,0))</f>
        <v>#REF!</v>
      </c>
      <c r="Y175" t="e">
        <f>INDEX(#REF!,MATCH($E175,#REF!,0))</f>
        <v>#REF!</v>
      </c>
      <c r="Z175" t="e">
        <f>INDEX(#REF!,MATCH($E175,#REF!,0))</f>
        <v>#REF!</v>
      </c>
      <c r="AA175" t="e">
        <f>INDEX(#REF!,MATCH($E175,#REF!,0))</f>
        <v>#REF!</v>
      </c>
      <c r="AB175" t="e">
        <f>INDEX(#REF!,MATCH($E175,#REF!,0))</f>
        <v>#REF!</v>
      </c>
      <c r="AC175" t="e">
        <f>INDEX(#REF!,MATCH($E175,#REF!,0))</f>
        <v>#REF!</v>
      </c>
      <c r="AD175" t="e">
        <f>INDEX(#REF!,MATCH($E175,#REF!,0))</f>
        <v>#REF!</v>
      </c>
      <c r="AE175" t="e">
        <f t="shared" si="9"/>
        <v>#REF!</v>
      </c>
    </row>
    <row r="176" spans="2:31" x14ac:dyDescent="0.25">
      <c r="B176" s="45" t="s">
        <v>1560</v>
      </c>
      <c r="C176" s="45" t="s">
        <v>358</v>
      </c>
      <c r="D176" s="45" t="s">
        <v>357</v>
      </c>
      <c r="E176" s="45">
        <v>110335</v>
      </c>
      <c r="F176" s="45">
        <v>1013</v>
      </c>
      <c r="G176" s="21">
        <v>9</v>
      </c>
      <c r="H176" s="21">
        <v>2</v>
      </c>
      <c r="I176" s="21" t="s">
        <v>210</v>
      </c>
      <c r="J176" s="21">
        <v>100</v>
      </c>
      <c r="K176" s="21">
        <v>0</v>
      </c>
      <c r="L176" s="2"/>
      <c r="M176" s="64" t="s">
        <v>1213</v>
      </c>
      <c r="N176" s="42"/>
      <c r="P176" s="21"/>
      <c r="Q176" s="12"/>
      <c r="R176">
        <f t="shared" si="10"/>
        <v>1</v>
      </c>
      <c r="S176" s="21" t="s">
        <v>99</v>
      </c>
      <c r="T176" s="21" t="s">
        <v>99</v>
      </c>
      <c r="W176" t="e">
        <f>INDEX(#REF!,MATCH($E176,#REF!,0))</f>
        <v>#REF!</v>
      </c>
      <c r="X176" t="e">
        <f>INDEX(#REF!,MATCH($E176,#REF!,0))</f>
        <v>#REF!</v>
      </c>
      <c r="Y176" t="e">
        <f>INDEX(#REF!,MATCH($E176,#REF!,0))</f>
        <v>#REF!</v>
      </c>
      <c r="Z176" t="e">
        <f>INDEX(#REF!,MATCH($E176,#REF!,0))</f>
        <v>#REF!</v>
      </c>
      <c r="AA176" t="e">
        <f>INDEX(#REF!,MATCH($E176,#REF!,0))</f>
        <v>#REF!</v>
      </c>
      <c r="AB176" t="e">
        <f>INDEX(#REF!,MATCH($E176,#REF!,0))</f>
        <v>#REF!</v>
      </c>
      <c r="AC176" t="e">
        <f>INDEX(#REF!,MATCH($E176,#REF!,0))</f>
        <v>#REF!</v>
      </c>
      <c r="AD176" t="e">
        <f>INDEX(#REF!,MATCH($E176,#REF!,0))</f>
        <v>#REF!</v>
      </c>
      <c r="AE176" t="e">
        <f t="shared" si="9"/>
        <v>#REF!</v>
      </c>
    </row>
    <row r="177" spans="2:31" x14ac:dyDescent="0.25">
      <c r="B177" s="45" t="s">
        <v>1561</v>
      </c>
      <c r="C177" s="45" t="s">
        <v>360</v>
      </c>
      <c r="D177" s="45" t="s">
        <v>359</v>
      </c>
      <c r="E177" s="45">
        <v>110336</v>
      </c>
      <c r="F177" s="45">
        <v>1013</v>
      </c>
      <c r="G177" s="21">
        <v>10</v>
      </c>
      <c r="H177" s="21">
        <v>2</v>
      </c>
      <c r="I177" s="21" t="s">
        <v>210</v>
      </c>
      <c r="J177" s="21">
        <v>100</v>
      </c>
      <c r="K177" s="21">
        <v>0</v>
      </c>
      <c r="L177" s="2"/>
      <c r="M177" s="64" t="s">
        <v>1214</v>
      </c>
      <c r="N177" s="42"/>
      <c r="P177" s="21"/>
      <c r="Q177" s="12"/>
      <c r="R177">
        <f t="shared" si="10"/>
        <v>1</v>
      </c>
      <c r="S177" s="21" t="s">
        <v>99</v>
      </c>
      <c r="T177" s="21" t="s">
        <v>99</v>
      </c>
      <c r="W177" t="e">
        <f>INDEX(#REF!,MATCH($E177,#REF!,0))</f>
        <v>#REF!</v>
      </c>
      <c r="X177" t="e">
        <f>INDEX(#REF!,MATCH($E177,#REF!,0))</f>
        <v>#REF!</v>
      </c>
      <c r="Y177" t="e">
        <f>INDEX(#REF!,MATCH($E177,#REF!,0))</f>
        <v>#REF!</v>
      </c>
      <c r="Z177" t="e">
        <f>INDEX(#REF!,MATCH($E177,#REF!,0))</f>
        <v>#REF!</v>
      </c>
      <c r="AA177" t="e">
        <f>INDEX(#REF!,MATCH($E177,#REF!,0))</f>
        <v>#REF!</v>
      </c>
      <c r="AB177" t="e">
        <f>INDEX(#REF!,MATCH($E177,#REF!,0))</f>
        <v>#REF!</v>
      </c>
      <c r="AC177" t="e">
        <f>INDEX(#REF!,MATCH($E177,#REF!,0))</f>
        <v>#REF!</v>
      </c>
      <c r="AD177" t="e">
        <f>INDEX(#REF!,MATCH($E177,#REF!,0))</f>
        <v>#REF!</v>
      </c>
      <c r="AE177" t="e">
        <f t="shared" si="9"/>
        <v>#REF!</v>
      </c>
    </row>
    <row r="178" spans="2:31" x14ac:dyDescent="0.25">
      <c r="B178" s="45" t="s">
        <v>1562</v>
      </c>
      <c r="C178" s="45" t="s">
        <v>362</v>
      </c>
      <c r="D178" s="45" t="s">
        <v>361</v>
      </c>
      <c r="E178" s="45">
        <v>110337</v>
      </c>
      <c r="F178" s="45">
        <v>1013</v>
      </c>
      <c r="G178" s="21">
        <v>11</v>
      </c>
      <c r="H178" s="21">
        <v>2</v>
      </c>
      <c r="I178" s="21" t="s">
        <v>210</v>
      </c>
      <c r="J178" s="21">
        <v>100</v>
      </c>
      <c r="K178" s="21">
        <v>0</v>
      </c>
      <c r="L178" s="2"/>
      <c r="M178" s="64" t="s">
        <v>1215</v>
      </c>
      <c r="N178" s="42"/>
      <c r="P178" s="21"/>
      <c r="Q178" s="12"/>
      <c r="R178">
        <f t="shared" si="10"/>
        <v>1</v>
      </c>
      <c r="S178" s="21" t="s">
        <v>99</v>
      </c>
      <c r="T178" s="21" t="s">
        <v>99</v>
      </c>
      <c r="W178" t="e">
        <f>INDEX(#REF!,MATCH($E178,#REF!,0))</f>
        <v>#REF!</v>
      </c>
      <c r="X178" t="e">
        <f>INDEX(#REF!,MATCH($E178,#REF!,0))</f>
        <v>#REF!</v>
      </c>
      <c r="Y178" t="e">
        <f>INDEX(#REF!,MATCH($E178,#REF!,0))</f>
        <v>#REF!</v>
      </c>
      <c r="Z178" t="e">
        <f>INDEX(#REF!,MATCH($E178,#REF!,0))</f>
        <v>#REF!</v>
      </c>
      <c r="AA178" t="e">
        <f>INDEX(#REF!,MATCH($E178,#REF!,0))</f>
        <v>#REF!</v>
      </c>
      <c r="AB178" t="e">
        <f>INDEX(#REF!,MATCH($E178,#REF!,0))</f>
        <v>#REF!</v>
      </c>
      <c r="AC178" t="e">
        <f>INDEX(#REF!,MATCH($E178,#REF!,0))</f>
        <v>#REF!</v>
      </c>
      <c r="AD178" t="e">
        <f>INDEX(#REF!,MATCH($E178,#REF!,0))</f>
        <v>#REF!</v>
      </c>
      <c r="AE178" t="e">
        <f t="shared" si="9"/>
        <v>#REF!</v>
      </c>
    </row>
    <row r="179" spans="2:31" x14ac:dyDescent="0.25">
      <c r="B179" s="45" t="s">
        <v>1563</v>
      </c>
      <c r="C179" s="45" t="s">
        <v>364</v>
      </c>
      <c r="D179" s="45" t="s">
        <v>363</v>
      </c>
      <c r="E179" s="45">
        <v>110340</v>
      </c>
      <c r="F179" s="45">
        <v>1013</v>
      </c>
      <c r="G179" s="21">
        <v>14</v>
      </c>
      <c r="H179" s="21">
        <v>2</v>
      </c>
      <c r="I179" s="21" t="s">
        <v>210</v>
      </c>
      <c r="J179" s="21">
        <v>100</v>
      </c>
      <c r="K179" s="21">
        <v>0</v>
      </c>
      <c r="L179" s="2"/>
      <c r="M179" s="64" t="s">
        <v>1216</v>
      </c>
      <c r="N179" s="42"/>
      <c r="P179" s="21"/>
      <c r="Q179" s="12"/>
      <c r="R179">
        <f t="shared" si="10"/>
        <v>1</v>
      </c>
      <c r="S179" s="21" t="s">
        <v>99</v>
      </c>
      <c r="T179" s="21" t="s">
        <v>99</v>
      </c>
      <c r="W179" t="e">
        <f>INDEX(#REF!,MATCH($E179,#REF!,0))</f>
        <v>#REF!</v>
      </c>
      <c r="X179" t="e">
        <f>INDEX(#REF!,MATCH($E179,#REF!,0))</f>
        <v>#REF!</v>
      </c>
      <c r="Y179" t="e">
        <f>INDEX(#REF!,MATCH($E179,#REF!,0))</f>
        <v>#REF!</v>
      </c>
      <c r="Z179" t="e">
        <f>INDEX(#REF!,MATCH($E179,#REF!,0))</f>
        <v>#REF!</v>
      </c>
      <c r="AA179" t="e">
        <f>INDEX(#REF!,MATCH($E179,#REF!,0))</f>
        <v>#REF!</v>
      </c>
      <c r="AB179" t="e">
        <f>INDEX(#REF!,MATCH($E179,#REF!,0))</f>
        <v>#REF!</v>
      </c>
      <c r="AC179" t="e">
        <f>INDEX(#REF!,MATCH($E179,#REF!,0))</f>
        <v>#REF!</v>
      </c>
      <c r="AD179" t="e">
        <f>INDEX(#REF!,MATCH($E179,#REF!,0))</f>
        <v>#REF!</v>
      </c>
      <c r="AE179" t="e">
        <f t="shared" si="9"/>
        <v>#REF!</v>
      </c>
    </row>
    <row r="180" spans="2:31" x14ac:dyDescent="0.25">
      <c r="B180" s="45" t="s">
        <v>1564</v>
      </c>
      <c r="C180" s="45" t="s">
        <v>366</v>
      </c>
      <c r="D180" s="45" t="s">
        <v>365</v>
      </c>
      <c r="E180" s="45">
        <v>110341</v>
      </c>
      <c r="F180" s="45">
        <v>1013</v>
      </c>
      <c r="G180" s="21">
        <v>15</v>
      </c>
      <c r="H180" s="21">
        <v>2</v>
      </c>
      <c r="I180" s="21" t="s">
        <v>210</v>
      </c>
      <c r="J180" s="21">
        <v>100</v>
      </c>
      <c r="K180" s="21">
        <v>0</v>
      </c>
      <c r="L180" s="2"/>
      <c r="M180" s="64" t="s">
        <v>1217</v>
      </c>
      <c r="N180" s="42"/>
      <c r="P180" s="21"/>
      <c r="Q180" s="12"/>
      <c r="R180">
        <f t="shared" si="10"/>
        <v>1</v>
      </c>
      <c r="S180" s="21" t="s">
        <v>99</v>
      </c>
      <c r="T180" s="21" t="s">
        <v>99</v>
      </c>
      <c r="W180" t="e">
        <f>INDEX(#REF!,MATCH($E180,#REF!,0))</f>
        <v>#REF!</v>
      </c>
      <c r="X180" t="e">
        <f>INDEX(#REF!,MATCH($E180,#REF!,0))</f>
        <v>#REF!</v>
      </c>
      <c r="Y180" t="e">
        <f>INDEX(#REF!,MATCH($E180,#REF!,0))</f>
        <v>#REF!</v>
      </c>
      <c r="Z180" t="e">
        <f>INDEX(#REF!,MATCH($E180,#REF!,0))</f>
        <v>#REF!</v>
      </c>
      <c r="AA180" t="e">
        <f>INDEX(#REF!,MATCH($E180,#REF!,0))</f>
        <v>#REF!</v>
      </c>
      <c r="AB180" t="e">
        <f>INDEX(#REF!,MATCH($E180,#REF!,0))</f>
        <v>#REF!</v>
      </c>
      <c r="AC180" t="e">
        <f>INDEX(#REF!,MATCH($E180,#REF!,0))</f>
        <v>#REF!</v>
      </c>
      <c r="AD180" t="e">
        <f>INDEX(#REF!,MATCH($E180,#REF!,0))</f>
        <v>#REF!</v>
      </c>
      <c r="AE180" t="e">
        <f t="shared" si="9"/>
        <v>#REF!</v>
      </c>
    </row>
    <row r="181" spans="2:31" x14ac:dyDescent="0.25">
      <c r="B181" s="45" t="s">
        <v>1565</v>
      </c>
      <c r="C181" s="45" t="s">
        <v>368</v>
      </c>
      <c r="D181" s="45" t="s">
        <v>367</v>
      </c>
      <c r="E181" s="45">
        <v>110342</v>
      </c>
      <c r="F181" s="45">
        <v>1013</v>
      </c>
      <c r="G181" s="21">
        <v>16</v>
      </c>
      <c r="H181" s="21">
        <v>2</v>
      </c>
      <c r="I181" s="21" t="s">
        <v>210</v>
      </c>
      <c r="J181" s="21">
        <v>100</v>
      </c>
      <c r="K181" s="21">
        <v>0</v>
      </c>
      <c r="L181" s="2"/>
      <c r="M181" s="64" t="s">
        <v>1218</v>
      </c>
      <c r="N181" s="42"/>
      <c r="P181" s="21"/>
      <c r="Q181" s="12"/>
      <c r="R181">
        <f t="shared" si="10"/>
        <v>1</v>
      </c>
      <c r="S181" s="21" t="s">
        <v>99</v>
      </c>
      <c r="T181" s="21" t="s">
        <v>99</v>
      </c>
      <c r="W181" t="e">
        <f>INDEX(#REF!,MATCH($E181,#REF!,0))</f>
        <v>#REF!</v>
      </c>
      <c r="X181" t="e">
        <f>INDEX(#REF!,MATCH($E181,#REF!,0))</f>
        <v>#REF!</v>
      </c>
      <c r="Y181" t="e">
        <f>INDEX(#REF!,MATCH($E181,#REF!,0))</f>
        <v>#REF!</v>
      </c>
      <c r="Z181" t="e">
        <f>INDEX(#REF!,MATCH($E181,#REF!,0))</f>
        <v>#REF!</v>
      </c>
      <c r="AA181" t="e">
        <f>INDEX(#REF!,MATCH($E181,#REF!,0))</f>
        <v>#REF!</v>
      </c>
      <c r="AB181" t="e">
        <f>INDEX(#REF!,MATCH($E181,#REF!,0))</f>
        <v>#REF!</v>
      </c>
      <c r="AC181" t="e">
        <f>INDEX(#REF!,MATCH($E181,#REF!,0))</f>
        <v>#REF!</v>
      </c>
      <c r="AD181" t="e">
        <f>INDEX(#REF!,MATCH($E181,#REF!,0))</f>
        <v>#REF!</v>
      </c>
      <c r="AE181" t="e">
        <f t="shared" si="9"/>
        <v>#REF!</v>
      </c>
    </row>
    <row r="182" spans="2:31" x14ac:dyDescent="0.25">
      <c r="B182" s="45" t="s">
        <v>1566</v>
      </c>
      <c r="C182" s="45" t="s">
        <v>370</v>
      </c>
      <c r="D182" s="45" t="s">
        <v>369</v>
      </c>
      <c r="E182" s="45">
        <v>110348</v>
      </c>
      <c r="F182" s="45">
        <v>1013</v>
      </c>
      <c r="G182" s="21">
        <v>22</v>
      </c>
      <c r="H182" s="21">
        <v>2</v>
      </c>
      <c r="I182" s="21" t="s">
        <v>18</v>
      </c>
      <c r="J182" s="21">
        <v>1</v>
      </c>
      <c r="K182" s="21">
        <v>0</v>
      </c>
      <c r="L182" s="2"/>
      <c r="M182" s="64" t="s">
        <v>1219</v>
      </c>
      <c r="N182" s="42"/>
      <c r="P182" s="21"/>
      <c r="Q182" s="12"/>
      <c r="R182">
        <f t="shared" si="10"/>
        <v>1</v>
      </c>
      <c r="S182" s="21" t="s">
        <v>99</v>
      </c>
      <c r="T182" s="21" t="s">
        <v>99</v>
      </c>
      <c r="W182" t="e">
        <f>INDEX(#REF!,MATCH($E182,#REF!,0))</f>
        <v>#REF!</v>
      </c>
      <c r="X182" t="e">
        <f>INDEX(#REF!,MATCH($E182,#REF!,0))</f>
        <v>#REF!</v>
      </c>
      <c r="Y182" t="e">
        <f>INDEX(#REF!,MATCH($E182,#REF!,0))</f>
        <v>#REF!</v>
      </c>
      <c r="Z182" t="e">
        <f>INDEX(#REF!,MATCH($E182,#REF!,0))</f>
        <v>#REF!</v>
      </c>
      <c r="AA182" t="e">
        <f>INDEX(#REF!,MATCH($E182,#REF!,0))</f>
        <v>#REF!</v>
      </c>
      <c r="AB182" t="e">
        <f>INDEX(#REF!,MATCH($E182,#REF!,0))</f>
        <v>#REF!</v>
      </c>
      <c r="AC182" t="e">
        <f>INDEX(#REF!,MATCH($E182,#REF!,0))</f>
        <v>#REF!</v>
      </c>
      <c r="AD182" t="e">
        <f>INDEX(#REF!,MATCH($E182,#REF!,0))</f>
        <v>#REF!</v>
      </c>
      <c r="AE182" t="e">
        <f t="shared" si="9"/>
        <v>#REF!</v>
      </c>
    </row>
    <row r="183" spans="2:31" x14ac:dyDescent="0.25">
      <c r="B183" s="45" t="s">
        <v>1567</v>
      </c>
      <c r="C183" s="45" t="s">
        <v>372</v>
      </c>
      <c r="D183" s="45" t="s">
        <v>371</v>
      </c>
      <c r="E183" s="45">
        <v>110366</v>
      </c>
      <c r="F183" s="45">
        <v>1014</v>
      </c>
      <c r="G183" s="21">
        <v>15</v>
      </c>
      <c r="H183" s="21">
        <v>2</v>
      </c>
      <c r="I183" s="21" t="s">
        <v>26</v>
      </c>
      <c r="J183" s="21">
        <v>1</v>
      </c>
      <c r="K183" s="21">
        <v>0</v>
      </c>
      <c r="L183" s="2"/>
      <c r="M183" s="64" t="s">
        <v>1220</v>
      </c>
      <c r="N183" s="42"/>
      <c r="P183" s="21"/>
      <c r="Q183" s="12"/>
      <c r="R183">
        <f t="shared" si="10"/>
        <v>1</v>
      </c>
      <c r="S183" s="21" t="s">
        <v>99</v>
      </c>
      <c r="T183" s="21" t="s">
        <v>99</v>
      </c>
      <c r="W183" t="e">
        <f>INDEX(#REF!,MATCH($E183,#REF!,0))</f>
        <v>#REF!</v>
      </c>
      <c r="X183" t="e">
        <f>INDEX(#REF!,MATCH($E183,#REF!,0))</f>
        <v>#REF!</v>
      </c>
      <c r="Y183" t="e">
        <f>INDEX(#REF!,MATCH($E183,#REF!,0))</f>
        <v>#REF!</v>
      </c>
      <c r="Z183" t="e">
        <f>INDEX(#REF!,MATCH($E183,#REF!,0))</f>
        <v>#REF!</v>
      </c>
      <c r="AA183" t="e">
        <f>INDEX(#REF!,MATCH($E183,#REF!,0))</f>
        <v>#REF!</v>
      </c>
      <c r="AB183" t="e">
        <f>INDEX(#REF!,MATCH($E183,#REF!,0))</f>
        <v>#REF!</v>
      </c>
      <c r="AC183" t="e">
        <f>INDEX(#REF!,MATCH($E183,#REF!,0))</f>
        <v>#REF!</v>
      </c>
      <c r="AD183" t="e">
        <f>INDEX(#REF!,MATCH($E183,#REF!,0))</f>
        <v>#REF!</v>
      </c>
      <c r="AE183" t="e">
        <f t="shared" si="9"/>
        <v>#REF!</v>
      </c>
    </row>
    <row r="184" spans="2:31" x14ac:dyDescent="0.25">
      <c r="B184" s="45" t="s">
        <v>1568</v>
      </c>
      <c r="C184" s="45" t="s">
        <v>374</v>
      </c>
      <c r="D184" s="45" t="s">
        <v>373</v>
      </c>
      <c r="E184" s="45">
        <v>110367</v>
      </c>
      <c r="F184" s="45">
        <v>1014</v>
      </c>
      <c r="G184" s="21">
        <v>16</v>
      </c>
      <c r="H184" s="21">
        <v>2</v>
      </c>
      <c r="I184" s="21" t="s">
        <v>375</v>
      </c>
      <c r="J184" s="21">
        <v>1000</v>
      </c>
      <c r="K184" s="21">
        <v>0</v>
      </c>
      <c r="L184" s="2"/>
      <c r="M184" s="64" t="s">
        <v>1221</v>
      </c>
      <c r="N184" s="42"/>
      <c r="P184" s="21"/>
      <c r="Q184" s="12"/>
      <c r="R184">
        <f t="shared" si="10"/>
        <v>1</v>
      </c>
      <c r="S184" s="21" t="s">
        <v>99</v>
      </c>
      <c r="T184" s="21" t="s">
        <v>99</v>
      </c>
      <c r="W184" t="e">
        <f>INDEX(#REF!,MATCH($E184,#REF!,0))</f>
        <v>#REF!</v>
      </c>
      <c r="X184" t="e">
        <f>INDEX(#REF!,MATCH($E184,#REF!,0))</f>
        <v>#REF!</v>
      </c>
      <c r="Y184" t="e">
        <f>INDEX(#REF!,MATCH($E184,#REF!,0))</f>
        <v>#REF!</v>
      </c>
      <c r="Z184" t="e">
        <f>INDEX(#REF!,MATCH($E184,#REF!,0))</f>
        <v>#REF!</v>
      </c>
      <c r="AA184" t="e">
        <f>INDEX(#REF!,MATCH($E184,#REF!,0))</f>
        <v>#REF!</v>
      </c>
      <c r="AB184" t="e">
        <f>INDEX(#REF!,MATCH($E184,#REF!,0))</f>
        <v>#REF!</v>
      </c>
      <c r="AC184" t="e">
        <f>INDEX(#REF!,MATCH($E184,#REF!,0))</f>
        <v>#REF!</v>
      </c>
      <c r="AD184" t="e">
        <f>INDEX(#REF!,MATCH($E184,#REF!,0))</f>
        <v>#REF!</v>
      </c>
      <c r="AE184" t="e">
        <f t="shared" si="9"/>
        <v>#REF!</v>
      </c>
    </row>
    <row r="185" spans="2:31" x14ac:dyDescent="0.25">
      <c r="B185" s="45" t="s">
        <v>1569</v>
      </c>
      <c r="C185" s="45" t="s">
        <v>377</v>
      </c>
      <c r="D185" s="45" t="s">
        <v>376</v>
      </c>
      <c r="E185" s="45">
        <v>110372</v>
      </c>
      <c r="F185" s="45">
        <v>1014</v>
      </c>
      <c r="G185" s="21">
        <v>21</v>
      </c>
      <c r="H185" s="21">
        <v>2</v>
      </c>
      <c r="I185" s="21" t="s">
        <v>375</v>
      </c>
      <c r="J185" s="21">
        <v>1000</v>
      </c>
      <c r="K185" s="21">
        <v>0</v>
      </c>
      <c r="L185" s="2"/>
      <c r="M185" s="64" t="s">
        <v>1222</v>
      </c>
      <c r="N185" s="42"/>
      <c r="P185" s="21"/>
      <c r="Q185" s="12"/>
      <c r="R185">
        <f t="shared" si="10"/>
        <v>1</v>
      </c>
      <c r="S185" s="21" t="s">
        <v>99</v>
      </c>
      <c r="T185" s="21" t="s">
        <v>99</v>
      </c>
      <c r="W185" t="e">
        <f>INDEX(#REF!,MATCH($E185,#REF!,0))</f>
        <v>#REF!</v>
      </c>
      <c r="X185" t="e">
        <f>INDEX(#REF!,MATCH($E185,#REF!,0))</f>
        <v>#REF!</v>
      </c>
      <c r="Y185" t="e">
        <f>INDEX(#REF!,MATCH($E185,#REF!,0))</f>
        <v>#REF!</v>
      </c>
      <c r="Z185" t="e">
        <f>INDEX(#REF!,MATCH($E185,#REF!,0))</f>
        <v>#REF!</v>
      </c>
      <c r="AA185" t="e">
        <f>INDEX(#REF!,MATCH($E185,#REF!,0))</f>
        <v>#REF!</v>
      </c>
      <c r="AB185" t="e">
        <f>INDEX(#REF!,MATCH($E185,#REF!,0))</f>
        <v>#REF!</v>
      </c>
      <c r="AC185" t="e">
        <f>INDEX(#REF!,MATCH($E185,#REF!,0))</f>
        <v>#REF!</v>
      </c>
      <c r="AD185" t="e">
        <f>INDEX(#REF!,MATCH($E185,#REF!,0))</f>
        <v>#REF!</v>
      </c>
      <c r="AE185" t="e">
        <f t="shared" si="9"/>
        <v>#REF!</v>
      </c>
    </row>
    <row r="186" spans="2:31" x14ac:dyDescent="0.25">
      <c r="B186" s="45" t="s">
        <v>1570</v>
      </c>
      <c r="C186" s="45" t="s">
        <v>379</v>
      </c>
      <c r="D186" s="45" t="s">
        <v>378</v>
      </c>
      <c r="E186" s="45">
        <v>110375</v>
      </c>
      <c r="F186" s="45">
        <v>1014</v>
      </c>
      <c r="G186" s="21">
        <v>24</v>
      </c>
      <c r="H186" s="21">
        <v>2</v>
      </c>
      <c r="I186" s="21" t="s">
        <v>26</v>
      </c>
      <c r="J186" s="21">
        <v>1</v>
      </c>
      <c r="K186" s="21" t="s">
        <v>2510</v>
      </c>
      <c r="L186" s="2"/>
      <c r="M186" s="65" t="s">
        <v>2242</v>
      </c>
      <c r="N186" s="60"/>
      <c r="P186" s="21"/>
      <c r="Q186" s="12"/>
      <c r="R186">
        <f t="shared" si="10"/>
        <v>1</v>
      </c>
      <c r="S186" s="21" t="s">
        <v>99</v>
      </c>
      <c r="T186" s="21" t="s">
        <v>99</v>
      </c>
      <c r="W186" t="e">
        <f>INDEX(#REF!,MATCH($E186,#REF!,0))</f>
        <v>#REF!</v>
      </c>
      <c r="X186" t="e">
        <f>INDEX(#REF!,MATCH($E186,#REF!,0))</f>
        <v>#REF!</v>
      </c>
      <c r="Y186" t="e">
        <f>INDEX(#REF!,MATCH($E186,#REF!,0))</f>
        <v>#REF!</v>
      </c>
      <c r="Z186" t="e">
        <f>INDEX(#REF!,MATCH($E186,#REF!,0))</f>
        <v>#REF!</v>
      </c>
      <c r="AA186" t="e">
        <f>INDEX(#REF!,MATCH($E186,#REF!,0))</f>
        <v>#REF!</v>
      </c>
      <c r="AB186" t="e">
        <f>INDEX(#REF!,MATCH($E186,#REF!,0))</f>
        <v>#REF!</v>
      </c>
      <c r="AC186" t="e">
        <f>INDEX(#REF!,MATCH($E186,#REF!,0))</f>
        <v>#REF!</v>
      </c>
      <c r="AD186" t="e">
        <f>INDEX(#REF!,MATCH($E186,#REF!,0))</f>
        <v>#REF!</v>
      </c>
      <c r="AE186" t="e">
        <f t="shared" si="9"/>
        <v>#REF!</v>
      </c>
    </row>
    <row r="187" spans="2:31" x14ac:dyDescent="0.25">
      <c r="B187" s="89" t="s">
        <v>3541</v>
      </c>
      <c r="C187" s="89" t="s">
        <v>3540</v>
      </c>
      <c r="D187" s="89" t="s">
        <v>2038</v>
      </c>
      <c r="E187" s="89">
        <v>110389</v>
      </c>
      <c r="F187" s="89">
        <v>1015</v>
      </c>
      <c r="G187" s="90">
        <v>13</v>
      </c>
      <c r="H187" s="90">
        <v>2</v>
      </c>
      <c r="I187" s="90" t="s">
        <v>18</v>
      </c>
      <c r="J187" s="90">
        <v>1</v>
      </c>
      <c r="K187" s="90" t="s">
        <v>2509</v>
      </c>
      <c r="L187" s="91"/>
      <c r="M187" s="92"/>
      <c r="N187" s="93"/>
      <c r="O187" s="94"/>
      <c r="P187" s="90" t="s">
        <v>3525</v>
      </c>
      <c r="Q187" s="95" t="s">
        <v>3526</v>
      </c>
      <c r="S187" s="21"/>
      <c r="T187" s="21"/>
    </row>
    <row r="188" spans="2:31" ht="45" x14ac:dyDescent="0.25">
      <c r="B188" s="45" t="s">
        <v>1571</v>
      </c>
      <c r="C188" s="45" t="s">
        <v>381</v>
      </c>
      <c r="D188" s="89" t="s">
        <v>380</v>
      </c>
      <c r="E188" s="89">
        <v>110393</v>
      </c>
      <c r="F188" s="89">
        <v>1015</v>
      </c>
      <c r="G188" s="90">
        <v>17</v>
      </c>
      <c r="H188" s="90">
        <v>2</v>
      </c>
      <c r="I188" s="90" t="s">
        <v>175</v>
      </c>
      <c r="J188" s="90">
        <v>10000</v>
      </c>
      <c r="K188" s="90">
        <v>0</v>
      </c>
      <c r="L188" s="91"/>
      <c r="M188" s="92" t="s">
        <v>2283</v>
      </c>
      <c r="N188" s="93"/>
      <c r="P188" s="21"/>
      <c r="Q188" s="12"/>
      <c r="R188">
        <f t="shared" ref="R188:R219" si="11">COUNTIF(C:C,C188)</f>
        <v>1</v>
      </c>
      <c r="S188" s="21" t="s">
        <v>99</v>
      </c>
      <c r="T188" s="21" t="s">
        <v>99</v>
      </c>
      <c r="W188" t="e">
        <f>INDEX(#REF!,MATCH($E188,#REF!,0))</f>
        <v>#REF!</v>
      </c>
      <c r="X188" t="e">
        <f>INDEX(#REF!,MATCH($E188,#REF!,0))</f>
        <v>#REF!</v>
      </c>
      <c r="Y188" t="e">
        <f>INDEX(#REF!,MATCH($E188,#REF!,0))</f>
        <v>#REF!</v>
      </c>
      <c r="Z188" t="e">
        <f>INDEX(#REF!,MATCH($E188,#REF!,0))</f>
        <v>#REF!</v>
      </c>
      <c r="AA188" t="e">
        <f>INDEX(#REF!,MATCH($E188,#REF!,0))</f>
        <v>#REF!</v>
      </c>
      <c r="AB188" t="e">
        <f>INDEX(#REF!,MATCH($E188,#REF!,0))</f>
        <v>#REF!</v>
      </c>
      <c r="AC188" t="e">
        <f>INDEX(#REF!,MATCH($E188,#REF!,0))</f>
        <v>#REF!</v>
      </c>
      <c r="AD188" t="e">
        <f>INDEX(#REF!,MATCH($E188,#REF!,0))</f>
        <v>#REF!</v>
      </c>
      <c r="AE188" t="e">
        <f t="shared" si="9"/>
        <v>#REF!</v>
      </c>
    </row>
    <row r="189" spans="2:31" ht="45" x14ac:dyDescent="0.25">
      <c r="B189" s="45" t="s">
        <v>1572</v>
      </c>
      <c r="C189" s="45" t="s">
        <v>383</v>
      </c>
      <c r="D189" s="89" t="s">
        <v>382</v>
      </c>
      <c r="E189" s="89">
        <v>110394</v>
      </c>
      <c r="F189" s="89">
        <v>1015</v>
      </c>
      <c r="G189" s="90">
        <v>18</v>
      </c>
      <c r="H189" s="90">
        <v>2</v>
      </c>
      <c r="I189" s="90" t="s">
        <v>175</v>
      </c>
      <c r="J189" s="90">
        <v>10000</v>
      </c>
      <c r="K189" s="90">
        <v>0</v>
      </c>
      <c r="L189" s="91"/>
      <c r="M189" s="92" t="s">
        <v>2284</v>
      </c>
      <c r="N189" s="93"/>
      <c r="P189" s="21"/>
      <c r="Q189" s="12"/>
      <c r="R189">
        <f t="shared" si="11"/>
        <v>1</v>
      </c>
      <c r="S189" s="21" t="s">
        <v>99</v>
      </c>
      <c r="T189" s="21" t="s">
        <v>99</v>
      </c>
      <c r="W189" t="e">
        <f>INDEX(#REF!,MATCH($E189,#REF!,0))</f>
        <v>#REF!</v>
      </c>
      <c r="X189" t="e">
        <f>INDEX(#REF!,MATCH($E189,#REF!,0))</f>
        <v>#REF!</v>
      </c>
      <c r="Y189" t="e">
        <f>INDEX(#REF!,MATCH($E189,#REF!,0))</f>
        <v>#REF!</v>
      </c>
      <c r="Z189" t="e">
        <f>INDEX(#REF!,MATCH($E189,#REF!,0))</f>
        <v>#REF!</v>
      </c>
      <c r="AA189" t="e">
        <f>INDEX(#REF!,MATCH($E189,#REF!,0))</f>
        <v>#REF!</v>
      </c>
      <c r="AB189" t="e">
        <f>INDEX(#REF!,MATCH($E189,#REF!,0))</f>
        <v>#REF!</v>
      </c>
      <c r="AC189" t="e">
        <f>INDEX(#REF!,MATCH($E189,#REF!,0))</f>
        <v>#REF!</v>
      </c>
      <c r="AD189" t="e">
        <f>INDEX(#REF!,MATCH($E189,#REF!,0))</f>
        <v>#REF!</v>
      </c>
      <c r="AE189" t="e">
        <f t="shared" si="9"/>
        <v>#REF!</v>
      </c>
    </row>
    <row r="190" spans="2:31" ht="45" x14ac:dyDescent="0.25">
      <c r="B190" s="45" t="s">
        <v>1573</v>
      </c>
      <c r="C190" s="45" t="s">
        <v>385</v>
      </c>
      <c r="D190" s="89" t="s">
        <v>384</v>
      </c>
      <c r="E190" s="89">
        <v>110395</v>
      </c>
      <c r="F190" s="89">
        <v>1015</v>
      </c>
      <c r="G190" s="90">
        <v>19</v>
      </c>
      <c r="H190" s="90">
        <v>2</v>
      </c>
      <c r="I190" s="90" t="s">
        <v>175</v>
      </c>
      <c r="J190" s="90">
        <v>10000</v>
      </c>
      <c r="K190" s="90">
        <v>0</v>
      </c>
      <c r="L190" s="91"/>
      <c r="M190" s="92" t="s">
        <v>2285</v>
      </c>
      <c r="N190" s="93"/>
      <c r="P190" s="21"/>
      <c r="Q190" s="12"/>
      <c r="R190">
        <f t="shared" si="11"/>
        <v>1</v>
      </c>
      <c r="S190" s="21" t="s">
        <v>99</v>
      </c>
      <c r="T190" s="21" t="s">
        <v>99</v>
      </c>
      <c r="W190" t="e">
        <f>INDEX(#REF!,MATCH($E190,#REF!,0))</f>
        <v>#REF!</v>
      </c>
      <c r="X190" t="e">
        <f>INDEX(#REF!,MATCH($E190,#REF!,0))</f>
        <v>#REF!</v>
      </c>
      <c r="Y190" t="e">
        <f>INDEX(#REF!,MATCH($E190,#REF!,0))</f>
        <v>#REF!</v>
      </c>
      <c r="Z190" t="e">
        <f>INDEX(#REF!,MATCH($E190,#REF!,0))</f>
        <v>#REF!</v>
      </c>
      <c r="AA190" t="e">
        <f>INDEX(#REF!,MATCH($E190,#REF!,0))</f>
        <v>#REF!</v>
      </c>
      <c r="AB190" t="e">
        <f>INDEX(#REF!,MATCH($E190,#REF!,0))</f>
        <v>#REF!</v>
      </c>
      <c r="AC190" t="e">
        <f>INDEX(#REF!,MATCH($E190,#REF!,0))</f>
        <v>#REF!</v>
      </c>
      <c r="AD190" t="e">
        <f>INDEX(#REF!,MATCH($E190,#REF!,0))</f>
        <v>#REF!</v>
      </c>
      <c r="AE190" t="e">
        <f t="shared" si="9"/>
        <v>#REF!</v>
      </c>
    </row>
    <row r="191" spans="2:31" ht="45" x14ac:dyDescent="0.25">
      <c r="B191" s="45" t="s">
        <v>1574</v>
      </c>
      <c r="C191" s="45" t="s">
        <v>387</v>
      </c>
      <c r="D191" s="89" t="s">
        <v>386</v>
      </c>
      <c r="E191" s="89">
        <v>110396</v>
      </c>
      <c r="F191" s="89">
        <v>1015</v>
      </c>
      <c r="G191" s="90">
        <v>20</v>
      </c>
      <c r="H191" s="90">
        <v>2</v>
      </c>
      <c r="I191" s="90" t="s">
        <v>175</v>
      </c>
      <c r="J191" s="90">
        <v>10000</v>
      </c>
      <c r="K191" s="90">
        <v>0</v>
      </c>
      <c r="L191" s="91"/>
      <c r="M191" s="92" t="s">
        <v>2286</v>
      </c>
      <c r="N191" s="93"/>
      <c r="P191" s="21"/>
      <c r="Q191" s="12"/>
      <c r="R191">
        <f t="shared" si="11"/>
        <v>1</v>
      </c>
      <c r="S191" s="21" t="s">
        <v>99</v>
      </c>
      <c r="T191" s="21" t="s">
        <v>99</v>
      </c>
      <c r="W191" t="e">
        <f>INDEX(#REF!,MATCH($E191,#REF!,0))</f>
        <v>#REF!</v>
      </c>
      <c r="X191" t="e">
        <f>INDEX(#REF!,MATCH($E191,#REF!,0))</f>
        <v>#REF!</v>
      </c>
      <c r="Y191" t="e">
        <f>INDEX(#REF!,MATCH($E191,#REF!,0))</f>
        <v>#REF!</v>
      </c>
      <c r="Z191" t="e">
        <f>INDEX(#REF!,MATCH($E191,#REF!,0))</f>
        <v>#REF!</v>
      </c>
      <c r="AA191" t="e">
        <f>INDEX(#REF!,MATCH($E191,#REF!,0))</f>
        <v>#REF!</v>
      </c>
      <c r="AB191" t="e">
        <f>INDEX(#REF!,MATCH($E191,#REF!,0))</f>
        <v>#REF!</v>
      </c>
      <c r="AC191" t="e">
        <f>INDEX(#REF!,MATCH($E191,#REF!,0))</f>
        <v>#REF!</v>
      </c>
      <c r="AD191" t="e">
        <f>INDEX(#REF!,MATCH($E191,#REF!,0))</f>
        <v>#REF!</v>
      </c>
      <c r="AE191" t="e">
        <f t="shared" si="9"/>
        <v>#REF!</v>
      </c>
    </row>
    <row r="192" spans="2:31" ht="45" x14ac:dyDescent="0.25">
      <c r="B192" s="45" t="s">
        <v>1575</v>
      </c>
      <c r="C192" s="45" t="s">
        <v>1362</v>
      </c>
      <c r="D192" s="89" t="s">
        <v>1361</v>
      </c>
      <c r="E192" s="89">
        <v>110397</v>
      </c>
      <c r="F192" s="89">
        <v>1015</v>
      </c>
      <c r="G192" s="90">
        <v>21</v>
      </c>
      <c r="H192" s="90">
        <v>2</v>
      </c>
      <c r="I192" s="90" t="s">
        <v>210</v>
      </c>
      <c r="J192" s="90">
        <v>100</v>
      </c>
      <c r="K192" s="90">
        <v>0</v>
      </c>
      <c r="L192" s="91"/>
      <c r="M192" s="92" t="s">
        <v>2287</v>
      </c>
      <c r="N192" s="93"/>
      <c r="P192" s="21"/>
      <c r="Q192" s="12" t="s">
        <v>1411</v>
      </c>
      <c r="R192">
        <f t="shared" si="11"/>
        <v>1</v>
      </c>
      <c r="S192" s="21"/>
      <c r="T192" s="21"/>
      <c r="W192" t="e">
        <f>INDEX(#REF!,MATCH($E192,#REF!,0))</f>
        <v>#REF!</v>
      </c>
      <c r="X192" t="e">
        <f>INDEX(#REF!,MATCH($E192,#REF!,0))</f>
        <v>#REF!</v>
      </c>
      <c r="Y192" t="e">
        <f>INDEX(#REF!,MATCH($E192,#REF!,0))</f>
        <v>#REF!</v>
      </c>
      <c r="Z192" t="e">
        <f>INDEX(#REF!,MATCH($E192,#REF!,0))</f>
        <v>#REF!</v>
      </c>
      <c r="AA192" t="e">
        <f>INDEX(#REF!,MATCH($E192,#REF!,0))</f>
        <v>#REF!</v>
      </c>
      <c r="AB192" t="e">
        <f>INDEX(#REF!,MATCH($E192,#REF!,0))</f>
        <v>#REF!</v>
      </c>
      <c r="AC192" t="e">
        <f>INDEX(#REF!,MATCH($E192,#REF!,0))</f>
        <v>#REF!</v>
      </c>
      <c r="AD192" t="e">
        <f>INDEX(#REF!,MATCH($E192,#REF!,0))</f>
        <v>#REF!</v>
      </c>
      <c r="AE192" t="e">
        <f t="shared" si="9"/>
        <v>#REF!</v>
      </c>
    </row>
    <row r="193" spans="2:31" x14ac:dyDescent="0.25">
      <c r="B193" s="45" t="s">
        <v>1576</v>
      </c>
      <c r="C193" s="45" t="s">
        <v>389</v>
      </c>
      <c r="D193" s="89" t="s">
        <v>388</v>
      </c>
      <c r="E193" s="89">
        <v>110409</v>
      </c>
      <c r="F193" s="89">
        <v>1016</v>
      </c>
      <c r="G193" s="90">
        <v>8</v>
      </c>
      <c r="H193" s="90">
        <v>2</v>
      </c>
      <c r="I193" s="90" t="s">
        <v>31</v>
      </c>
      <c r="J193" s="90">
        <v>10</v>
      </c>
      <c r="K193" s="90">
        <v>0</v>
      </c>
      <c r="L193" s="91"/>
      <c r="M193" s="92" t="s">
        <v>1223</v>
      </c>
      <c r="N193" s="93"/>
      <c r="P193" s="21"/>
      <c r="Q193" s="12"/>
      <c r="R193">
        <f t="shared" si="11"/>
        <v>1</v>
      </c>
      <c r="S193" s="21" t="s">
        <v>99</v>
      </c>
      <c r="T193" s="21" t="s">
        <v>99</v>
      </c>
      <c r="W193" t="e">
        <f>INDEX(#REF!,MATCH($E193,#REF!,0))</f>
        <v>#REF!</v>
      </c>
      <c r="X193" t="e">
        <f>INDEX(#REF!,MATCH($E193,#REF!,0))</f>
        <v>#REF!</v>
      </c>
      <c r="Y193" t="e">
        <f>INDEX(#REF!,MATCH($E193,#REF!,0))</f>
        <v>#REF!</v>
      </c>
      <c r="Z193" t="e">
        <f>INDEX(#REF!,MATCH($E193,#REF!,0))</f>
        <v>#REF!</v>
      </c>
      <c r="AA193" t="e">
        <f>INDEX(#REF!,MATCH($E193,#REF!,0))</f>
        <v>#REF!</v>
      </c>
      <c r="AB193" t="e">
        <f>INDEX(#REF!,MATCH($E193,#REF!,0))</f>
        <v>#REF!</v>
      </c>
      <c r="AC193" t="e">
        <f>INDEX(#REF!,MATCH($E193,#REF!,0))</f>
        <v>#REF!</v>
      </c>
      <c r="AD193" t="e">
        <f>INDEX(#REF!,MATCH($E193,#REF!,0))</f>
        <v>#REF!</v>
      </c>
      <c r="AE193" t="e">
        <f t="shared" si="9"/>
        <v>#REF!</v>
      </c>
    </row>
    <row r="194" spans="2:31" x14ac:dyDescent="0.25">
      <c r="B194" s="45" t="s">
        <v>1577</v>
      </c>
      <c r="C194" s="45" t="s">
        <v>391</v>
      </c>
      <c r="D194" s="89" t="s">
        <v>390</v>
      </c>
      <c r="E194" s="89">
        <v>110420</v>
      </c>
      <c r="F194" s="89">
        <v>1016</v>
      </c>
      <c r="G194" s="90">
        <v>19</v>
      </c>
      <c r="H194" s="90">
        <v>2</v>
      </c>
      <c r="I194" s="90" t="s">
        <v>31</v>
      </c>
      <c r="J194" s="90">
        <v>10</v>
      </c>
      <c r="K194" s="90">
        <v>0</v>
      </c>
      <c r="L194" s="91"/>
      <c r="M194" s="92" t="s">
        <v>1224</v>
      </c>
      <c r="N194" s="93"/>
      <c r="P194" s="21"/>
      <c r="Q194" s="12"/>
      <c r="R194">
        <f t="shared" si="11"/>
        <v>1</v>
      </c>
      <c r="S194" s="21" t="s">
        <v>99</v>
      </c>
      <c r="T194" s="21" t="s">
        <v>99</v>
      </c>
      <c r="W194" t="e">
        <f>INDEX(#REF!,MATCH($E194,#REF!,0))</f>
        <v>#REF!</v>
      </c>
      <c r="X194" t="e">
        <f>INDEX(#REF!,MATCH($E194,#REF!,0))</f>
        <v>#REF!</v>
      </c>
      <c r="Y194" t="e">
        <f>INDEX(#REF!,MATCH($E194,#REF!,0))</f>
        <v>#REF!</v>
      </c>
      <c r="Z194" t="e">
        <f>INDEX(#REF!,MATCH($E194,#REF!,0))</f>
        <v>#REF!</v>
      </c>
      <c r="AA194" t="e">
        <f>INDEX(#REF!,MATCH($E194,#REF!,0))</f>
        <v>#REF!</v>
      </c>
      <c r="AB194" t="e">
        <f>INDEX(#REF!,MATCH($E194,#REF!,0))</f>
        <v>#REF!</v>
      </c>
      <c r="AC194" t="e">
        <f>INDEX(#REF!,MATCH($E194,#REF!,0))</f>
        <v>#REF!</v>
      </c>
      <c r="AD194" t="e">
        <f>INDEX(#REF!,MATCH($E194,#REF!,0))</f>
        <v>#REF!</v>
      </c>
      <c r="AE194" t="e">
        <f t="shared" si="9"/>
        <v>#REF!</v>
      </c>
    </row>
    <row r="195" spans="2:31" x14ac:dyDescent="0.25">
      <c r="B195" s="45" t="s">
        <v>1578</v>
      </c>
      <c r="C195" s="45" t="s">
        <v>393</v>
      </c>
      <c r="D195" s="89" t="s">
        <v>392</v>
      </c>
      <c r="E195" s="89">
        <v>110424</v>
      </c>
      <c r="F195" s="89">
        <v>1016</v>
      </c>
      <c r="G195" s="90">
        <v>23</v>
      </c>
      <c r="H195" s="90">
        <v>2</v>
      </c>
      <c r="I195" s="90" t="s">
        <v>26</v>
      </c>
      <c r="J195" s="90">
        <v>1</v>
      </c>
      <c r="K195" s="90">
        <v>0</v>
      </c>
      <c r="L195" s="91"/>
      <c r="M195" s="92" t="s">
        <v>1225</v>
      </c>
      <c r="N195" s="93"/>
      <c r="P195" s="21"/>
      <c r="Q195" s="12"/>
      <c r="R195">
        <f t="shared" si="11"/>
        <v>1</v>
      </c>
      <c r="S195" s="21" t="s">
        <v>99</v>
      </c>
      <c r="T195" s="21" t="s">
        <v>99</v>
      </c>
      <c r="W195" t="e">
        <f>INDEX(#REF!,MATCH($E195,#REF!,0))</f>
        <v>#REF!</v>
      </c>
      <c r="X195" t="e">
        <f>INDEX(#REF!,MATCH($E195,#REF!,0))</f>
        <v>#REF!</v>
      </c>
      <c r="Y195" t="e">
        <f>INDEX(#REF!,MATCH($E195,#REF!,0))</f>
        <v>#REF!</v>
      </c>
      <c r="Z195" t="e">
        <f>INDEX(#REF!,MATCH($E195,#REF!,0))</f>
        <v>#REF!</v>
      </c>
      <c r="AA195" t="e">
        <f>INDEX(#REF!,MATCH($E195,#REF!,0))</f>
        <v>#REF!</v>
      </c>
      <c r="AB195" t="e">
        <f>INDEX(#REF!,MATCH($E195,#REF!,0))</f>
        <v>#REF!</v>
      </c>
      <c r="AC195" t="e">
        <f>INDEX(#REF!,MATCH($E195,#REF!,0))</f>
        <v>#REF!</v>
      </c>
      <c r="AD195" t="e">
        <f>INDEX(#REF!,MATCH($E195,#REF!,0))</f>
        <v>#REF!</v>
      </c>
      <c r="AE195" t="e">
        <f t="shared" si="9"/>
        <v>#REF!</v>
      </c>
    </row>
    <row r="196" spans="2:31" x14ac:dyDescent="0.25">
      <c r="B196" s="45" t="s">
        <v>1579</v>
      </c>
      <c r="C196" s="45" t="s">
        <v>395</v>
      </c>
      <c r="D196" s="89" t="s">
        <v>394</v>
      </c>
      <c r="E196" s="89">
        <v>110430</v>
      </c>
      <c r="F196" s="89">
        <v>1017</v>
      </c>
      <c r="G196" s="90">
        <v>4</v>
      </c>
      <c r="H196" s="90">
        <v>2</v>
      </c>
      <c r="I196" s="90" t="s">
        <v>26</v>
      </c>
      <c r="J196" s="90">
        <v>1</v>
      </c>
      <c r="K196" s="90">
        <v>0</v>
      </c>
      <c r="L196" s="91"/>
      <c r="M196" s="92" t="s">
        <v>1226</v>
      </c>
      <c r="N196" s="93"/>
      <c r="P196" s="21"/>
      <c r="Q196" s="12"/>
      <c r="R196">
        <f t="shared" si="11"/>
        <v>1</v>
      </c>
      <c r="S196" s="21" t="s">
        <v>99</v>
      </c>
      <c r="T196" s="21" t="s">
        <v>99</v>
      </c>
      <c r="W196" t="e">
        <f>INDEX(#REF!,MATCH($E196,#REF!,0))</f>
        <v>#REF!</v>
      </c>
      <c r="X196" t="e">
        <f>INDEX(#REF!,MATCH($E196,#REF!,0))</f>
        <v>#REF!</v>
      </c>
      <c r="Y196" t="e">
        <f>INDEX(#REF!,MATCH($E196,#REF!,0))</f>
        <v>#REF!</v>
      </c>
      <c r="Z196" t="e">
        <f>INDEX(#REF!,MATCH($E196,#REF!,0))</f>
        <v>#REF!</v>
      </c>
      <c r="AA196" t="e">
        <f>INDEX(#REF!,MATCH($E196,#REF!,0))</f>
        <v>#REF!</v>
      </c>
      <c r="AB196" t="e">
        <f>INDEX(#REF!,MATCH($E196,#REF!,0))</f>
        <v>#REF!</v>
      </c>
      <c r="AC196" t="e">
        <f>INDEX(#REF!,MATCH($E196,#REF!,0))</f>
        <v>#REF!</v>
      </c>
      <c r="AD196" t="e">
        <f>INDEX(#REF!,MATCH($E196,#REF!,0))</f>
        <v>#REF!</v>
      </c>
      <c r="AE196" t="e">
        <f t="shared" si="9"/>
        <v>#REF!</v>
      </c>
    </row>
    <row r="197" spans="2:31" x14ac:dyDescent="0.25">
      <c r="B197" s="45" t="s">
        <v>2141</v>
      </c>
      <c r="C197" s="45" t="s">
        <v>397</v>
      </c>
      <c r="D197" s="89" t="s">
        <v>396</v>
      </c>
      <c r="E197" s="89">
        <v>110431</v>
      </c>
      <c r="F197" s="89">
        <v>1017</v>
      </c>
      <c r="G197" s="90">
        <v>5</v>
      </c>
      <c r="H197" s="90">
        <v>2</v>
      </c>
      <c r="I197" s="90" t="s">
        <v>147</v>
      </c>
      <c r="J197" s="90">
        <v>100000</v>
      </c>
      <c r="K197" s="90">
        <v>0</v>
      </c>
      <c r="L197" s="91"/>
      <c r="M197" s="92" t="s">
        <v>1227</v>
      </c>
      <c r="N197" s="93"/>
      <c r="P197" s="21"/>
      <c r="Q197" s="12"/>
      <c r="R197">
        <f t="shared" si="11"/>
        <v>1</v>
      </c>
      <c r="S197" s="21" t="s">
        <v>99</v>
      </c>
      <c r="T197" s="21" t="s">
        <v>99</v>
      </c>
      <c r="W197" t="e">
        <f>INDEX(#REF!,MATCH($E197,#REF!,0))</f>
        <v>#REF!</v>
      </c>
      <c r="X197" t="e">
        <f>INDEX(#REF!,MATCH($E197,#REF!,0))</f>
        <v>#REF!</v>
      </c>
      <c r="Y197" t="e">
        <f>INDEX(#REF!,MATCH($E197,#REF!,0))</f>
        <v>#REF!</v>
      </c>
      <c r="Z197" t="e">
        <f>INDEX(#REF!,MATCH($E197,#REF!,0))</f>
        <v>#REF!</v>
      </c>
      <c r="AA197" t="e">
        <f>INDEX(#REF!,MATCH($E197,#REF!,0))</f>
        <v>#REF!</v>
      </c>
      <c r="AB197" t="e">
        <f>INDEX(#REF!,MATCH($E197,#REF!,0))</f>
        <v>#REF!</v>
      </c>
      <c r="AC197" t="e">
        <f>INDEX(#REF!,MATCH($E197,#REF!,0))</f>
        <v>#REF!</v>
      </c>
      <c r="AD197" t="e">
        <f>INDEX(#REF!,MATCH($E197,#REF!,0))</f>
        <v>#REF!</v>
      </c>
      <c r="AE197" t="e">
        <f t="shared" si="9"/>
        <v>#REF!</v>
      </c>
    </row>
    <row r="198" spans="2:31" x14ac:dyDescent="0.25">
      <c r="B198" s="45" t="s">
        <v>1580</v>
      </c>
      <c r="C198" s="45" t="s">
        <v>399</v>
      </c>
      <c r="D198" s="89" t="s">
        <v>398</v>
      </c>
      <c r="E198" s="89">
        <v>110436</v>
      </c>
      <c r="F198" s="89">
        <v>1017</v>
      </c>
      <c r="G198" s="90">
        <v>10</v>
      </c>
      <c r="H198" s="90">
        <v>2</v>
      </c>
      <c r="I198" s="90" t="s">
        <v>120</v>
      </c>
      <c r="J198" s="90">
        <v>1000</v>
      </c>
      <c r="K198" s="90">
        <v>0</v>
      </c>
      <c r="L198" s="91"/>
      <c r="M198" s="92" t="s">
        <v>1228</v>
      </c>
      <c r="N198" s="93"/>
      <c r="P198" s="21"/>
      <c r="Q198" s="12"/>
      <c r="R198">
        <f t="shared" si="11"/>
        <v>1</v>
      </c>
      <c r="S198" s="21" t="s">
        <v>99</v>
      </c>
      <c r="T198" s="21" t="s">
        <v>99</v>
      </c>
      <c r="W198" t="e">
        <f>INDEX(#REF!,MATCH($E198,#REF!,0))</f>
        <v>#REF!</v>
      </c>
      <c r="X198" t="e">
        <f>INDEX(#REF!,MATCH($E198,#REF!,0))</f>
        <v>#REF!</v>
      </c>
      <c r="Y198" t="e">
        <f>INDEX(#REF!,MATCH($E198,#REF!,0))</f>
        <v>#REF!</v>
      </c>
      <c r="Z198" t="e">
        <f>INDEX(#REF!,MATCH($E198,#REF!,0))</f>
        <v>#REF!</v>
      </c>
      <c r="AA198" t="e">
        <f>INDEX(#REF!,MATCH($E198,#REF!,0))</f>
        <v>#REF!</v>
      </c>
      <c r="AB198" t="e">
        <f>INDEX(#REF!,MATCH($E198,#REF!,0))</f>
        <v>#REF!</v>
      </c>
      <c r="AC198" t="e">
        <f>INDEX(#REF!,MATCH($E198,#REF!,0))</f>
        <v>#REF!</v>
      </c>
      <c r="AD198" t="e">
        <f>INDEX(#REF!,MATCH($E198,#REF!,0))</f>
        <v>#REF!</v>
      </c>
      <c r="AE198" t="e">
        <f t="shared" si="9"/>
        <v>#REF!</v>
      </c>
    </row>
    <row r="199" spans="2:31" x14ac:dyDescent="0.25">
      <c r="B199" s="45" t="s">
        <v>1581</v>
      </c>
      <c r="C199" s="45" t="s">
        <v>401</v>
      </c>
      <c r="D199" s="89" t="s">
        <v>400</v>
      </c>
      <c r="E199" s="89">
        <v>110438</v>
      </c>
      <c r="F199" s="89">
        <v>1017</v>
      </c>
      <c r="G199" s="90">
        <v>12</v>
      </c>
      <c r="H199" s="90">
        <v>2</v>
      </c>
      <c r="I199" s="90" t="s">
        <v>120</v>
      </c>
      <c r="J199" s="90">
        <v>1000</v>
      </c>
      <c r="K199" s="90">
        <v>0</v>
      </c>
      <c r="L199" s="91"/>
      <c r="M199" s="92" t="s">
        <v>1229</v>
      </c>
      <c r="N199" s="93"/>
      <c r="P199" s="21"/>
      <c r="Q199" s="12"/>
      <c r="R199">
        <f t="shared" si="11"/>
        <v>1</v>
      </c>
      <c r="S199" s="21" t="s">
        <v>99</v>
      </c>
      <c r="T199" s="21" t="s">
        <v>99</v>
      </c>
      <c r="W199" t="e">
        <f>INDEX(#REF!,MATCH($E199,#REF!,0))</f>
        <v>#REF!</v>
      </c>
      <c r="X199" t="e">
        <f>INDEX(#REF!,MATCH($E199,#REF!,0))</f>
        <v>#REF!</v>
      </c>
      <c r="Y199" t="e">
        <f>INDEX(#REF!,MATCH($E199,#REF!,0))</f>
        <v>#REF!</v>
      </c>
      <c r="Z199" t="e">
        <f>INDEX(#REF!,MATCH($E199,#REF!,0))</f>
        <v>#REF!</v>
      </c>
      <c r="AA199" t="e">
        <f>INDEX(#REF!,MATCH($E199,#REF!,0))</f>
        <v>#REF!</v>
      </c>
      <c r="AB199" t="e">
        <f>INDEX(#REF!,MATCH($E199,#REF!,0))</f>
        <v>#REF!</v>
      </c>
      <c r="AC199" t="e">
        <f>INDEX(#REF!,MATCH($E199,#REF!,0))</f>
        <v>#REF!</v>
      </c>
      <c r="AD199" t="e">
        <f>INDEX(#REF!,MATCH($E199,#REF!,0))</f>
        <v>#REF!</v>
      </c>
      <c r="AE199" t="e">
        <f t="shared" si="9"/>
        <v>#REF!</v>
      </c>
    </row>
    <row r="200" spans="2:31" x14ac:dyDescent="0.25">
      <c r="B200" s="45" t="s">
        <v>1582</v>
      </c>
      <c r="C200" s="45" t="s">
        <v>403</v>
      </c>
      <c r="D200" s="89" t="s">
        <v>402</v>
      </c>
      <c r="E200" s="89">
        <v>110440</v>
      </c>
      <c r="F200" s="89">
        <v>1017</v>
      </c>
      <c r="G200" s="90">
        <v>14</v>
      </c>
      <c r="H200" s="90">
        <v>2</v>
      </c>
      <c r="I200" s="90" t="s">
        <v>404</v>
      </c>
      <c r="J200" s="90">
        <v>1000</v>
      </c>
      <c r="K200" s="90">
        <v>0</v>
      </c>
      <c r="L200" s="91"/>
      <c r="M200" s="92" t="s">
        <v>1230</v>
      </c>
      <c r="N200" s="93"/>
      <c r="P200" s="21"/>
      <c r="Q200" s="12"/>
      <c r="R200">
        <f t="shared" si="11"/>
        <v>1</v>
      </c>
      <c r="S200" s="21" t="s">
        <v>99</v>
      </c>
      <c r="T200" s="21" t="s">
        <v>99</v>
      </c>
      <c r="W200" t="e">
        <f>INDEX(#REF!,MATCH($E200,#REF!,0))</f>
        <v>#REF!</v>
      </c>
      <c r="X200" t="e">
        <f>INDEX(#REF!,MATCH($E200,#REF!,0))</f>
        <v>#REF!</v>
      </c>
      <c r="Y200" t="e">
        <f>INDEX(#REF!,MATCH($E200,#REF!,0))</f>
        <v>#REF!</v>
      </c>
      <c r="Z200" t="e">
        <f>INDEX(#REF!,MATCH($E200,#REF!,0))</f>
        <v>#REF!</v>
      </c>
      <c r="AA200" t="e">
        <f>INDEX(#REF!,MATCH($E200,#REF!,0))</f>
        <v>#REF!</v>
      </c>
      <c r="AB200" t="e">
        <f>INDEX(#REF!,MATCH($E200,#REF!,0))</f>
        <v>#REF!</v>
      </c>
      <c r="AC200" t="e">
        <f>INDEX(#REF!,MATCH($E200,#REF!,0))</f>
        <v>#REF!</v>
      </c>
      <c r="AD200" t="e">
        <f>INDEX(#REF!,MATCH($E200,#REF!,0))</f>
        <v>#REF!</v>
      </c>
      <c r="AE200" t="e">
        <f t="shared" si="9"/>
        <v>#REF!</v>
      </c>
    </row>
    <row r="201" spans="2:31" x14ac:dyDescent="0.25">
      <c r="B201" s="45" t="s">
        <v>1583</v>
      </c>
      <c r="C201" s="45" t="s">
        <v>406</v>
      </c>
      <c r="D201" s="89" t="s">
        <v>405</v>
      </c>
      <c r="E201" s="89">
        <v>110450</v>
      </c>
      <c r="F201" s="89">
        <v>1017</v>
      </c>
      <c r="G201" s="90">
        <v>24</v>
      </c>
      <c r="H201" s="90">
        <v>2</v>
      </c>
      <c r="I201" s="90" t="s">
        <v>31</v>
      </c>
      <c r="J201" s="90">
        <v>10</v>
      </c>
      <c r="K201" s="90">
        <v>0</v>
      </c>
      <c r="L201" s="91"/>
      <c r="M201" s="92" t="s">
        <v>2242</v>
      </c>
      <c r="N201" s="93"/>
      <c r="P201" s="21"/>
      <c r="Q201" s="12"/>
      <c r="R201">
        <f t="shared" si="11"/>
        <v>1</v>
      </c>
      <c r="S201" s="21" t="s">
        <v>99</v>
      </c>
      <c r="T201" s="21" t="s">
        <v>99</v>
      </c>
      <c r="W201" t="e">
        <f>INDEX(#REF!,MATCH($E201,#REF!,0))</f>
        <v>#REF!</v>
      </c>
      <c r="X201" t="e">
        <f>INDEX(#REF!,MATCH($E201,#REF!,0))</f>
        <v>#REF!</v>
      </c>
      <c r="Y201" t="e">
        <f>INDEX(#REF!,MATCH($E201,#REF!,0))</f>
        <v>#REF!</v>
      </c>
      <c r="Z201" t="e">
        <f>INDEX(#REF!,MATCH($E201,#REF!,0))</f>
        <v>#REF!</v>
      </c>
      <c r="AA201" t="e">
        <f>INDEX(#REF!,MATCH($E201,#REF!,0))</f>
        <v>#REF!</v>
      </c>
      <c r="AB201" t="e">
        <f>INDEX(#REF!,MATCH($E201,#REF!,0))</f>
        <v>#REF!</v>
      </c>
      <c r="AC201" t="e">
        <f>INDEX(#REF!,MATCH($E201,#REF!,0))</f>
        <v>#REF!</v>
      </c>
      <c r="AD201" t="e">
        <f>INDEX(#REF!,MATCH($E201,#REF!,0))</f>
        <v>#REF!</v>
      </c>
      <c r="AE201" t="e">
        <f t="shared" si="9"/>
        <v>#REF!</v>
      </c>
    </row>
    <row r="202" spans="2:31" x14ac:dyDescent="0.25">
      <c r="B202" s="45" t="s">
        <v>1584</v>
      </c>
      <c r="C202" s="45" t="s">
        <v>408</v>
      </c>
      <c r="D202" s="89" t="s">
        <v>407</v>
      </c>
      <c r="E202" s="89">
        <v>110452</v>
      </c>
      <c r="F202" s="89">
        <v>1018</v>
      </c>
      <c r="G202" s="90">
        <v>1</v>
      </c>
      <c r="H202" s="90">
        <v>2</v>
      </c>
      <c r="I202" s="90" t="s">
        <v>409</v>
      </c>
      <c r="J202" s="90">
        <v>1000</v>
      </c>
      <c r="K202" s="90">
        <v>0</v>
      </c>
      <c r="L202" s="91"/>
      <c r="M202" s="92" t="s">
        <v>1231</v>
      </c>
      <c r="N202" s="93"/>
      <c r="P202" s="21"/>
      <c r="Q202" s="12"/>
      <c r="R202">
        <f t="shared" si="11"/>
        <v>1</v>
      </c>
      <c r="S202" s="21" t="s">
        <v>99</v>
      </c>
      <c r="T202" s="21" t="s">
        <v>99</v>
      </c>
      <c r="W202" t="e">
        <f>INDEX(#REF!,MATCH($E202,#REF!,0))</f>
        <v>#REF!</v>
      </c>
      <c r="X202" t="e">
        <f>INDEX(#REF!,MATCH($E202,#REF!,0))</f>
        <v>#REF!</v>
      </c>
      <c r="Y202" t="e">
        <f>INDEX(#REF!,MATCH($E202,#REF!,0))</f>
        <v>#REF!</v>
      </c>
      <c r="Z202" t="e">
        <f>INDEX(#REF!,MATCH($E202,#REF!,0))</f>
        <v>#REF!</v>
      </c>
      <c r="AA202" t="e">
        <f>INDEX(#REF!,MATCH($E202,#REF!,0))</f>
        <v>#REF!</v>
      </c>
      <c r="AB202" t="e">
        <f>INDEX(#REF!,MATCH($E202,#REF!,0))</f>
        <v>#REF!</v>
      </c>
      <c r="AC202" t="e">
        <f>INDEX(#REF!,MATCH($E202,#REF!,0))</f>
        <v>#REF!</v>
      </c>
      <c r="AD202" t="e">
        <f>INDEX(#REF!,MATCH($E202,#REF!,0))</f>
        <v>#REF!</v>
      </c>
      <c r="AE202" t="e">
        <f t="shared" si="9"/>
        <v>#REF!</v>
      </c>
    </row>
    <row r="203" spans="2:31" x14ac:dyDescent="0.25">
      <c r="B203" s="45" t="s">
        <v>1585</v>
      </c>
      <c r="C203" s="45" t="s">
        <v>411</v>
      </c>
      <c r="D203" s="89" t="s">
        <v>410</v>
      </c>
      <c r="E203" s="89">
        <v>110453</v>
      </c>
      <c r="F203" s="89">
        <v>1018</v>
      </c>
      <c r="G203" s="90">
        <v>2</v>
      </c>
      <c r="H203" s="90">
        <v>2</v>
      </c>
      <c r="I203" s="90" t="s">
        <v>314</v>
      </c>
      <c r="J203" s="90">
        <v>1000</v>
      </c>
      <c r="K203" s="90">
        <v>0</v>
      </c>
      <c r="L203" s="91"/>
      <c r="M203" s="92" t="s">
        <v>1232</v>
      </c>
      <c r="N203" s="93"/>
      <c r="P203" s="21"/>
      <c r="Q203" s="12"/>
      <c r="R203">
        <f t="shared" si="11"/>
        <v>1</v>
      </c>
      <c r="S203" s="21" t="s">
        <v>99</v>
      </c>
      <c r="T203" s="21" t="s">
        <v>99</v>
      </c>
      <c r="W203" t="e">
        <f>INDEX(#REF!,MATCH($E203,#REF!,0))</f>
        <v>#REF!</v>
      </c>
      <c r="X203" t="e">
        <f>INDEX(#REF!,MATCH($E203,#REF!,0))</f>
        <v>#REF!</v>
      </c>
      <c r="Y203" t="e">
        <f>INDEX(#REF!,MATCH($E203,#REF!,0))</f>
        <v>#REF!</v>
      </c>
      <c r="Z203" t="e">
        <f>INDEX(#REF!,MATCH($E203,#REF!,0))</f>
        <v>#REF!</v>
      </c>
      <c r="AA203" t="e">
        <f>INDEX(#REF!,MATCH($E203,#REF!,0))</f>
        <v>#REF!</v>
      </c>
      <c r="AB203" t="e">
        <f>INDEX(#REF!,MATCH($E203,#REF!,0))</f>
        <v>#REF!</v>
      </c>
      <c r="AC203" t="e">
        <f>INDEX(#REF!,MATCH($E203,#REF!,0))</f>
        <v>#REF!</v>
      </c>
      <c r="AD203" t="e">
        <f>INDEX(#REF!,MATCH($E203,#REF!,0))</f>
        <v>#REF!</v>
      </c>
      <c r="AE203" t="e">
        <f t="shared" si="9"/>
        <v>#REF!</v>
      </c>
    </row>
    <row r="204" spans="2:31" x14ac:dyDescent="0.25">
      <c r="B204" s="45" t="s">
        <v>1586</v>
      </c>
      <c r="C204" s="45" t="s">
        <v>413</v>
      </c>
      <c r="D204" s="89" t="s">
        <v>412</v>
      </c>
      <c r="E204" s="89">
        <v>110454</v>
      </c>
      <c r="F204" s="89">
        <v>1018</v>
      </c>
      <c r="G204" s="90">
        <v>3</v>
      </c>
      <c r="H204" s="90">
        <v>2</v>
      </c>
      <c r="I204" s="90" t="s">
        <v>26</v>
      </c>
      <c r="J204" s="90">
        <v>1</v>
      </c>
      <c r="K204" s="90">
        <v>0</v>
      </c>
      <c r="L204" s="91"/>
      <c r="M204" s="92" t="s">
        <v>1233</v>
      </c>
      <c r="N204" s="93"/>
      <c r="P204" s="21"/>
      <c r="Q204" s="12"/>
      <c r="R204">
        <f t="shared" si="11"/>
        <v>1</v>
      </c>
      <c r="S204" s="21" t="s">
        <v>99</v>
      </c>
      <c r="T204" s="21" t="s">
        <v>99</v>
      </c>
      <c r="W204" t="e">
        <f>INDEX(#REF!,MATCH($E204,#REF!,0))</f>
        <v>#REF!</v>
      </c>
      <c r="X204" t="e">
        <f>INDEX(#REF!,MATCH($E204,#REF!,0))</f>
        <v>#REF!</v>
      </c>
      <c r="Y204" t="e">
        <f>INDEX(#REF!,MATCH($E204,#REF!,0))</f>
        <v>#REF!</v>
      </c>
      <c r="Z204" t="e">
        <f>INDEX(#REF!,MATCH($E204,#REF!,0))</f>
        <v>#REF!</v>
      </c>
      <c r="AA204" t="e">
        <f>INDEX(#REF!,MATCH($E204,#REF!,0))</f>
        <v>#REF!</v>
      </c>
      <c r="AB204" t="e">
        <f>INDEX(#REF!,MATCH($E204,#REF!,0))</f>
        <v>#REF!</v>
      </c>
      <c r="AC204" t="e">
        <f>INDEX(#REF!,MATCH($E204,#REF!,0))</f>
        <v>#REF!</v>
      </c>
      <c r="AD204" t="e">
        <f>INDEX(#REF!,MATCH($E204,#REF!,0))</f>
        <v>#REF!</v>
      </c>
      <c r="AE204" t="e">
        <f t="shared" si="9"/>
        <v>#REF!</v>
      </c>
    </row>
    <row r="205" spans="2:31" x14ac:dyDescent="0.25">
      <c r="B205" s="45" t="s">
        <v>2191</v>
      </c>
      <c r="C205" s="45" t="s">
        <v>415</v>
      </c>
      <c r="D205" s="89" t="s">
        <v>414</v>
      </c>
      <c r="E205" s="89">
        <v>110460</v>
      </c>
      <c r="F205" s="89">
        <v>1018</v>
      </c>
      <c r="G205" s="90">
        <v>9</v>
      </c>
      <c r="H205" s="90">
        <v>2</v>
      </c>
      <c r="I205" s="90" t="s">
        <v>120</v>
      </c>
      <c r="J205" s="90">
        <v>1000</v>
      </c>
      <c r="K205" s="90">
        <v>0</v>
      </c>
      <c r="L205" s="91"/>
      <c r="M205" s="92" t="s">
        <v>1234</v>
      </c>
      <c r="N205" s="93"/>
      <c r="P205" s="21"/>
      <c r="Q205" s="12"/>
      <c r="R205">
        <f t="shared" si="11"/>
        <v>1</v>
      </c>
      <c r="S205" s="21" t="s">
        <v>99</v>
      </c>
      <c r="T205" s="21" t="s">
        <v>99</v>
      </c>
      <c r="W205" t="e">
        <f>INDEX(#REF!,MATCH($E205,#REF!,0))</f>
        <v>#REF!</v>
      </c>
      <c r="X205" t="e">
        <f>INDEX(#REF!,MATCH($E205,#REF!,0))</f>
        <v>#REF!</v>
      </c>
      <c r="Y205" t="e">
        <f>INDEX(#REF!,MATCH($E205,#REF!,0))</f>
        <v>#REF!</v>
      </c>
      <c r="Z205" t="e">
        <f>INDEX(#REF!,MATCH($E205,#REF!,0))</f>
        <v>#REF!</v>
      </c>
      <c r="AA205" t="e">
        <f>INDEX(#REF!,MATCH($E205,#REF!,0))</f>
        <v>#REF!</v>
      </c>
      <c r="AB205" t="e">
        <f>INDEX(#REF!,MATCH($E205,#REF!,0))</f>
        <v>#REF!</v>
      </c>
      <c r="AC205" t="e">
        <f>INDEX(#REF!,MATCH($E205,#REF!,0))</f>
        <v>#REF!</v>
      </c>
      <c r="AD205" t="e">
        <f>INDEX(#REF!,MATCH($E205,#REF!,0))</f>
        <v>#REF!</v>
      </c>
      <c r="AE205" t="e">
        <f t="shared" si="9"/>
        <v>#REF!</v>
      </c>
    </row>
    <row r="206" spans="2:31" x14ac:dyDescent="0.25">
      <c r="B206" s="45" t="s">
        <v>1587</v>
      </c>
      <c r="C206" s="45" t="s">
        <v>417</v>
      </c>
      <c r="D206" s="89" t="s">
        <v>416</v>
      </c>
      <c r="E206" s="89">
        <v>110461</v>
      </c>
      <c r="F206" s="89">
        <v>1018</v>
      </c>
      <c r="G206" s="90">
        <v>10</v>
      </c>
      <c r="H206" s="90">
        <v>2</v>
      </c>
      <c r="I206" s="90" t="s">
        <v>314</v>
      </c>
      <c r="J206" s="90">
        <v>1000</v>
      </c>
      <c r="K206" s="90">
        <v>0</v>
      </c>
      <c r="L206" s="91"/>
      <c r="M206" s="92" t="s">
        <v>1235</v>
      </c>
      <c r="N206" s="93"/>
      <c r="P206" s="21"/>
      <c r="Q206" s="12"/>
      <c r="R206">
        <f t="shared" si="11"/>
        <v>1</v>
      </c>
      <c r="S206" s="21" t="s">
        <v>99</v>
      </c>
      <c r="T206" s="21" t="s">
        <v>99</v>
      </c>
      <c r="W206" t="e">
        <f>INDEX(#REF!,MATCH($E206,#REF!,0))</f>
        <v>#REF!</v>
      </c>
      <c r="X206" t="e">
        <f>INDEX(#REF!,MATCH($E206,#REF!,0))</f>
        <v>#REF!</v>
      </c>
      <c r="Y206" t="e">
        <f>INDEX(#REF!,MATCH($E206,#REF!,0))</f>
        <v>#REF!</v>
      </c>
      <c r="Z206" t="e">
        <f>INDEX(#REF!,MATCH($E206,#REF!,0))</f>
        <v>#REF!</v>
      </c>
      <c r="AA206" t="e">
        <f>INDEX(#REF!,MATCH($E206,#REF!,0))</f>
        <v>#REF!</v>
      </c>
      <c r="AB206" t="e">
        <f>INDEX(#REF!,MATCH($E206,#REF!,0))</f>
        <v>#REF!</v>
      </c>
      <c r="AC206" t="e">
        <f>INDEX(#REF!,MATCH($E206,#REF!,0))</f>
        <v>#REF!</v>
      </c>
      <c r="AD206" t="e">
        <f>INDEX(#REF!,MATCH($E206,#REF!,0))</f>
        <v>#REF!</v>
      </c>
      <c r="AE206" t="e">
        <f t="shared" si="9"/>
        <v>#REF!</v>
      </c>
    </row>
    <row r="207" spans="2:31" x14ac:dyDescent="0.25">
      <c r="B207" s="45" t="s">
        <v>1588</v>
      </c>
      <c r="C207" s="45" t="s">
        <v>419</v>
      </c>
      <c r="D207" s="89" t="s">
        <v>418</v>
      </c>
      <c r="E207" s="89">
        <v>110462</v>
      </c>
      <c r="F207" s="89">
        <v>1018</v>
      </c>
      <c r="G207" s="90">
        <v>11</v>
      </c>
      <c r="H207" s="90">
        <v>2</v>
      </c>
      <c r="I207" s="90" t="s">
        <v>21</v>
      </c>
      <c r="J207" s="90">
        <v>10</v>
      </c>
      <c r="K207" s="90">
        <v>0</v>
      </c>
      <c r="L207" s="91"/>
      <c r="M207" s="92" t="s">
        <v>2288</v>
      </c>
      <c r="N207" s="93"/>
      <c r="P207" s="21"/>
      <c r="Q207" s="12"/>
      <c r="R207">
        <f t="shared" si="11"/>
        <v>1</v>
      </c>
      <c r="S207" s="21" t="s">
        <v>99</v>
      </c>
      <c r="T207" s="21" t="s">
        <v>99</v>
      </c>
      <c r="W207" t="e">
        <f>INDEX(#REF!,MATCH($E207,#REF!,0))</f>
        <v>#REF!</v>
      </c>
      <c r="X207" t="e">
        <f>INDEX(#REF!,MATCH($E207,#REF!,0))</f>
        <v>#REF!</v>
      </c>
      <c r="Y207" t="e">
        <f>INDEX(#REF!,MATCH($E207,#REF!,0))</f>
        <v>#REF!</v>
      </c>
      <c r="Z207" t="e">
        <f>INDEX(#REF!,MATCH($E207,#REF!,0))</f>
        <v>#REF!</v>
      </c>
      <c r="AA207" t="e">
        <f>INDEX(#REF!,MATCH($E207,#REF!,0))</f>
        <v>#REF!</v>
      </c>
      <c r="AB207" t="e">
        <f>INDEX(#REF!,MATCH($E207,#REF!,0))</f>
        <v>#REF!</v>
      </c>
      <c r="AC207" t="e">
        <f>INDEX(#REF!,MATCH($E207,#REF!,0))</f>
        <v>#REF!</v>
      </c>
      <c r="AD207" t="e">
        <f>INDEX(#REF!,MATCH($E207,#REF!,0))</f>
        <v>#REF!</v>
      </c>
      <c r="AE207" t="e">
        <f t="shared" si="9"/>
        <v>#REF!</v>
      </c>
    </row>
    <row r="208" spans="2:31" x14ac:dyDescent="0.25">
      <c r="B208" s="45" t="s">
        <v>1589</v>
      </c>
      <c r="C208" s="45" t="s">
        <v>421</v>
      </c>
      <c r="D208" s="89" t="s">
        <v>420</v>
      </c>
      <c r="E208" s="89">
        <v>110463</v>
      </c>
      <c r="F208" s="89">
        <v>1018</v>
      </c>
      <c r="G208" s="90">
        <v>12</v>
      </c>
      <c r="H208" s="90">
        <v>2</v>
      </c>
      <c r="I208" s="90" t="s">
        <v>21</v>
      </c>
      <c r="J208" s="90">
        <v>10</v>
      </c>
      <c r="K208" s="90">
        <v>0</v>
      </c>
      <c r="L208" s="91"/>
      <c r="M208" s="92" t="s">
        <v>2289</v>
      </c>
      <c r="N208" s="93"/>
      <c r="P208" s="21"/>
      <c r="Q208" s="12"/>
      <c r="R208">
        <f t="shared" si="11"/>
        <v>1</v>
      </c>
      <c r="S208" s="21" t="s">
        <v>99</v>
      </c>
      <c r="T208" s="21" t="s">
        <v>99</v>
      </c>
      <c r="W208" t="e">
        <f>INDEX(#REF!,MATCH($E208,#REF!,0))</f>
        <v>#REF!</v>
      </c>
      <c r="X208" t="e">
        <f>INDEX(#REF!,MATCH($E208,#REF!,0))</f>
        <v>#REF!</v>
      </c>
      <c r="Y208" t="e">
        <f>INDEX(#REF!,MATCH($E208,#REF!,0))</f>
        <v>#REF!</v>
      </c>
      <c r="Z208" t="e">
        <f>INDEX(#REF!,MATCH($E208,#REF!,0))</f>
        <v>#REF!</v>
      </c>
      <c r="AA208" t="e">
        <f>INDEX(#REF!,MATCH($E208,#REF!,0))</f>
        <v>#REF!</v>
      </c>
      <c r="AB208" t="e">
        <f>INDEX(#REF!,MATCH($E208,#REF!,0))</f>
        <v>#REF!</v>
      </c>
      <c r="AC208" t="e">
        <f>INDEX(#REF!,MATCH($E208,#REF!,0))</f>
        <v>#REF!</v>
      </c>
      <c r="AD208" t="e">
        <f>INDEX(#REF!,MATCH($E208,#REF!,0))</f>
        <v>#REF!</v>
      </c>
      <c r="AE208" t="e">
        <f t="shared" si="9"/>
        <v>#REF!</v>
      </c>
    </row>
    <row r="209" spans="2:31" x14ac:dyDescent="0.25">
      <c r="B209" s="45" t="s">
        <v>1590</v>
      </c>
      <c r="C209" s="45" t="s">
        <v>423</v>
      </c>
      <c r="D209" s="89" t="s">
        <v>422</v>
      </c>
      <c r="E209" s="89">
        <v>110465</v>
      </c>
      <c r="F209" s="89">
        <v>1018</v>
      </c>
      <c r="G209" s="90">
        <v>14</v>
      </c>
      <c r="H209" s="90">
        <v>2</v>
      </c>
      <c r="I209" s="90" t="s">
        <v>147</v>
      </c>
      <c r="J209" s="90">
        <v>100000</v>
      </c>
      <c r="K209" s="90">
        <v>0</v>
      </c>
      <c r="L209" s="91"/>
      <c r="M209" s="92" t="s">
        <v>1236</v>
      </c>
      <c r="N209" s="93"/>
      <c r="P209" s="21"/>
      <c r="Q209" s="12"/>
      <c r="R209">
        <f t="shared" si="11"/>
        <v>1</v>
      </c>
      <c r="S209" s="21" t="s">
        <v>99</v>
      </c>
      <c r="T209" s="21" t="s">
        <v>99</v>
      </c>
      <c r="W209" t="e">
        <f>INDEX(#REF!,MATCH($E209,#REF!,0))</f>
        <v>#REF!</v>
      </c>
      <c r="X209" t="e">
        <f>INDEX(#REF!,MATCH($E209,#REF!,0))</f>
        <v>#REF!</v>
      </c>
      <c r="Y209" t="e">
        <f>INDEX(#REF!,MATCH($E209,#REF!,0))</f>
        <v>#REF!</v>
      </c>
      <c r="Z209" t="e">
        <f>INDEX(#REF!,MATCH($E209,#REF!,0))</f>
        <v>#REF!</v>
      </c>
      <c r="AA209" t="e">
        <f>INDEX(#REF!,MATCH($E209,#REF!,0))</f>
        <v>#REF!</v>
      </c>
      <c r="AB209" t="e">
        <f>INDEX(#REF!,MATCH($E209,#REF!,0))</f>
        <v>#REF!</v>
      </c>
      <c r="AC209" t="e">
        <f>INDEX(#REF!,MATCH($E209,#REF!,0))</f>
        <v>#REF!</v>
      </c>
      <c r="AD209" t="e">
        <f>INDEX(#REF!,MATCH($E209,#REF!,0))</f>
        <v>#REF!</v>
      </c>
      <c r="AE209" t="e">
        <f t="shared" si="9"/>
        <v>#REF!</v>
      </c>
    </row>
    <row r="210" spans="2:31" ht="45" x14ac:dyDescent="0.25">
      <c r="B210" s="45" t="s">
        <v>1591</v>
      </c>
      <c r="C210" s="45" t="s">
        <v>425</v>
      </c>
      <c r="D210" s="89" t="s">
        <v>424</v>
      </c>
      <c r="E210" s="89">
        <v>110466</v>
      </c>
      <c r="F210" s="89">
        <v>1018</v>
      </c>
      <c r="G210" s="90">
        <v>15</v>
      </c>
      <c r="H210" s="90">
        <v>2</v>
      </c>
      <c r="I210" s="90" t="s">
        <v>147</v>
      </c>
      <c r="J210" s="90">
        <v>100000</v>
      </c>
      <c r="K210" s="90">
        <v>0</v>
      </c>
      <c r="L210" s="91"/>
      <c r="M210" s="92" t="s">
        <v>2290</v>
      </c>
      <c r="N210" s="93"/>
      <c r="P210" s="21"/>
      <c r="Q210" s="12"/>
      <c r="R210">
        <f t="shared" si="11"/>
        <v>1</v>
      </c>
      <c r="S210" s="21" t="s">
        <v>99</v>
      </c>
      <c r="T210" s="21" t="s">
        <v>99</v>
      </c>
      <c r="W210" t="e">
        <f>INDEX(#REF!,MATCH($E210,#REF!,0))</f>
        <v>#REF!</v>
      </c>
      <c r="X210" t="e">
        <f>INDEX(#REF!,MATCH($E210,#REF!,0))</f>
        <v>#REF!</v>
      </c>
      <c r="Y210" t="e">
        <f>INDEX(#REF!,MATCH($E210,#REF!,0))</f>
        <v>#REF!</v>
      </c>
      <c r="Z210" t="e">
        <f>INDEX(#REF!,MATCH($E210,#REF!,0))</f>
        <v>#REF!</v>
      </c>
      <c r="AA210" t="e">
        <f>INDEX(#REF!,MATCH($E210,#REF!,0))</f>
        <v>#REF!</v>
      </c>
      <c r="AB210" t="e">
        <f>INDEX(#REF!,MATCH($E210,#REF!,0))</f>
        <v>#REF!</v>
      </c>
      <c r="AC210" t="e">
        <f>INDEX(#REF!,MATCH($E210,#REF!,0))</f>
        <v>#REF!</v>
      </c>
      <c r="AD210" t="e">
        <f>INDEX(#REF!,MATCH($E210,#REF!,0))</f>
        <v>#REF!</v>
      </c>
      <c r="AE210" t="e">
        <f t="shared" si="9"/>
        <v>#REF!</v>
      </c>
    </row>
    <row r="211" spans="2:31" x14ac:dyDescent="0.25">
      <c r="B211" s="45" t="s">
        <v>2146</v>
      </c>
      <c r="C211" s="45" t="s">
        <v>427</v>
      </c>
      <c r="D211" s="89" t="s">
        <v>426</v>
      </c>
      <c r="E211" s="89">
        <v>110504</v>
      </c>
      <c r="F211" s="89">
        <v>1020</v>
      </c>
      <c r="G211" s="90">
        <v>3</v>
      </c>
      <c r="H211" s="90">
        <v>2</v>
      </c>
      <c r="I211" s="90" t="s">
        <v>147</v>
      </c>
      <c r="J211" s="90">
        <v>100000</v>
      </c>
      <c r="K211" s="90">
        <v>0</v>
      </c>
      <c r="L211" s="91"/>
      <c r="M211" s="92" t="s">
        <v>1237</v>
      </c>
      <c r="N211" s="93"/>
      <c r="P211" s="21"/>
      <c r="Q211" s="12"/>
      <c r="R211">
        <f t="shared" si="11"/>
        <v>1</v>
      </c>
      <c r="S211" s="21" t="s">
        <v>99</v>
      </c>
      <c r="T211" s="21" t="s">
        <v>99</v>
      </c>
      <c r="W211" t="e">
        <f>INDEX(#REF!,MATCH($E211,#REF!,0))</f>
        <v>#REF!</v>
      </c>
      <c r="X211" t="e">
        <f>INDEX(#REF!,MATCH($E211,#REF!,0))</f>
        <v>#REF!</v>
      </c>
      <c r="Y211" t="e">
        <f>INDEX(#REF!,MATCH($E211,#REF!,0))</f>
        <v>#REF!</v>
      </c>
      <c r="Z211" t="e">
        <f>INDEX(#REF!,MATCH($E211,#REF!,0))</f>
        <v>#REF!</v>
      </c>
      <c r="AA211" t="e">
        <f>INDEX(#REF!,MATCH($E211,#REF!,0))</f>
        <v>#REF!</v>
      </c>
      <c r="AB211" t="e">
        <f>INDEX(#REF!,MATCH($E211,#REF!,0))</f>
        <v>#REF!</v>
      </c>
      <c r="AC211" t="e">
        <f>INDEX(#REF!,MATCH($E211,#REF!,0))</f>
        <v>#REF!</v>
      </c>
      <c r="AD211" t="e">
        <f>INDEX(#REF!,MATCH($E211,#REF!,0))</f>
        <v>#REF!</v>
      </c>
      <c r="AE211" t="e">
        <f t="shared" si="9"/>
        <v>#REF!</v>
      </c>
    </row>
    <row r="212" spans="2:31" ht="45" x14ac:dyDescent="0.25">
      <c r="B212" s="45" t="s">
        <v>2147</v>
      </c>
      <c r="C212" s="45" t="s">
        <v>429</v>
      </c>
      <c r="D212" s="89" t="s">
        <v>428</v>
      </c>
      <c r="E212" s="89">
        <v>110505</v>
      </c>
      <c r="F212" s="89">
        <v>1020</v>
      </c>
      <c r="G212" s="90">
        <v>4</v>
      </c>
      <c r="H212" s="90">
        <v>2</v>
      </c>
      <c r="I212" s="90" t="s">
        <v>147</v>
      </c>
      <c r="J212" s="90">
        <v>100000</v>
      </c>
      <c r="K212" s="90">
        <v>0</v>
      </c>
      <c r="L212" s="91"/>
      <c r="M212" s="92" t="s">
        <v>2291</v>
      </c>
      <c r="N212" s="93"/>
      <c r="P212" s="21"/>
      <c r="Q212" s="12"/>
      <c r="R212">
        <f t="shared" si="11"/>
        <v>1</v>
      </c>
      <c r="S212" s="21" t="s">
        <v>99</v>
      </c>
      <c r="T212" s="21" t="s">
        <v>99</v>
      </c>
      <c r="W212" t="e">
        <f>INDEX(#REF!,MATCH($E212,#REF!,0))</f>
        <v>#REF!</v>
      </c>
      <c r="X212" t="e">
        <f>INDEX(#REF!,MATCH($E212,#REF!,0))</f>
        <v>#REF!</v>
      </c>
      <c r="Y212" t="e">
        <f>INDEX(#REF!,MATCH($E212,#REF!,0))</f>
        <v>#REF!</v>
      </c>
      <c r="Z212" t="e">
        <f>INDEX(#REF!,MATCH($E212,#REF!,0))</f>
        <v>#REF!</v>
      </c>
      <c r="AA212" t="e">
        <f>INDEX(#REF!,MATCH($E212,#REF!,0))</f>
        <v>#REF!</v>
      </c>
      <c r="AB212" t="e">
        <f>INDEX(#REF!,MATCH($E212,#REF!,0))</f>
        <v>#REF!</v>
      </c>
      <c r="AC212" t="e">
        <f>INDEX(#REF!,MATCH($E212,#REF!,0))</f>
        <v>#REF!</v>
      </c>
      <c r="AD212" t="e">
        <f>INDEX(#REF!,MATCH($E212,#REF!,0))</f>
        <v>#REF!</v>
      </c>
      <c r="AE212" t="e">
        <f t="shared" si="9"/>
        <v>#REF!</v>
      </c>
    </row>
    <row r="213" spans="2:31" ht="45" x14ac:dyDescent="0.25">
      <c r="B213" s="45" t="s">
        <v>2148</v>
      </c>
      <c r="C213" s="45" t="s">
        <v>431</v>
      </c>
      <c r="D213" s="89" t="s">
        <v>430</v>
      </c>
      <c r="E213" s="89">
        <v>110506</v>
      </c>
      <c r="F213" s="89">
        <v>1020</v>
      </c>
      <c r="G213" s="90">
        <v>5</v>
      </c>
      <c r="H213" s="90">
        <v>2</v>
      </c>
      <c r="I213" s="90" t="s">
        <v>147</v>
      </c>
      <c r="J213" s="90">
        <v>100000</v>
      </c>
      <c r="K213" s="90">
        <v>0</v>
      </c>
      <c r="L213" s="91"/>
      <c r="M213" s="92" t="s">
        <v>2239</v>
      </c>
      <c r="N213" s="93"/>
      <c r="P213" s="21"/>
      <c r="Q213" s="12"/>
      <c r="R213">
        <f t="shared" si="11"/>
        <v>1</v>
      </c>
      <c r="S213" s="21" t="s">
        <v>99</v>
      </c>
      <c r="T213" s="21" t="s">
        <v>99</v>
      </c>
      <c r="W213" t="e">
        <f>INDEX(#REF!,MATCH($E213,#REF!,0))</f>
        <v>#REF!</v>
      </c>
      <c r="X213" t="e">
        <f>INDEX(#REF!,MATCH($E213,#REF!,0))</f>
        <v>#REF!</v>
      </c>
      <c r="Y213" t="e">
        <f>INDEX(#REF!,MATCH($E213,#REF!,0))</f>
        <v>#REF!</v>
      </c>
      <c r="Z213" t="e">
        <f>INDEX(#REF!,MATCH($E213,#REF!,0))</f>
        <v>#REF!</v>
      </c>
      <c r="AA213" t="e">
        <f>INDEX(#REF!,MATCH($E213,#REF!,0))</f>
        <v>#REF!</v>
      </c>
      <c r="AB213" t="e">
        <f>INDEX(#REF!,MATCH($E213,#REF!,0))</f>
        <v>#REF!</v>
      </c>
      <c r="AC213" t="e">
        <f>INDEX(#REF!,MATCH($E213,#REF!,0))</f>
        <v>#REF!</v>
      </c>
      <c r="AD213" t="e">
        <f>INDEX(#REF!,MATCH($E213,#REF!,0))</f>
        <v>#REF!</v>
      </c>
      <c r="AE213" t="e">
        <f t="shared" ref="AE213:AE277" si="12">AND(X213=F213,G213=Y213,AC213=J213,AD213=H213)</f>
        <v>#REF!</v>
      </c>
    </row>
    <row r="214" spans="2:31" x14ac:dyDescent="0.25">
      <c r="B214" s="45" t="s">
        <v>3030</v>
      </c>
      <c r="C214" s="45" t="s">
        <v>3029</v>
      </c>
      <c r="D214" s="89" t="s">
        <v>3030</v>
      </c>
      <c r="E214" s="89">
        <v>110515</v>
      </c>
      <c r="F214" s="89">
        <v>1020</v>
      </c>
      <c r="G214" s="90">
        <v>14</v>
      </c>
      <c r="H214" s="90">
        <v>2</v>
      </c>
      <c r="I214" s="90" t="s">
        <v>26</v>
      </c>
      <c r="J214" s="90">
        <v>1</v>
      </c>
      <c r="K214" s="90">
        <v>0</v>
      </c>
      <c r="L214" s="91"/>
      <c r="M214" s="92" t="s">
        <v>3025</v>
      </c>
      <c r="N214" s="93" t="s">
        <v>3027</v>
      </c>
      <c r="P214" s="21" t="s">
        <v>2999</v>
      </c>
      <c r="Q214" s="12"/>
      <c r="R214">
        <f t="shared" si="11"/>
        <v>1</v>
      </c>
      <c r="S214" s="21"/>
      <c r="T214" s="21"/>
      <c r="W214" t="e">
        <f>INDEX(#REF!,MATCH($E214,#REF!,0))</f>
        <v>#REF!</v>
      </c>
      <c r="X214" t="e">
        <f>INDEX(#REF!,MATCH($E214,#REF!,0))</f>
        <v>#REF!</v>
      </c>
      <c r="Y214" t="e">
        <f>INDEX(#REF!,MATCH($E214,#REF!,0))</f>
        <v>#REF!</v>
      </c>
      <c r="Z214" t="e">
        <f>INDEX(#REF!,MATCH($E214,#REF!,0))</f>
        <v>#REF!</v>
      </c>
      <c r="AA214" t="e">
        <f>INDEX(#REF!,MATCH($E214,#REF!,0))</f>
        <v>#REF!</v>
      </c>
      <c r="AB214" t="e">
        <f>INDEX(#REF!,MATCH($E214,#REF!,0))</f>
        <v>#REF!</v>
      </c>
      <c r="AC214" t="e">
        <f>INDEX(#REF!,MATCH($E214,#REF!,0))</f>
        <v>#REF!</v>
      </c>
      <c r="AD214" t="e">
        <f>INDEX(#REF!,MATCH($E214,#REF!,0))</f>
        <v>#REF!</v>
      </c>
      <c r="AE214" t="e">
        <f t="shared" si="12"/>
        <v>#REF!</v>
      </c>
    </row>
    <row r="215" spans="2:31" x14ac:dyDescent="0.25">
      <c r="B215" s="45" t="s">
        <v>3031</v>
      </c>
      <c r="C215" s="45" t="s">
        <v>3036</v>
      </c>
      <c r="D215" s="89" t="s">
        <v>3031</v>
      </c>
      <c r="E215" s="89">
        <v>110526</v>
      </c>
      <c r="F215" s="89">
        <v>1021</v>
      </c>
      <c r="G215" s="90">
        <v>0</v>
      </c>
      <c r="H215" s="90">
        <v>2</v>
      </c>
      <c r="I215" s="90" t="s">
        <v>26</v>
      </c>
      <c r="J215" s="90">
        <v>1</v>
      </c>
      <c r="K215" s="90">
        <v>0</v>
      </c>
      <c r="L215" s="91"/>
      <c r="M215" s="92" t="s">
        <v>3026</v>
      </c>
      <c r="N215" s="93" t="s">
        <v>3028</v>
      </c>
      <c r="P215" s="21" t="s">
        <v>2999</v>
      </c>
      <c r="Q215" s="12"/>
      <c r="R215">
        <f t="shared" si="11"/>
        <v>1</v>
      </c>
      <c r="S215" s="21"/>
      <c r="T215" s="21"/>
      <c r="W215" t="e">
        <f>INDEX(#REF!,MATCH($E215,#REF!,0))</f>
        <v>#REF!</v>
      </c>
      <c r="X215" t="e">
        <f>INDEX(#REF!,MATCH($E215,#REF!,0))</f>
        <v>#REF!</v>
      </c>
      <c r="Y215" t="e">
        <f>INDEX(#REF!,MATCH($E215,#REF!,0))</f>
        <v>#REF!</v>
      </c>
      <c r="Z215" t="e">
        <f>INDEX(#REF!,MATCH($E215,#REF!,0))</f>
        <v>#REF!</v>
      </c>
      <c r="AA215" t="e">
        <f>INDEX(#REF!,MATCH($E215,#REF!,0))</f>
        <v>#REF!</v>
      </c>
      <c r="AB215" t="e">
        <f>INDEX(#REF!,MATCH($E215,#REF!,0))</f>
        <v>#REF!</v>
      </c>
      <c r="AC215" t="e">
        <f>INDEX(#REF!,MATCH($E215,#REF!,0))</f>
        <v>#REF!</v>
      </c>
      <c r="AD215" t="e">
        <f>INDEX(#REF!,MATCH($E215,#REF!,0))</f>
        <v>#REF!</v>
      </c>
      <c r="AE215" t="e">
        <f t="shared" si="12"/>
        <v>#REF!</v>
      </c>
    </row>
    <row r="216" spans="2:31" x14ac:dyDescent="0.25">
      <c r="B216" s="45" t="s">
        <v>2149</v>
      </c>
      <c r="C216" s="45" t="s">
        <v>433</v>
      </c>
      <c r="D216" s="89" t="s">
        <v>432</v>
      </c>
      <c r="E216" s="89">
        <v>110529</v>
      </c>
      <c r="F216" s="89">
        <v>1021</v>
      </c>
      <c r="G216" s="90">
        <v>3</v>
      </c>
      <c r="H216" s="90">
        <v>2</v>
      </c>
      <c r="I216" s="90" t="s">
        <v>147</v>
      </c>
      <c r="J216" s="90">
        <v>100000</v>
      </c>
      <c r="K216" s="90">
        <v>0</v>
      </c>
      <c r="L216" s="91"/>
      <c r="M216" s="92" t="s">
        <v>1238</v>
      </c>
      <c r="N216" s="93"/>
      <c r="P216" s="21"/>
      <c r="Q216" s="12"/>
      <c r="R216">
        <f t="shared" si="11"/>
        <v>1</v>
      </c>
      <c r="S216" s="21" t="s">
        <v>99</v>
      </c>
      <c r="T216" s="21" t="s">
        <v>99</v>
      </c>
      <c r="W216" t="e">
        <f>INDEX(#REF!,MATCH($E216,#REF!,0))</f>
        <v>#REF!</v>
      </c>
      <c r="X216" t="e">
        <f>INDEX(#REF!,MATCH($E216,#REF!,0))</f>
        <v>#REF!</v>
      </c>
      <c r="Y216" t="e">
        <f>INDEX(#REF!,MATCH($E216,#REF!,0))</f>
        <v>#REF!</v>
      </c>
      <c r="Z216" t="e">
        <f>INDEX(#REF!,MATCH($E216,#REF!,0))</f>
        <v>#REF!</v>
      </c>
      <c r="AA216" t="e">
        <f>INDEX(#REF!,MATCH($E216,#REF!,0))</f>
        <v>#REF!</v>
      </c>
      <c r="AB216" t="e">
        <f>INDEX(#REF!,MATCH($E216,#REF!,0))</f>
        <v>#REF!</v>
      </c>
      <c r="AC216" t="e">
        <f>INDEX(#REF!,MATCH($E216,#REF!,0))</f>
        <v>#REF!</v>
      </c>
      <c r="AD216" t="e">
        <f>INDEX(#REF!,MATCH($E216,#REF!,0))</f>
        <v>#REF!</v>
      </c>
      <c r="AE216" t="e">
        <f t="shared" si="12"/>
        <v>#REF!</v>
      </c>
    </row>
    <row r="217" spans="2:31" ht="45" x14ac:dyDescent="0.25">
      <c r="B217" s="45" t="s">
        <v>2150</v>
      </c>
      <c r="C217" s="45" t="s">
        <v>435</v>
      </c>
      <c r="D217" s="89" t="s">
        <v>434</v>
      </c>
      <c r="E217" s="89">
        <v>110530</v>
      </c>
      <c r="F217" s="89">
        <v>1021</v>
      </c>
      <c r="G217" s="90">
        <v>4</v>
      </c>
      <c r="H217" s="90">
        <v>2</v>
      </c>
      <c r="I217" s="90" t="s">
        <v>147</v>
      </c>
      <c r="J217" s="90">
        <v>100000</v>
      </c>
      <c r="K217" s="90">
        <v>0</v>
      </c>
      <c r="L217" s="91"/>
      <c r="M217" s="92" t="s">
        <v>2240</v>
      </c>
      <c r="N217" s="93"/>
      <c r="P217" s="21"/>
      <c r="Q217" s="12"/>
      <c r="R217">
        <f t="shared" si="11"/>
        <v>1</v>
      </c>
      <c r="S217" s="21" t="s">
        <v>99</v>
      </c>
      <c r="T217" s="21" t="s">
        <v>99</v>
      </c>
      <c r="W217" t="e">
        <f>INDEX(#REF!,MATCH($E217,#REF!,0))</f>
        <v>#REF!</v>
      </c>
      <c r="X217" t="e">
        <f>INDEX(#REF!,MATCH($E217,#REF!,0))</f>
        <v>#REF!</v>
      </c>
      <c r="Y217" t="e">
        <f>INDEX(#REF!,MATCH($E217,#REF!,0))</f>
        <v>#REF!</v>
      </c>
      <c r="Z217" t="e">
        <f>INDEX(#REF!,MATCH($E217,#REF!,0))</f>
        <v>#REF!</v>
      </c>
      <c r="AA217" t="e">
        <f>INDEX(#REF!,MATCH($E217,#REF!,0))</f>
        <v>#REF!</v>
      </c>
      <c r="AB217" t="e">
        <f>INDEX(#REF!,MATCH($E217,#REF!,0))</f>
        <v>#REF!</v>
      </c>
      <c r="AC217" t="e">
        <f>INDEX(#REF!,MATCH($E217,#REF!,0))</f>
        <v>#REF!</v>
      </c>
      <c r="AD217" t="e">
        <f>INDEX(#REF!,MATCH($E217,#REF!,0))</f>
        <v>#REF!</v>
      </c>
      <c r="AE217" t="e">
        <f t="shared" si="12"/>
        <v>#REF!</v>
      </c>
    </row>
    <row r="218" spans="2:31" ht="45" x14ac:dyDescent="0.25">
      <c r="B218" s="45" t="s">
        <v>2151</v>
      </c>
      <c r="C218" s="45" t="s">
        <v>437</v>
      </c>
      <c r="D218" s="89" t="s">
        <v>436</v>
      </c>
      <c r="E218" s="89">
        <v>110531</v>
      </c>
      <c r="F218" s="89">
        <v>1021</v>
      </c>
      <c r="G218" s="90">
        <v>5</v>
      </c>
      <c r="H218" s="90">
        <v>2</v>
      </c>
      <c r="I218" s="90" t="s">
        <v>147</v>
      </c>
      <c r="J218" s="90">
        <v>100000</v>
      </c>
      <c r="K218" s="90">
        <v>0</v>
      </c>
      <c r="L218" s="91"/>
      <c r="M218" s="92" t="s">
        <v>2241</v>
      </c>
      <c r="N218" s="93"/>
      <c r="P218" s="21"/>
      <c r="Q218" s="12"/>
      <c r="R218">
        <f t="shared" si="11"/>
        <v>1</v>
      </c>
      <c r="S218" s="21" t="s">
        <v>99</v>
      </c>
      <c r="T218" s="21" t="s">
        <v>99</v>
      </c>
      <c r="W218" t="e">
        <f>INDEX(#REF!,MATCH($E218,#REF!,0))</f>
        <v>#REF!</v>
      </c>
      <c r="X218" t="e">
        <f>INDEX(#REF!,MATCH($E218,#REF!,0))</f>
        <v>#REF!</v>
      </c>
      <c r="Y218" t="e">
        <f>INDEX(#REF!,MATCH($E218,#REF!,0))</f>
        <v>#REF!</v>
      </c>
      <c r="Z218" t="e">
        <f>INDEX(#REF!,MATCH($E218,#REF!,0))</f>
        <v>#REF!</v>
      </c>
      <c r="AA218" t="e">
        <f>INDEX(#REF!,MATCH($E218,#REF!,0))</f>
        <v>#REF!</v>
      </c>
      <c r="AB218" t="e">
        <f>INDEX(#REF!,MATCH($E218,#REF!,0))</f>
        <v>#REF!</v>
      </c>
      <c r="AC218" t="e">
        <f>INDEX(#REF!,MATCH($E218,#REF!,0))</f>
        <v>#REF!</v>
      </c>
      <c r="AD218" t="e">
        <f>INDEX(#REF!,MATCH($E218,#REF!,0))</f>
        <v>#REF!</v>
      </c>
      <c r="AE218" t="e">
        <f t="shared" si="12"/>
        <v>#REF!</v>
      </c>
    </row>
    <row r="219" spans="2:31" x14ac:dyDescent="0.25">
      <c r="B219" s="45" t="s">
        <v>1592</v>
      </c>
      <c r="C219" s="45" t="s">
        <v>439</v>
      </c>
      <c r="D219" s="89" t="s">
        <v>438</v>
      </c>
      <c r="E219" s="89">
        <v>110565</v>
      </c>
      <c r="F219" s="89">
        <v>1022</v>
      </c>
      <c r="G219" s="90">
        <v>14</v>
      </c>
      <c r="H219" s="90">
        <v>2</v>
      </c>
      <c r="I219" s="90" t="s">
        <v>154</v>
      </c>
      <c r="J219" s="90">
        <v>100</v>
      </c>
      <c r="K219" s="90">
        <v>0</v>
      </c>
      <c r="L219" s="91"/>
      <c r="M219" s="92" t="s">
        <v>1239</v>
      </c>
      <c r="N219" s="93"/>
      <c r="P219" s="21"/>
      <c r="Q219" s="12"/>
      <c r="R219">
        <f t="shared" si="11"/>
        <v>1</v>
      </c>
      <c r="S219" s="21" t="s">
        <v>99</v>
      </c>
      <c r="T219" s="21" t="s">
        <v>99</v>
      </c>
      <c r="W219" t="e">
        <f>INDEX(#REF!,MATCH($E219,#REF!,0))</f>
        <v>#REF!</v>
      </c>
      <c r="X219" t="e">
        <f>INDEX(#REF!,MATCH($E219,#REF!,0))</f>
        <v>#REF!</v>
      </c>
      <c r="Y219" t="e">
        <f>INDEX(#REF!,MATCH($E219,#REF!,0))</f>
        <v>#REF!</v>
      </c>
      <c r="Z219" t="e">
        <f>INDEX(#REF!,MATCH($E219,#REF!,0))</f>
        <v>#REF!</v>
      </c>
      <c r="AA219" t="e">
        <f>INDEX(#REF!,MATCH($E219,#REF!,0))</f>
        <v>#REF!</v>
      </c>
      <c r="AB219" t="e">
        <f>INDEX(#REF!,MATCH($E219,#REF!,0))</f>
        <v>#REF!</v>
      </c>
      <c r="AC219" t="e">
        <f>INDEX(#REF!,MATCH($E219,#REF!,0))</f>
        <v>#REF!</v>
      </c>
      <c r="AD219" t="e">
        <f>INDEX(#REF!,MATCH($E219,#REF!,0))</f>
        <v>#REF!</v>
      </c>
      <c r="AE219" t="e">
        <f t="shared" si="12"/>
        <v>#REF!</v>
      </c>
    </row>
    <row r="220" spans="2:31" ht="45" x14ac:dyDescent="0.25">
      <c r="B220" s="45" t="s">
        <v>1593</v>
      </c>
      <c r="C220" s="45" t="s">
        <v>441</v>
      </c>
      <c r="D220" s="89" t="s">
        <v>440</v>
      </c>
      <c r="E220" s="89">
        <v>110573</v>
      </c>
      <c r="F220" s="89">
        <v>1022</v>
      </c>
      <c r="G220" s="90">
        <v>22</v>
      </c>
      <c r="H220" s="90">
        <v>2</v>
      </c>
      <c r="I220" s="90" t="s">
        <v>154</v>
      </c>
      <c r="J220" s="90">
        <v>100</v>
      </c>
      <c r="K220" s="90">
        <v>0</v>
      </c>
      <c r="L220" s="91"/>
      <c r="M220" s="92" t="s">
        <v>2292</v>
      </c>
      <c r="N220" s="93"/>
      <c r="P220" s="21"/>
      <c r="Q220" s="12"/>
      <c r="R220">
        <f t="shared" ref="R220:R246" si="13">COUNTIF(C:C,C220)</f>
        <v>1</v>
      </c>
      <c r="S220" s="21" t="s">
        <v>99</v>
      </c>
      <c r="T220" s="21" t="s">
        <v>99</v>
      </c>
      <c r="W220" t="e">
        <f>INDEX(#REF!,MATCH($E220,#REF!,0))</f>
        <v>#REF!</v>
      </c>
      <c r="X220" t="e">
        <f>INDEX(#REF!,MATCH($E220,#REF!,0))</f>
        <v>#REF!</v>
      </c>
      <c r="Y220" t="e">
        <f>INDEX(#REF!,MATCH($E220,#REF!,0))</f>
        <v>#REF!</v>
      </c>
      <c r="Z220" t="e">
        <f>INDEX(#REF!,MATCH($E220,#REF!,0))</f>
        <v>#REF!</v>
      </c>
      <c r="AA220" t="e">
        <f>INDEX(#REF!,MATCH($E220,#REF!,0))</f>
        <v>#REF!</v>
      </c>
      <c r="AB220" t="e">
        <f>INDEX(#REF!,MATCH($E220,#REF!,0))</f>
        <v>#REF!</v>
      </c>
      <c r="AC220" t="e">
        <f>INDEX(#REF!,MATCH($E220,#REF!,0))</f>
        <v>#REF!</v>
      </c>
      <c r="AD220" t="e">
        <f>INDEX(#REF!,MATCH($E220,#REF!,0))</f>
        <v>#REF!</v>
      </c>
      <c r="AE220" t="e">
        <f t="shared" si="12"/>
        <v>#REF!</v>
      </c>
    </row>
    <row r="221" spans="2:31" x14ac:dyDescent="0.25">
      <c r="B221" s="45" t="s">
        <v>1594</v>
      </c>
      <c r="C221" s="45" t="s">
        <v>443</v>
      </c>
      <c r="D221" s="89" t="s">
        <v>442</v>
      </c>
      <c r="E221" s="89">
        <v>110576</v>
      </c>
      <c r="F221" s="89">
        <v>1023</v>
      </c>
      <c r="G221" s="90">
        <v>0</v>
      </c>
      <c r="H221" s="90">
        <v>2</v>
      </c>
      <c r="I221" s="90" t="s">
        <v>147</v>
      </c>
      <c r="J221" s="90">
        <v>100000</v>
      </c>
      <c r="K221" s="90">
        <v>0</v>
      </c>
      <c r="L221" s="91"/>
      <c r="M221" s="92" t="s">
        <v>1240</v>
      </c>
      <c r="N221" s="93"/>
      <c r="P221" s="21"/>
      <c r="Q221" s="12"/>
      <c r="R221">
        <f t="shared" si="13"/>
        <v>1</v>
      </c>
      <c r="S221" s="21" t="s">
        <v>99</v>
      </c>
      <c r="T221" s="21" t="s">
        <v>99</v>
      </c>
      <c r="W221" t="e">
        <f>INDEX(#REF!,MATCH($E221,#REF!,0))</f>
        <v>#REF!</v>
      </c>
      <c r="X221" t="e">
        <f>INDEX(#REF!,MATCH($E221,#REF!,0))</f>
        <v>#REF!</v>
      </c>
      <c r="Y221" t="e">
        <f>INDEX(#REF!,MATCH($E221,#REF!,0))</f>
        <v>#REF!</v>
      </c>
      <c r="Z221" t="e">
        <f>INDEX(#REF!,MATCH($E221,#REF!,0))</f>
        <v>#REF!</v>
      </c>
      <c r="AA221" t="e">
        <f>INDEX(#REF!,MATCH($E221,#REF!,0))</f>
        <v>#REF!</v>
      </c>
      <c r="AB221" t="e">
        <f>INDEX(#REF!,MATCH($E221,#REF!,0))</f>
        <v>#REF!</v>
      </c>
      <c r="AC221" t="e">
        <f>INDEX(#REF!,MATCH($E221,#REF!,0))</f>
        <v>#REF!</v>
      </c>
      <c r="AD221" t="e">
        <f>INDEX(#REF!,MATCH($E221,#REF!,0))</f>
        <v>#REF!</v>
      </c>
      <c r="AE221" t="e">
        <f t="shared" si="12"/>
        <v>#REF!</v>
      </c>
    </row>
    <row r="222" spans="2:31" ht="45" x14ac:dyDescent="0.25">
      <c r="B222" s="45" t="s">
        <v>1595</v>
      </c>
      <c r="C222" s="45" t="s">
        <v>445</v>
      </c>
      <c r="D222" s="89" t="s">
        <v>444</v>
      </c>
      <c r="E222" s="89">
        <v>110577</v>
      </c>
      <c r="F222" s="89">
        <v>1023</v>
      </c>
      <c r="G222" s="90">
        <v>1</v>
      </c>
      <c r="H222" s="90">
        <v>2</v>
      </c>
      <c r="I222" s="90" t="s">
        <v>147</v>
      </c>
      <c r="J222" s="90">
        <v>100000</v>
      </c>
      <c r="K222" s="90">
        <v>0</v>
      </c>
      <c r="L222" s="91"/>
      <c r="M222" s="92" t="s">
        <v>2293</v>
      </c>
      <c r="N222" s="93"/>
      <c r="P222" s="21"/>
      <c r="Q222" s="12"/>
      <c r="R222">
        <f t="shared" si="13"/>
        <v>1</v>
      </c>
      <c r="S222" s="21" t="s">
        <v>99</v>
      </c>
      <c r="T222" s="21" t="s">
        <v>99</v>
      </c>
      <c r="W222" t="e">
        <f>INDEX(#REF!,MATCH($E222,#REF!,0))</f>
        <v>#REF!</v>
      </c>
      <c r="X222" t="e">
        <f>INDEX(#REF!,MATCH($E222,#REF!,0))</f>
        <v>#REF!</v>
      </c>
      <c r="Y222" t="e">
        <f>INDEX(#REF!,MATCH($E222,#REF!,0))</f>
        <v>#REF!</v>
      </c>
      <c r="Z222" t="e">
        <f>INDEX(#REF!,MATCH($E222,#REF!,0))</f>
        <v>#REF!</v>
      </c>
      <c r="AA222" t="e">
        <f>INDEX(#REF!,MATCH($E222,#REF!,0))</f>
        <v>#REF!</v>
      </c>
      <c r="AB222" t="e">
        <f>INDEX(#REF!,MATCH($E222,#REF!,0))</f>
        <v>#REF!</v>
      </c>
      <c r="AC222" t="e">
        <f>INDEX(#REF!,MATCH($E222,#REF!,0))</f>
        <v>#REF!</v>
      </c>
      <c r="AD222" t="e">
        <f>INDEX(#REF!,MATCH($E222,#REF!,0))</f>
        <v>#REF!</v>
      </c>
      <c r="AE222" t="e">
        <f t="shared" si="12"/>
        <v>#REF!</v>
      </c>
    </row>
    <row r="223" spans="2:31" x14ac:dyDescent="0.25">
      <c r="B223" s="45" t="s">
        <v>1596</v>
      </c>
      <c r="C223" s="45" t="s">
        <v>447</v>
      </c>
      <c r="D223" s="89" t="s">
        <v>446</v>
      </c>
      <c r="E223" s="89">
        <v>110584</v>
      </c>
      <c r="F223" s="89">
        <v>1023</v>
      </c>
      <c r="G223" s="90">
        <v>8</v>
      </c>
      <c r="H223" s="90">
        <v>2</v>
      </c>
      <c r="I223" s="90" t="s">
        <v>210</v>
      </c>
      <c r="J223" s="90">
        <v>100</v>
      </c>
      <c r="K223" s="90">
        <v>0</v>
      </c>
      <c r="L223" s="91"/>
      <c r="M223" s="92" t="s">
        <v>1241</v>
      </c>
      <c r="N223" s="93"/>
      <c r="P223" s="21"/>
      <c r="Q223" s="12"/>
      <c r="R223">
        <f t="shared" si="13"/>
        <v>1</v>
      </c>
      <c r="S223" s="21" t="s">
        <v>99</v>
      </c>
      <c r="T223" s="21" t="s">
        <v>99</v>
      </c>
      <c r="W223" t="e">
        <f>INDEX(#REF!,MATCH($E223,#REF!,0))</f>
        <v>#REF!</v>
      </c>
      <c r="X223" t="e">
        <f>INDEX(#REF!,MATCH($E223,#REF!,0))</f>
        <v>#REF!</v>
      </c>
      <c r="Y223" t="e">
        <f>INDEX(#REF!,MATCH($E223,#REF!,0))</f>
        <v>#REF!</v>
      </c>
      <c r="Z223" t="e">
        <f>INDEX(#REF!,MATCH($E223,#REF!,0))</f>
        <v>#REF!</v>
      </c>
      <c r="AA223" t="e">
        <f>INDEX(#REF!,MATCH($E223,#REF!,0))</f>
        <v>#REF!</v>
      </c>
      <c r="AB223" t="e">
        <f>INDEX(#REF!,MATCH($E223,#REF!,0))</f>
        <v>#REF!</v>
      </c>
      <c r="AC223" t="e">
        <f>INDEX(#REF!,MATCH($E223,#REF!,0))</f>
        <v>#REF!</v>
      </c>
      <c r="AD223" t="e">
        <f>INDEX(#REF!,MATCH($E223,#REF!,0))</f>
        <v>#REF!</v>
      </c>
      <c r="AE223" t="e">
        <f t="shared" si="12"/>
        <v>#REF!</v>
      </c>
    </row>
    <row r="224" spans="2:31" x14ac:dyDescent="0.25">
      <c r="B224" s="45" t="s">
        <v>1597</v>
      </c>
      <c r="C224" s="45" t="s">
        <v>449</v>
      </c>
      <c r="D224" s="89" t="s">
        <v>448</v>
      </c>
      <c r="E224" s="89">
        <v>110586</v>
      </c>
      <c r="F224" s="89">
        <v>1023</v>
      </c>
      <c r="G224" s="90">
        <v>10</v>
      </c>
      <c r="H224" s="90">
        <v>2</v>
      </c>
      <c r="I224" s="90" t="s">
        <v>26</v>
      </c>
      <c r="J224" s="90">
        <v>1</v>
      </c>
      <c r="K224" s="90">
        <v>0</v>
      </c>
      <c r="L224" s="91"/>
      <c r="M224" s="92" t="s">
        <v>1242</v>
      </c>
      <c r="N224" s="93"/>
      <c r="P224" s="21"/>
      <c r="Q224" s="12"/>
      <c r="R224">
        <f t="shared" si="13"/>
        <v>1</v>
      </c>
      <c r="S224" s="21" t="s">
        <v>99</v>
      </c>
      <c r="T224" s="21" t="s">
        <v>99</v>
      </c>
      <c r="W224" t="e">
        <f>INDEX(#REF!,MATCH($E224,#REF!,0))</f>
        <v>#REF!</v>
      </c>
      <c r="X224" t="e">
        <f>INDEX(#REF!,MATCH($E224,#REF!,0))</f>
        <v>#REF!</v>
      </c>
      <c r="Y224" t="e">
        <f>INDEX(#REF!,MATCH($E224,#REF!,0))</f>
        <v>#REF!</v>
      </c>
      <c r="Z224" t="e">
        <f>INDEX(#REF!,MATCH($E224,#REF!,0))</f>
        <v>#REF!</v>
      </c>
      <c r="AA224" t="e">
        <f>INDEX(#REF!,MATCH($E224,#REF!,0))</f>
        <v>#REF!</v>
      </c>
      <c r="AB224" t="e">
        <f>INDEX(#REF!,MATCH($E224,#REF!,0))</f>
        <v>#REF!</v>
      </c>
      <c r="AC224" t="e">
        <f>INDEX(#REF!,MATCH($E224,#REF!,0))</f>
        <v>#REF!</v>
      </c>
      <c r="AD224" t="e">
        <f>INDEX(#REF!,MATCH($E224,#REF!,0))</f>
        <v>#REF!</v>
      </c>
      <c r="AE224" t="e">
        <f t="shared" si="12"/>
        <v>#REF!</v>
      </c>
    </row>
    <row r="225" spans="2:31" x14ac:dyDescent="0.25">
      <c r="B225" s="45" t="s">
        <v>1598</v>
      </c>
      <c r="C225" s="45" t="s">
        <v>451</v>
      </c>
      <c r="D225" s="89" t="s">
        <v>450</v>
      </c>
      <c r="E225" s="89">
        <v>110588</v>
      </c>
      <c r="F225" s="89">
        <v>1023</v>
      </c>
      <c r="G225" s="90">
        <v>12</v>
      </c>
      <c r="H225" s="90">
        <v>2</v>
      </c>
      <c r="I225" s="90" t="s">
        <v>210</v>
      </c>
      <c r="J225" s="90">
        <v>100</v>
      </c>
      <c r="K225" s="90">
        <v>0</v>
      </c>
      <c r="L225" s="91"/>
      <c r="M225" s="92" t="s">
        <v>1243</v>
      </c>
      <c r="N225" s="93"/>
      <c r="P225" s="21"/>
      <c r="Q225" s="12"/>
      <c r="R225">
        <f t="shared" si="13"/>
        <v>1</v>
      </c>
      <c r="S225" s="21" t="s">
        <v>99</v>
      </c>
      <c r="T225" s="21" t="s">
        <v>99</v>
      </c>
      <c r="W225" t="e">
        <f>INDEX(#REF!,MATCH($E225,#REF!,0))</f>
        <v>#REF!</v>
      </c>
      <c r="X225" t="e">
        <f>INDEX(#REF!,MATCH($E225,#REF!,0))</f>
        <v>#REF!</v>
      </c>
      <c r="Y225" t="e">
        <f>INDEX(#REF!,MATCH($E225,#REF!,0))</f>
        <v>#REF!</v>
      </c>
      <c r="Z225" t="e">
        <f>INDEX(#REF!,MATCH($E225,#REF!,0))</f>
        <v>#REF!</v>
      </c>
      <c r="AA225" t="e">
        <f>INDEX(#REF!,MATCH($E225,#REF!,0))</f>
        <v>#REF!</v>
      </c>
      <c r="AB225" t="e">
        <f>INDEX(#REF!,MATCH($E225,#REF!,0))</f>
        <v>#REF!</v>
      </c>
      <c r="AC225" t="e">
        <f>INDEX(#REF!,MATCH($E225,#REF!,0))</f>
        <v>#REF!</v>
      </c>
      <c r="AD225" t="e">
        <f>INDEX(#REF!,MATCH($E225,#REF!,0))</f>
        <v>#REF!</v>
      </c>
      <c r="AE225" t="e">
        <f t="shared" si="12"/>
        <v>#REF!</v>
      </c>
    </row>
    <row r="226" spans="2:31" x14ac:dyDescent="0.25">
      <c r="B226" s="45" t="s">
        <v>1599</v>
      </c>
      <c r="C226" s="45" t="s">
        <v>453</v>
      </c>
      <c r="D226" s="89" t="s">
        <v>452</v>
      </c>
      <c r="E226" s="89">
        <v>110590</v>
      </c>
      <c r="F226" s="89">
        <v>1023</v>
      </c>
      <c r="G226" s="90">
        <v>14</v>
      </c>
      <c r="H226" s="90">
        <v>2</v>
      </c>
      <c r="I226" s="90" t="s">
        <v>210</v>
      </c>
      <c r="J226" s="90">
        <v>100</v>
      </c>
      <c r="K226" s="90">
        <v>0</v>
      </c>
      <c r="L226" s="91"/>
      <c r="M226" s="92" t="s">
        <v>1244</v>
      </c>
      <c r="N226" s="93"/>
      <c r="P226" s="21"/>
      <c r="Q226" s="12"/>
      <c r="R226">
        <f t="shared" si="13"/>
        <v>1</v>
      </c>
      <c r="S226" s="21" t="s">
        <v>99</v>
      </c>
      <c r="T226" s="21" t="s">
        <v>99</v>
      </c>
      <c r="W226" t="e">
        <f>INDEX(#REF!,MATCH($E226,#REF!,0))</f>
        <v>#REF!</v>
      </c>
      <c r="X226" t="e">
        <f>INDEX(#REF!,MATCH($E226,#REF!,0))</f>
        <v>#REF!</v>
      </c>
      <c r="Y226" t="e">
        <f>INDEX(#REF!,MATCH($E226,#REF!,0))</f>
        <v>#REF!</v>
      </c>
      <c r="Z226" t="e">
        <f>INDEX(#REF!,MATCH($E226,#REF!,0))</f>
        <v>#REF!</v>
      </c>
      <c r="AA226" t="e">
        <f>INDEX(#REF!,MATCH($E226,#REF!,0))</f>
        <v>#REF!</v>
      </c>
      <c r="AB226" t="e">
        <f>INDEX(#REF!,MATCH($E226,#REF!,0))</f>
        <v>#REF!</v>
      </c>
      <c r="AC226" t="e">
        <f>INDEX(#REF!,MATCH($E226,#REF!,0))</f>
        <v>#REF!</v>
      </c>
      <c r="AD226" t="e">
        <f>INDEX(#REF!,MATCH($E226,#REF!,0))</f>
        <v>#REF!</v>
      </c>
      <c r="AE226" t="e">
        <f t="shared" si="12"/>
        <v>#REF!</v>
      </c>
    </row>
    <row r="227" spans="2:31" x14ac:dyDescent="0.25">
      <c r="B227" s="45" t="s">
        <v>3004</v>
      </c>
      <c r="C227" s="45" t="s">
        <v>3005</v>
      </c>
      <c r="D227" s="89"/>
      <c r="E227" s="89">
        <v>110593</v>
      </c>
      <c r="F227" s="89">
        <v>1023</v>
      </c>
      <c r="G227" s="90">
        <v>17</v>
      </c>
      <c r="H227" s="90">
        <v>2</v>
      </c>
      <c r="I227" s="90" t="s">
        <v>147</v>
      </c>
      <c r="J227" s="90">
        <v>100000</v>
      </c>
      <c r="K227" s="90">
        <v>0</v>
      </c>
      <c r="L227" s="91"/>
      <c r="M227" s="92"/>
      <c r="N227" s="93"/>
      <c r="P227" s="21"/>
      <c r="Q227" s="12" t="s">
        <v>3006</v>
      </c>
      <c r="R227">
        <f t="shared" si="13"/>
        <v>1</v>
      </c>
      <c r="S227" s="21"/>
      <c r="T227" s="21"/>
      <c r="W227" t="e">
        <f>INDEX(#REF!,MATCH($E227,#REF!,0))</f>
        <v>#REF!</v>
      </c>
      <c r="X227" t="e">
        <f>INDEX(#REF!,MATCH($E227,#REF!,0))</f>
        <v>#REF!</v>
      </c>
      <c r="Y227" t="e">
        <f>INDEX(#REF!,MATCH($E227,#REF!,0))</f>
        <v>#REF!</v>
      </c>
      <c r="Z227" t="e">
        <f>INDEX(#REF!,MATCH($E227,#REF!,0))</f>
        <v>#REF!</v>
      </c>
      <c r="AA227" t="e">
        <f>INDEX(#REF!,MATCH($E227,#REF!,0))</f>
        <v>#REF!</v>
      </c>
      <c r="AB227" t="e">
        <f>INDEX(#REF!,MATCH($E227,#REF!,0))</f>
        <v>#REF!</v>
      </c>
      <c r="AC227" t="e">
        <f>INDEX(#REF!,MATCH($E227,#REF!,0))</f>
        <v>#REF!</v>
      </c>
      <c r="AD227" t="e">
        <f>INDEX(#REF!,MATCH($E227,#REF!,0))</f>
        <v>#REF!</v>
      </c>
      <c r="AE227" t="e">
        <f t="shared" si="12"/>
        <v>#REF!</v>
      </c>
    </row>
    <row r="228" spans="2:31" x14ac:dyDescent="0.25">
      <c r="B228" s="45" t="s">
        <v>1600</v>
      </c>
      <c r="C228" s="45" t="s">
        <v>455</v>
      </c>
      <c r="D228" s="89" t="s">
        <v>454</v>
      </c>
      <c r="E228" s="89">
        <v>110601</v>
      </c>
      <c r="F228" s="89">
        <v>1024</v>
      </c>
      <c r="G228" s="90">
        <v>0</v>
      </c>
      <c r="H228" s="90">
        <v>2</v>
      </c>
      <c r="I228" s="90" t="s">
        <v>210</v>
      </c>
      <c r="J228" s="90">
        <v>100</v>
      </c>
      <c r="K228" s="90">
        <v>0</v>
      </c>
      <c r="L228" s="91"/>
      <c r="M228" s="92" t="s">
        <v>1245</v>
      </c>
      <c r="N228" s="93"/>
      <c r="P228" s="21"/>
      <c r="Q228" s="12"/>
      <c r="R228">
        <f t="shared" si="13"/>
        <v>1</v>
      </c>
      <c r="S228" s="21" t="s">
        <v>99</v>
      </c>
      <c r="T228" s="21" t="s">
        <v>99</v>
      </c>
      <c r="W228" t="e">
        <f>INDEX(#REF!,MATCH($E228,#REF!,0))</f>
        <v>#REF!</v>
      </c>
      <c r="X228" t="e">
        <f>INDEX(#REF!,MATCH($E228,#REF!,0))</f>
        <v>#REF!</v>
      </c>
      <c r="Y228" t="e">
        <f>INDEX(#REF!,MATCH($E228,#REF!,0))</f>
        <v>#REF!</v>
      </c>
      <c r="Z228" t="e">
        <f>INDEX(#REF!,MATCH($E228,#REF!,0))</f>
        <v>#REF!</v>
      </c>
      <c r="AA228" t="e">
        <f>INDEX(#REF!,MATCH($E228,#REF!,0))</f>
        <v>#REF!</v>
      </c>
      <c r="AB228" t="e">
        <f>INDEX(#REF!,MATCH($E228,#REF!,0))</f>
        <v>#REF!</v>
      </c>
      <c r="AC228" t="e">
        <f>INDEX(#REF!,MATCH($E228,#REF!,0))</f>
        <v>#REF!</v>
      </c>
      <c r="AD228" t="e">
        <f>INDEX(#REF!,MATCH($E228,#REF!,0))</f>
        <v>#REF!</v>
      </c>
      <c r="AE228" t="e">
        <f t="shared" si="12"/>
        <v>#REF!</v>
      </c>
    </row>
    <row r="229" spans="2:31" ht="45" x14ac:dyDescent="0.25">
      <c r="B229" s="45" t="s">
        <v>1601</v>
      </c>
      <c r="C229" s="45" t="s">
        <v>457</v>
      </c>
      <c r="D229" s="89" t="s">
        <v>456</v>
      </c>
      <c r="E229" s="89">
        <v>110602</v>
      </c>
      <c r="F229" s="89">
        <v>1024</v>
      </c>
      <c r="G229" s="90">
        <v>1</v>
      </c>
      <c r="H229" s="90">
        <v>2</v>
      </c>
      <c r="I229" s="90" t="s">
        <v>210</v>
      </c>
      <c r="J229" s="90">
        <v>100</v>
      </c>
      <c r="K229" s="90">
        <v>0</v>
      </c>
      <c r="L229" s="91"/>
      <c r="M229" s="92" t="s">
        <v>2294</v>
      </c>
      <c r="N229" s="93"/>
      <c r="P229" s="21"/>
      <c r="Q229" s="12"/>
      <c r="R229">
        <f t="shared" si="13"/>
        <v>1</v>
      </c>
      <c r="S229" s="21" t="s">
        <v>99</v>
      </c>
      <c r="T229" s="21" t="s">
        <v>99</v>
      </c>
      <c r="W229" t="e">
        <f>INDEX(#REF!,MATCH($E229,#REF!,0))</f>
        <v>#REF!</v>
      </c>
      <c r="X229" t="e">
        <f>INDEX(#REF!,MATCH($E229,#REF!,0))</f>
        <v>#REF!</v>
      </c>
      <c r="Y229" t="e">
        <f>INDEX(#REF!,MATCH($E229,#REF!,0))</f>
        <v>#REF!</v>
      </c>
      <c r="Z229" t="e">
        <f>INDEX(#REF!,MATCH($E229,#REF!,0))</f>
        <v>#REF!</v>
      </c>
      <c r="AA229" t="e">
        <f>INDEX(#REF!,MATCH($E229,#REF!,0))</f>
        <v>#REF!</v>
      </c>
      <c r="AB229" t="e">
        <f>INDEX(#REF!,MATCH($E229,#REF!,0))</f>
        <v>#REF!</v>
      </c>
      <c r="AC229" t="e">
        <f>INDEX(#REF!,MATCH($E229,#REF!,0))</f>
        <v>#REF!</v>
      </c>
      <c r="AD229" t="e">
        <f>INDEX(#REF!,MATCH($E229,#REF!,0))</f>
        <v>#REF!</v>
      </c>
      <c r="AE229" t="e">
        <f t="shared" si="12"/>
        <v>#REF!</v>
      </c>
    </row>
    <row r="230" spans="2:31" ht="45" x14ac:dyDescent="0.25">
      <c r="B230" s="45" t="s">
        <v>1602</v>
      </c>
      <c r="C230" s="45" t="s">
        <v>459</v>
      </c>
      <c r="D230" s="89" t="s">
        <v>458</v>
      </c>
      <c r="E230" s="89">
        <v>110603</v>
      </c>
      <c r="F230" s="89">
        <v>1024</v>
      </c>
      <c r="G230" s="90">
        <v>2</v>
      </c>
      <c r="H230" s="90">
        <v>2</v>
      </c>
      <c r="I230" s="90" t="s">
        <v>210</v>
      </c>
      <c r="J230" s="90">
        <v>100</v>
      </c>
      <c r="K230" s="90">
        <v>0</v>
      </c>
      <c r="L230" s="91"/>
      <c r="M230" s="92" t="s">
        <v>2295</v>
      </c>
      <c r="N230" s="93"/>
      <c r="P230" s="21"/>
      <c r="Q230" s="12"/>
      <c r="R230">
        <f t="shared" si="13"/>
        <v>1</v>
      </c>
      <c r="S230" s="21" t="s">
        <v>99</v>
      </c>
      <c r="T230" s="21" t="s">
        <v>99</v>
      </c>
      <c r="W230" t="e">
        <f>INDEX(#REF!,MATCH($E230,#REF!,0))</f>
        <v>#REF!</v>
      </c>
      <c r="X230" t="e">
        <f>INDEX(#REF!,MATCH($E230,#REF!,0))</f>
        <v>#REF!</v>
      </c>
      <c r="Y230" t="e">
        <f>INDEX(#REF!,MATCH($E230,#REF!,0))</f>
        <v>#REF!</v>
      </c>
      <c r="Z230" t="e">
        <f>INDEX(#REF!,MATCH($E230,#REF!,0))</f>
        <v>#REF!</v>
      </c>
      <c r="AA230" t="e">
        <f>INDEX(#REF!,MATCH($E230,#REF!,0))</f>
        <v>#REF!</v>
      </c>
      <c r="AB230" t="e">
        <f>INDEX(#REF!,MATCH($E230,#REF!,0))</f>
        <v>#REF!</v>
      </c>
      <c r="AC230" t="e">
        <f>INDEX(#REF!,MATCH($E230,#REF!,0))</f>
        <v>#REF!</v>
      </c>
      <c r="AD230" t="e">
        <f>INDEX(#REF!,MATCH($E230,#REF!,0))</f>
        <v>#REF!</v>
      </c>
      <c r="AE230" t="e">
        <f t="shared" si="12"/>
        <v>#REF!</v>
      </c>
    </row>
    <row r="231" spans="2:31" ht="45" x14ac:dyDescent="0.25">
      <c r="B231" s="45" t="s">
        <v>1603</v>
      </c>
      <c r="C231" s="45" t="s">
        <v>461</v>
      </c>
      <c r="D231" s="89" t="s">
        <v>460</v>
      </c>
      <c r="E231" s="89">
        <v>110606</v>
      </c>
      <c r="F231" s="89">
        <v>1024</v>
      </c>
      <c r="G231" s="90">
        <v>5</v>
      </c>
      <c r="H231" s="90">
        <v>2</v>
      </c>
      <c r="I231" s="90" t="s">
        <v>147</v>
      </c>
      <c r="J231" s="90">
        <v>100000</v>
      </c>
      <c r="K231" s="90">
        <v>0</v>
      </c>
      <c r="L231" s="91"/>
      <c r="M231" s="92" t="s">
        <v>2296</v>
      </c>
      <c r="N231" s="93"/>
      <c r="P231" s="21"/>
      <c r="Q231" s="12"/>
      <c r="R231">
        <f t="shared" si="13"/>
        <v>1</v>
      </c>
      <c r="S231" s="21" t="s">
        <v>99</v>
      </c>
      <c r="T231" s="21" t="s">
        <v>99</v>
      </c>
      <c r="W231" t="e">
        <f>INDEX(#REF!,MATCH($E231,#REF!,0))</f>
        <v>#REF!</v>
      </c>
      <c r="X231" t="e">
        <f>INDEX(#REF!,MATCH($E231,#REF!,0))</f>
        <v>#REF!</v>
      </c>
      <c r="Y231" t="e">
        <f>INDEX(#REF!,MATCH($E231,#REF!,0))</f>
        <v>#REF!</v>
      </c>
      <c r="Z231" t="e">
        <f>INDEX(#REF!,MATCH($E231,#REF!,0))</f>
        <v>#REF!</v>
      </c>
      <c r="AA231" t="e">
        <f>INDEX(#REF!,MATCH($E231,#REF!,0))</f>
        <v>#REF!</v>
      </c>
      <c r="AB231" t="e">
        <f>INDEX(#REF!,MATCH($E231,#REF!,0))</f>
        <v>#REF!</v>
      </c>
      <c r="AC231" t="e">
        <f>INDEX(#REF!,MATCH($E231,#REF!,0))</f>
        <v>#REF!</v>
      </c>
      <c r="AD231" t="e">
        <f>INDEX(#REF!,MATCH($E231,#REF!,0))</f>
        <v>#REF!</v>
      </c>
      <c r="AE231" t="e">
        <f t="shared" si="12"/>
        <v>#REF!</v>
      </c>
    </row>
    <row r="232" spans="2:31" x14ac:dyDescent="0.25">
      <c r="B232" s="45" t="s">
        <v>1604</v>
      </c>
      <c r="C232" s="45" t="s">
        <v>463</v>
      </c>
      <c r="D232" s="89" t="s">
        <v>462</v>
      </c>
      <c r="E232" s="89">
        <v>110609</v>
      </c>
      <c r="F232" s="89">
        <v>1024</v>
      </c>
      <c r="G232" s="90">
        <v>8</v>
      </c>
      <c r="H232" s="90">
        <v>2</v>
      </c>
      <c r="I232" s="90" t="s">
        <v>18</v>
      </c>
      <c r="J232" s="90">
        <v>1</v>
      </c>
      <c r="K232" s="90">
        <v>0</v>
      </c>
      <c r="L232" s="91"/>
      <c r="M232" s="92" t="s">
        <v>1246</v>
      </c>
      <c r="N232" s="93"/>
      <c r="P232" s="21"/>
      <c r="Q232" s="12" t="s">
        <v>2233</v>
      </c>
      <c r="R232">
        <f t="shared" si="13"/>
        <v>1</v>
      </c>
      <c r="S232" s="21" t="s">
        <v>99</v>
      </c>
      <c r="T232" s="21" t="s">
        <v>99</v>
      </c>
      <c r="W232" t="e">
        <f>INDEX(#REF!,MATCH($E232,#REF!,0))</f>
        <v>#REF!</v>
      </c>
      <c r="X232" t="e">
        <f>INDEX(#REF!,MATCH($E232,#REF!,0))</f>
        <v>#REF!</v>
      </c>
      <c r="Y232" t="e">
        <f>INDEX(#REF!,MATCH($E232,#REF!,0))</f>
        <v>#REF!</v>
      </c>
      <c r="Z232" t="e">
        <f>INDEX(#REF!,MATCH($E232,#REF!,0))</f>
        <v>#REF!</v>
      </c>
      <c r="AA232" t="e">
        <f>INDEX(#REF!,MATCH($E232,#REF!,0))</f>
        <v>#REF!</v>
      </c>
      <c r="AB232" t="e">
        <f>INDEX(#REF!,MATCH($E232,#REF!,0))</f>
        <v>#REF!</v>
      </c>
      <c r="AC232" t="e">
        <f>INDEX(#REF!,MATCH($E232,#REF!,0))</f>
        <v>#REF!</v>
      </c>
      <c r="AD232" t="e">
        <f>INDEX(#REF!,MATCH($E232,#REF!,0))</f>
        <v>#REF!</v>
      </c>
      <c r="AE232" t="e">
        <f t="shared" si="12"/>
        <v>#REF!</v>
      </c>
    </row>
    <row r="233" spans="2:31" ht="45" x14ac:dyDescent="0.25">
      <c r="B233" s="45" t="s">
        <v>1605</v>
      </c>
      <c r="C233" s="45" t="s">
        <v>465</v>
      </c>
      <c r="D233" s="89" t="s">
        <v>464</v>
      </c>
      <c r="E233" s="89">
        <v>110610</v>
      </c>
      <c r="F233" s="89">
        <v>1024</v>
      </c>
      <c r="G233" s="90">
        <v>9</v>
      </c>
      <c r="H233" s="90">
        <v>2</v>
      </c>
      <c r="I233" s="90" t="s">
        <v>210</v>
      </c>
      <c r="J233" s="90">
        <v>100</v>
      </c>
      <c r="K233" s="90">
        <v>0</v>
      </c>
      <c r="L233" s="91"/>
      <c r="M233" s="92" t="s">
        <v>2297</v>
      </c>
      <c r="N233" s="93"/>
      <c r="P233" s="21"/>
      <c r="Q233" s="12"/>
      <c r="R233">
        <f t="shared" si="13"/>
        <v>1</v>
      </c>
      <c r="S233" s="21" t="s">
        <v>99</v>
      </c>
      <c r="T233" s="21" t="s">
        <v>99</v>
      </c>
      <c r="W233" t="e">
        <f>INDEX(#REF!,MATCH($E233,#REF!,0))</f>
        <v>#REF!</v>
      </c>
      <c r="X233" t="e">
        <f>INDEX(#REF!,MATCH($E233,#REF!,0))</f>
        <v>#REF!</v>
      </c>
      <c r="Y233" t="e">
        <f>INDEX(#REF!,MATCH($E233,#REF!,0))</f>
        <v>#REF!</v>
      </c>
      <c r="Z233" t="e">
        <f>INDEX(#REF!,MATCH($E233,#REF!,0))</f>
        <v>#REF!</v>
      </c>
      <c r="AA233" t="e">
        <f>INDEX(#REF!,MATCH($E233,#REF!,0))</f>
        <v>#REF!</v>
      </c>
      <c r="AB233" t="e">
        <f>INDEX(#REF!,MATCH($E233,#REF!,0))</f>
        <v>#REF!</v>
      </c>
      <c r="AC233" t="e">
        <f>INDEX(#REF!,MATCH($E233,#REF!,0))</f>
        <v>#REF!</v>
      </c>
      <c r="AD233" t="e">
        <f>INDEX(#REF!,MATCH($E233,#REF!,0))</f>
        <v>#REF!</v>
      </c>
      <c r="AE233" t="e">
        <f t="shared" si="12"/>
        <v>#REF!</v>
      </c>
    </row>
    <row r="234" spans="2:31" ht="45" x14ac:dyDescent="0.25">
      <c r="B234" s="45" t="s">
        <v>1606</v>
      </c>
      <c r="C234" s="45" t="s">
        <v>467</v>
      </c>
      <c r="D234" s="89" t="s">
        <v>466</v>
      </c>
      <c r="E234" s="89">
        <v>110612</v>
      </c>
      <c r="F234" s="89">
        <v>1024</v>
      </c>
      <c r="G234" s="90">
        <v>11</v>
      </c>
      <c r="H234" s="90">
        <v>2</v>
      </c>
      <c r="I234" s="90" t="s">
        <v>210</v>
      </c>
      <c r="J234" s="90">
        <v>100</v>
      </c>
      <c r="K234" s="90">
        <v>0</v>
      </c>
      <c r="L234" s="91"/>
      <c r="M234" s="92" t="s">
        <v>2298</v>
      </c>
      <c r="N234" s="93"/>
      <c r="P234" s="21"/>
      <c r="Q234" s="12"/>
      <c r="R234">
        <f t="shared" si="13"/>
        <v>1</v>
      </c>
      <c r="S234" s="21" t="s">
        <v>99</v>
      </c>
      <c r="T234" s="21" t="s">
        <v>99</v>
      </c>
      <c r="W234" t="e">
        <f>INDEX(#REF!,MATCH($E234,#REF!,0))</f>
        <v>#REF!</v>
      </c>
      <c r="X234" t="e">
        <f>INDEX(#REF!,MATCH($E234,#REF!,0))</f>
        <v>#REF!</v>
      </c>
      <c r="Y234" t="e">
        <f>INDEX(#REF!,MATCH($E234,#REF!,0))</f>
        <v>#REF!</v>
      </c>
      <c r="Z234" t="e">
        <f>INDEX(#REF!,MATCH($E234,#REF!,0))</f>
        <v>#REF!</v>
      </c>
      <c r="AA234" t="e">
        <f>INDEX(#REF!,MATCH($E234,#REF!,0))</f>
        <v>#REF!</v>
      </c>
      <c r="AB234" t="e">
        <f>INDEX(#REF!,MATCH($E234,#REF!,0))</f>
        <v>#REF!</v>
      </c>
      <c r="AC234" t="e">
        <f>INDEX(#REF!,MATCH($E234,#REF!,0))</f>
        <v>#REF!</v>
      </c>
      <c r="AD234" t="e">
        <f>INDEX(#REF!,MATCH($E234,#REF!,0))</f>
        <v>#REF!</v>
      </c>
      <c r="AE234" t="e">
        <f t="shared" si="12"/>
        <v>#REF!</v>
      </c>
    </row>
    <row r="235" spans="2:31" ht="45" x14ac:dyDescent="0.25">
      <c r="B235" s="45" t="s">
        <v>1607</v>
      </c>
      <c r="C235" s="45" t="s">
        <v>469</v>
      </c>
      <c r="D235" s="89" t="s">
        <v>468</v>
      </c>
      <c r="E235" s="89">
        <v>110613</v>
      </c>
      <c r="F235" s="89">
        <v>1024</v>
      </c>
      <c r="G235" s="90">
        <v>12</v>
      </c>
      <c r="H235" s="90">
        <v>2</v>
      </c>
      <c r="I235" s="90" t="s">
        <v>210</v>
      </c>
      <c r="J235" s="90">
        <v>100</v>
      </c>
      <c r="K235" s="90">
        <v>0</v>
      </c>
      <c r="L235" s="91"/>
      <c r="M235" s="92" t="s">
        <v>2299</v>
      </c>
      <c r="N235" s="93"/>
      <c r="P235" s="21"/>
      <c r="Q235" s="12"/>
      <c r="R235">
        <f t="shared" si="13"/>
        <v>1</v>
      </c>
      <c r="S235" s="21" t="s">
        <v>99</v>
      </c>
      <c r="T235" s="21" t="s">
        <v>99</v>
      </c>
      <c r="W235" t="e">
        <f>INDEX(#REF!,MATCH($E235,#REF!,0))</f>
        <v>#REF!</v>
      </c>
      <c r="X235" t="e">
        <f>INDEX(#REF!,MATCH($E235,#REF!,0))</f>
        <v>#REF!</v>
      </c>
      <c r="Y235" t="e">
        <f>INDEX(#REF!,MATCH($E235,#REF!,0))</f>
        <v>#REF!</v>
      </c>
      <c r="Z235" t="e">
        <f>INDEX(#REF!,MATCH($E235,#REF!,0))</f>
        <v>#REF!</v>
      </c>
      <c r="AA235" t="e">
        <f>INDEX(#REF!,MATCH($E235,#REF!,0))</f>
        <v>#REF!</v>
      </c>
      <c r="AB235" t="e">
        <f>INDEX(#REF!,MATCH($E235,#REF!,0))</f>
        <v>#REF!</v>
      </c>
      <c r="AC235" t="e">
        <f>INDEX(#REF!,MATCH($E235,#REF!,0))</f>
        <v>#REF!</v>
      </c>
      <c r="AD235" t="e">
        <f>INDEX(#REF!,MATCH($E235,#REF!,0))</f>
        <v>#REF!</v>
      </c>
      <c r="AE235" t="e">
        <f t="shared" si="12"/>
        <v>#REF!</v>
      </c>
    </row>
    <row r="236" spans="2:31" ht="45" x14ac:dyDescent="0.25">
      <c r="B236" s="45" t="s">
        <v>1608</v>
      </c>
      <c r="C236" s="45" t="s">
        <v>471</v>
      </c>
      <c r="D236" s="89" t="s">
        <v>470</v>
      </c>
      <c r="E236" s="89">
        <v>110614</v>
      </c>
      <c r="F236" s="89">
        <v>1024</v>
      </c>
      <c r="G236" s="90">
        <v>13</v>
      </c>
      <c r="H236" s="90">
        <v>2</v>
      </c>
      <c r="I236" s="90" t="s">
        <v>210</v>
      </c>
      <c r="J236" s="90">
        <v>100</v>
      </c>
      <c r="K236" s="90">
        <v>0</v>
      </c>
      <c r="L236" s="91"/>
      <c r="M236" s="92" t="s">
        <v>2300</v>
      </c>
      <c r="N236" s="93"/>
      <c r="P236" s="21"/>
      <c r="Q236" s="12"/>
      <c r="R236">
        <f t="shared" si="13"/>
        <v>1</v>
      </c>
      <c r="S236" s="21" t="s">
        <v>99</v>
      </c>
      <c r="T236" s="21" t="s">
        <v>99</v>
      </c>
      <c r="W236" t="e">
        <f>INDEX(#REF!,MATCH($E236,#REF!,0))</f>
        <v>#REF!</v>
      </c>
      <c r="X236" t="e">
        <f>INDEX(#REF!,MATCH($E236,#REF!,0))</f>
        <v>#REF!</v>
      </c>
      <c r="Y236" t="e">
        <f>INDEX(#REF!,MATCH($E236,#REF!,0))</f>
        <v>#REF!</v>
      </c>
      <c r="Z236" t="e">
        <f>INDEX(#REF!,MATCH($E236,#REF!,0))</f>
        <v>#REF!</v>
      </c>
      <c r="AA236" t="e">
        <f>INDEX(#REF!,MATCH($E236,#REF!,0))</f>
        <v>#REF!</v>
      </c>
      <c r="AB236" t="e">
        <f>INDEX(#REF!,MATCH($E236,#REF!,0))</f>
        <v>#REF!</v>
      </c>
      <c r="AC236" t="e">
        <f>INDEX(#REF!,MATCH($E236,#REF!,0))</f>
        <v>#REF!</v>
      </c>
      <c r="AD236" t="e">
        <f>INDEX(#REF!,MATCH($E236,#REF!,0))</f>
        <v>#REF!</v>
      </c>
      <c r="AE236" t="e">
        <f t="shared" si="12"/>
        <v>#REF!</v>
      </c>
    </row>
    <row r="237" spans="2:31" ht="45" x14ac:dyDescent="0.25">
      <c r="B237" s="45" t="s">
        <v>1609</v>
      </c>
      <c r="C237" s="45" t="s">
        <v>473</v>
      </c>
      <c r="D237" s="89" t="s">
        <v>472</v>
      </c>
      <c r="E237" s="89">
        <v>110615</v>
      </c>
      <c r="F237" s="89">
        <v>1024</v>
      </c>
      <c r="G237" s="90">
        <v>14</v>
      </c>
      <c r="H237" s="90">
        <v>2</v>
      </c>
      <c r="I237" s="90" t="s">
        <v>210</v>
      </c>
      <c r="J237" s="90">
        <v>100</v>
      </c>
      <c r="K237" s="90">
        <v>0</v>
      </c>
      <c r="L237" s="91"/>
      <c r="M237" s="92" t="s">
        <v>2301</v>
      </c>
      <c r="N237" s="93"/>
      <c r="P237" s="21"/>
      <c r="Q237" s="12"/>
      <c r="R237">
        <f t="shared" si="13"/>
        <v>1</v>
      </c>
      <c r="S237" s="21" t="s">
        <v>99</v>
      </c>
      <c r="T237" s="21" t="s">
        <v>99</v>
      </c>
      <c r="W237" t="e">
        <f>INDEX(#REF!,MATCH($E237,#REF!,0))</f>
        <v>#REF!</v>
      </c>
      <c r="X237" t="e">
        <f>INDEX(#REF!,MATCH($E237,#REF!,0))</f>
        <v>#REF!</v>
      </c>
      <c r="Y237" t="e">
        <f>INDEX(#REF!,MATCH($E237,#REF!,0))</f>
        <v>#REF!</v>
      </c>
      <c r="Z237" t="e">
        <f>INDEX(#REF!,MATCH($E237,#REF!,0))</f>
        <v>#REF!</v>
      </c>
      <c r="AA237" t="e">
        <f>INDEX(#REF!,MATCH($E237,#REF!,0))</f>
        <v>#REF!</v>
      </c>
      <c r="AB237" t="e">
        <f>INDEX(#REF!,MATCH($E237,#REF!,0))</f>
        <v>#REF!</v>
      </c>
      <c r="AC237" t="e">
        <f>INDEX(#REF!,MATCH($E237,#REF!,0))</f>
        <v>#REF!</v>
      </c>
      <c r="AD237" t="e">
        <f>INDEX(#REF!,MATCH($E237,#REF!,0))</f>
        <v>#REF!</v>
      </c>
      <c r="AE237" t="e">
        <f t="shared" si="12"/>
        <v>#REF!</v>
      </c>
    </row>
    <row r="238" spans="2:31" x14ac:dyDescent="0.25">
      <c r="B238" s="89" t="s">
        <v>3546</v>
      </c>
      <c r="C238" s="45" t="s">
        <v>475</v>
      </c>
      <c r="D238" s="89" t="s">
        <v>474</v>
      </c>
      <c r="E238" s="89">
        <v>110618</v>
      </c>
      <c r="F238" s="89">
        <v>1024</v>
      </c>
      <c r="G238" s="90">
        <v>17</v>
      </c>
      <c r="H238" s="90">
        <v>2</v>
      </c>
      <c r="I238" s="90" t="s">
        <v>210</v>
      </c>
      <c r="J238" s="90">
        <v>100</v>
      </c>
      <c r="K238" s="90">
        <v>0</v>
      </c>
      <c r="L238" s="91"/>
      <c r="M238" s="92" t="s">
        <v>1247</v>
      </c>
      <c r="N238" s="93"/>
      <c r="P238" s="21"/>
      <c r="Q238" s="12"/>
      <c r="R238">
        <f t="shared" si="13"/>
        <v>1</v>
      </c>
      <c r="S238" s="21" t="s">
        <v>99</v>
      </c>
      <c r="T238" s="21" t="s">
        <v>99</v>
      </c>
      <c r="W238" t="e">
        <f>INDEX(#REF!,MATCH($E238,#REF!,0))</f>
        <v>#REF!</v>
      </c>
      <c r="X238" t="e">
        <f>INDEX(#REF!,MATCH($E238,#REF!,0))</f>
        <v>#REF!</v>
      </c>
      <c r="Y238" t="e">
        <f>INDEX(#REF!,MATCH($E238,#REF!,0))</f>
        <v>#REF!</v>
      </c>
      <c r="Z238" t="e">
        <f>INDEX(#REF!,MATCH($E238,#REF!,0))</f>
        <v>#REF!</v>
      </c>
      <c r="AA238" t="e">
        <f>INDEX(#REF!,MATCH($E238,#REF!,0))</f>
        <v>#REF!</v>
      </c>
      <c r="AB238" t="e">
        <f>INDEX(#REF!,MATCH($E238,#REF!,0))</f>
        <v>#REF!</v>
      </c>
      <c r="AC238" t="e">
        <f>INDEX(#REF!,MATCH($E238,#REF!,0))</f>
        <v>#REF!</v>
      </c>
      <c r="AD238" t="e">
        <f>INDEX(#REF!,MATCH($E238,#REF!,0))</f>
        <v>#REF!</v>
      </c>
      <c r="AE238" t="e">
        <f t="shared" si="12"/>
        <v>#REF!</v>
      </c>
    </row>
    <row r="239" spans="2:31" ht="45" x14ac:dyDescent="0.25">
      <c r="B239" s="89" t="s">
        <v>3547</v>
      </c>
      <c r="C239" s="45" t="s">
        <v>477</v>
      </c>
      <c r="D239" s="89" t="s">
        <v>476</v>
      </c>
      <c r="E239" s="89">
        <v>110619</v>
      </c>
      <c r="F239" s="89">
        <v>1024</v>
      </c>
      <c r="G239" s="90">
        <v>18</v>
      </c>
      <c r="H239" s="90">
        <v>2</v>
      </c>
      <c r="I239" s="90" t="s">
        <v>210</v>
      </c>
      <c r="J239" s="90">
        <v>100</v>
      </c>
      <c r="K239" s="90">
        <v>0</v>
      </c>
      <c r="L239" s="91"/>
      <c r="M239" s="92" t="s">
        <v>2302</v>
      </c>
      <c r="N239" s="93"/>
      <c r="P239" s="21"/>
      <c r="Q239" s="12"/>
      <c r="R239">
        <f t="shared" si="13"/>
        <v>1</v>
      </c>
      <c r="S239" s="21" t="s">
        <v>99</v>
      </c>
      <c r="T239" s="21" t="s">
        <v>99</v>
      </c>
      <c r="W239" t="e">
        <f>INDEX(#REF!,MATCH($E239,#REF!,0))</f>
        <v>#REF!</v>
      </c>
      <c r="X239" t="e">
        <f>INDEX(#REF!,MATCH($E239,#REF!,0))</f>
        <v>#REF!</v>
      </c>
      <c r="Y239" t="e">
        <f>INDEX(#REF!,MATCH($E239,#REF!,0))</f>
        <v>#REF!</v>
      </c>
      <c r="Z239" t="e">
        <f>INDEX(#REF!,MATCH($E239,#REF!,0))</f>
        <v>#REF!</v>
      </c>
      <c r="AA239" t="e">
        <f>INDEX(#REF!,MATCH($E239,#REF!,0))</f>
        <v>#REF!</v>
      </c>
      <c r="AB239" t="e">
        <f>INDEX(#REF!,MATCH($E239,#REF!,0))</f>
        <v>#REF!</v>
      </c>
      <c r="AC239" t="e">
        <f>INDEX(#REF!,MATCH($E239,#REF!,0))</f>
        <v>#REF!</v>
      </c>
      <c r="AD239" t="e">
        <f>INDEX(#REF!,MATCH($E239,#REF!,0))</f>
        <v>#REF!</v>
      </c>
      <c r="AE239" t="e">
        <f t="shared" si="12"/>
        <v>#REF!</v>
      </c>
    </row>
    <row r="240" spans="2:31" ht="45" x14ac:dyDescent="0.25">
      <c r="B240" s="89" t="s">
        <v>3548</v>
      </c>
      <c r="C240" s="45" t="s">
        <v>479</v>
      </c>
      <c r="D240" s="89" t="s">
        <v>478</v>
      </c>
      <c r="E240" s="89">
        <v>110624</v>
      </c>
      <c r="F240" s="89">
        <v>1024</v>
      </c>
      <c r="G240" s="90">
        <v>23</v>
      </c>
      <c r="H240" s="90">
        <v>2</v>
      </c>
      <c r="I240" s="90" t="s">
        <v>210</v>
      </c>
      <c r="J240" s="90">
        <v>100</v>
      </c>
      <c r="K240" s="90">
        <v>0</v>
      </c>
      <c r="L240" s="91"/>
      <c r="M240" s="92" t="s">
        <v>2303</v>
      </c>
      <c r="N240" s="93"/>
      <c r="P240" s="21"/>
      <c r="Q240" s="12"/>
      <c r="R240">
        <f t="shared" si="13"/>
        <v>1</v>
      </c>
      <c r="S240" s="21" t="s">
        <v>99</v>
      </c>
      <c r="T240" s="21" t="s">
        <v>99</v>
      </c>
      <c r="W240" t="e">
        <f>INDEX(#REF!,MATCH($E240,#REF!,0))</f>
        <v>#REF!</v>
      </c>
      <c r="X240" t="e">
        <f>INDEX(#REF!,MATCH($E240,#REF!,0))</f>
        <v>#REF!</v>
      </c>
      <c r="Y240" t="e">
        <f>INDEX(#REF!,MATCH($E240,#REF!,0))</f>
        <v>#REF!</v>
      </c>
      <c r="Z240" t="e">
        <f>INDEX(#REF!,MATCH($E240,#REF!,0))</f>
        <v>#REF!</v>
      </c>
      <c r="AA240" t="e">
        <f>INDEX(#REF!,MATCH($E240,#REF!,0))</f>
        <v>#REF!</v>
      </c>
      <c r="AB240" t="e">
        <f>INDEX(#REF!,MATCH($E240,#REF!,0))</f>
        <v>#REF!</v>
      </c>
      <c r="AC240" t="e">
        <f>INDEX(#REF!,MATCH($E240,#REF!,0))</f>
        <v>#REF!</v>
      </c>
      <c r="AD240" t="e">
        <f>INDEX(#REF!,MATCH($E240,#REF!,0))</f>
        <v>#REF!</v>
      </c>
      <c r="AE240" t="e">
        <f t="shared" si="12"/>
        <v>#REF!</v>
      </c>
    </row>
    <row r="241" spans="2:31" ht="45" x14ac:dyDescent="0.25">
      <c r="B241" s="45" t="s">
        <v>1610</v>
      </c>
      <c r="C241" s="45" t="s">
        <v>481</v>
      </c>
      <c r="D241" s="89" t="s">
        <v>480</v>
      </c>
      <c r="E241" s="89">
        <v>110625</v>
      </c>
      <c r="F241" s="89">
        <v>1024</v>
      </c>
      <c r="G241" s="90">
        <v>24</v>
      </c>
      <c r="H241" s="90">
        <v>2</v>
      </c>
      <c r="I241" s="90" t="s">
        <v>210</v>
      </c>
      <c r="J241" s="90">
        <v>100</v>
      </c>
      <c r="K241" s="90">
        <v>0</v>
      </c>
      <c r="L241" s="91"/>
      <c r="M241" s="92" t="s">
        <v>2304</v>
      </c>
      <c r="N241" s="93"/>
      <c r="P241" s="21"/>
      <c r="Q241" s="12"/>
      <c r="R241">
        <f t="shared" si="13"/>
        <v>1</v>
      </c>
      <c r="S241" s="21" t="s">
        <v>99</v>
      </c>
      <c r="T241" s="21" t="s">
        <v>99</v>
      </c>
      <c r="W241" t="e">
        <f>INDEX(#REF!,MATCH($E241,#REF!,0))</f>
        <v>#REF!</v>
      </c>
      <c r="X241" t="e">
        <f>INDEX(#REF!,MATCH($E241,#REF!,0))</f>
        <v>#REF!</v>
      </c>
      <c r="Y241" t="e">
        <f>INDEX(#REF!,MATCH($E241,#REF!,0))</f>
        <v>#REF!</v>
      </c>
      <c r="Z241" t="e">
        <f>INDEX(#REF!,MATCH($E241,#REF!,0))</f>
        <v>#REF!</v>
      </c>
      <c r="AA241" t="e">
        <f>INDEX(#REF!,MATCH($E241,#REF!,0))</f>
        <v>#REF!</v>
      </c>
      <c r="AB241" t="e">
        <f>INDEX(#REF!,MATCH($E241,#REF!,0))</f>
        <v>#REF!</v>
      </c>
      <c r="AC241" t="e">
        <f>INDEX(#REF!,MATCH($E241,#REF!,0))</f>
        <v>#REF!</v>
      </c>
      <c r="AD241" t="e">
        <f>INDEX(#REF!,MATCH($E241,#REF!,0))</f>
        <v>#REF!</v>
      </c>
      <c r="AE241" t="e">
        <f t="shared" si="12"/>
        <v>#REF!</v>
      </c>
    </row>
    <row r="242" spans="2:31" x14ac:dyDescent="0.25">
      <c r="B242" s="45" t="s">
        <v>482</v>
      </c>
      <c r="C242" s="45" t="s">
        <v>483</v>
      </c>
      <c r="D242" s="89" t="s">
        <v>482</v>
      </c>
      <c r="E242" s="89">
        <v>110629</v>
      </c>
      <c r="F242" s="89">
        <v>1025</v>
      </c>
      <c r="G242" s="90">
        <v>3</v>
      </c>
      <c r="H242" s="90">
        <v>2</v>
      </c>
      <c r="I242" s="90" t="s">
        <v>18</v>
      </c>
      <c r="J242" s="90">
        <v>1</v>
      </c>
      <c r="K242" s="90">
        <v>0</v>
      </c>
      <c r="L242" s="91"/>
      <c r="M242" s="92" t="s">
        <v>1248</v>
      </c>
      <c r="N242" s="93"/>
      <c r="P242" s="21"/>
      <c r="Q242" s="12"/>
      <c r="R242">
        <f t="shared" si="13"/>
        <v>1</v>
      </c>
      <c r="S242" s="21" t="s">
        <v>99</v>
      </c>
      <c r="T242" s="21">
        <v>376851</v>
      </c>
      <c r="W242" t="e">
        <f>INDEX(#REF!,MATCH($E242,#REF!,0))</f>
        <v>#REF!</v>
      </c>
      <c r="X242" t="e">
        <f>INDEX(#REF!,MATCH($E242,#REF!,0))</f>
        <v>#REF!</v>
      </c>
      <c r="Y242" t="e">
        <f>INDEX(#REF!,MATCH($E242,#REF!,0))</f>
        <v>#REF!</v>
      </c>
      <c r="Z242" t="e">
        <f>INDEX(#REF!,MATCH($E242,#REF!,0))</f>
        <v>#REF!</v>
      </c>
      <c r="AA242" t="e">
        <f>INDEX(#REF!,MATCH($E242,#REF!,0))</f>
        <v>#REF!</v>
      </c>
      <c r="AB242" t="e">
        <f>INDEX(#REF!,MATCH($E242,#REF!,0))</f>
        <v>#REF!</v>
      </c>
      <c r="AC242" t="e">
        <f>INDEX(#REF!,MATCH($E242,#REF!,0))</f>
        <v>#REF!</v>
      </c>
      <c r="AD242" t="e">
        <f>INDEX(#REF!,MATCH($E242,#REF!,0))</f>
        <v>#REF!</v>
      </c>
      <c r="AE242" t="e">
        <f t="shared" si="12"/>
        <v>#REF!</v>
      </c>
    </row>
    <row r="243" spans="2:31" x14ac:dyDescent="0.25">
      <c r="B243" s="45" t="s">
        <v>1611</v>
      </c>
      <c r="C243" s="45" t="s">
        <v>484</v>
      </c>
      <c r="D243" s="89" t="s">
        <v>1121</v>
      </c>
      <c r="E243" s="89">
        <v>110635</v>
      </c>
      <c r="F243" s="89">
        <v>1025</v>
      </c>
      <c r="G243" s="90">
        <v>9</v>
      </c>
      <c r="H243" s="90">
        <v>2</v>
      </c>
      <c r="I243" s="90" t="s">
        <v>154</v>
      </c>
      <c r="J243" s="90">
        <v>100</v>
      </c>
      <c r="K243" s="90">
        <v>0</v>
      </c>
      <c r="L243" s="91"/>
      <c r="M243" s="92" t="s">
        <v>1251</v>
      </c>
      <c r="N243" s="93"/>
      <c r="P243" s="21"/>
      <c r="Q243" s="12"/>
      <c r="R243">
        <f t="shared" si="13"/>
        <v>1</v>
      </c>
      <c r="S243" s="21" t="s">
        <v>99</v>
      </c>
      <c r="T243" s="21">
        <v>398703</v>
      </c>
      <c r="W243" t="e">
        <f>INDEX(#REF!,MATCH($E243,#REF!,0))</f>
        <v>#REF!</v>
      </c>
      <c r="X243" t="e">
        <f>INDEX(#REF!,MATCH($E243,#REF!,0))</f>
        <v>#REF!</v>
      </c>
      <c r="Y243" t="e">
        <f>INDEX(#REF!,MATCH($E243,#REF!,0))</f>
        <v>#REF!</v>
      </c>
      <c r="Z243" t="e">
        <f>INDEX(#REF!,MATCH($E243,#REF!,0))</f>
        <v>#REF!</v>
      </c>
      <c r="AA243" t="e">
        <f>INDEX(#REF!,MATCH($E243,#REF!,0))</f>
        <v>#REF!</v>
      </c>
      <c r="AB243" t="e">
        <f>INDEX(#REF!,MATCH($E243,#REF!,0))</f>
        <v>#REF!</v>
      </c>
      <c r="AC243" t="e">
        <f>INDEX(#REF!,MATCH($E243,#REF!,0))</f>
        <v>#REF!</v>
      </c>
      <c r="AD243" t="e">
        <f>INDEX(#REF!,MATCH($E243,#REF!,0))</f>
        <v>#REF!</v>
      </c>
      <c r="AE243" t="e">
        <f t="shared" si="12"/>
        <v>#REF!</v>
      </c>
    </row>
    <row r="244" spans="2:31" x14ac:dyDescent="0.25">
      <c r="B244" s="45" t="s">
        <v>1612</v>
      </c>
      <c r="C244" s="45" t="s">
        <v>485</v>
      </c>
      <c r="D244" s="89" t="s">
        <v>1122</v>
      </c>
      <c r="E244" s="89">
        <v>110636</v>
      </c>
      <c r="F244" s="89">
        <v>1025</v>
      </c>
      <c r="G244" s="90">
        <v>10</v>
      </c>
      <c r="H244" s="90">
        <v>2</v>
      </c>
      <c r="I244" s="90" t="s">
        <v>18</v>
      </c>
      <c r="J244" s="90">
        <v>1</v>
      </c>
      <c r="K244" s="90">
        <v>0</v>
      </c>
      <c r="L244" s="91"/>
      <c r="M244" s="92" t="s">
        <v>1252</v>
      </c>
      <c r="N244" s="93"/>
      <c r="P244" s="21"/>
      <c r="Q244" s="12"/>
      <c r="R244">
        <f t="shared" si="13"/>
        <v>1</v>
      </c>
      <c r="S244" s="21" t="s">
        <v>99</v>
      </c>
      <c r="T244" s="21" t="s">
        <v>99</v>
      </c>
      <c r="W244" t="e">
        <f>INDEX(#REF!,MATCH($E244,#REF!,0))</f>
        <v>#REF!</v>
      </c>
      <c r="X244" t="e">
        <f>INDEX(#REF!,MATCH($E244,#REF!,0))</f>
        <v>#REF!</v>
      </c>
      <c r="Y244" t="e">
        <f>INDEX(#REF!,MATCH($E244,#REF!,0))</f>
        <v>#REF!</v>
      </c>
      <c r="Z244" t="e">
        <f>INDEX(#REF!,MATCH($E244,#REF!,0))</f>
        <v>#REF!</v>
      </c>
      <c r="AA244" t="e">
        <f>INDEX(#REF!,MATCH($E244,#REF!,0))</f>
        <v>#REF!</v>
      </c>
      <c r="AB244" t="e">
        <f>INDEX(#REF!,MATCH($E244,#REF!,0))</f>
        <v>#REF!</v>
      </c>
      <c r="AC244" t="e">
        <f>INDEX(#REF!,MATCH($E244,#REF!,0))</f>
        <v>#REF!</v>
      </c>
      <c r="AD244" t="e">
        <f>INDEX(#REF!,MATCH($E244,#REF!,0))</f>
        <v>#REF!</v>
      </c>
      <c r="AE244" t="e">
        <f t="shared" si="12"/>
        <v>#REF!</v>
      </c>
    </row>
    <row r="245" spans="2:31" ht="45" x14ac:dyDescent="0.25">
      <c r="B245" s="45" t="s">
        <v>1613</v>
      </c>
      <c r="C245" s="45" t="s">
        <v>486</v>
      </c>
      <c r="D245" s="89" t="s">
        <v>1123</v>
      </c>
      <c r="E245" s="89">
        <v>110642</v>
      </c>
      <c r="F245" s="89">
        <v>1025</v>
      </c>
      <c r="G245" s="90">
        <v>16</v>
      </c>
      <c r="H245" s="90">
        <v>2</v>
      </c>
      <c r="I245" s="90" t="s">
        <v>154</v>
      </c>
      <c r="J245" s="90">
        <v>100</v>
      </c>
      <c r="K245" s="90">
        <v>0</v>
      </c>
      <c r="L245" s="91"/>
      <c r="M245" s="92" t="s">
        <v>2305</v>
      </c>
      <c r="N245" s="93"/>
      <c r="P245" s="21"/>
      <c r="Q245" s="12"/>
      <c r="R245">
        <f t="shared" si="13"/>
        <v>1</v>
      </c>
      <c r="S245" s="21" t="s">
        <v>99</v>
      </c>
      <c r="T245" s="21">
        <v>398703</v>
      </c>
      <c r="W245" t="e">
        <f>INDEX(#REF!,MATCH($E245,#REF!,0))</f>
        <v>#REF!</v>
      </c>
      <c r="X245" t="e">
        <f>INDEX(#REF!,MATCH($E245,#REF!,0))</f>
        <v>#REF!</v>
      </c>
      <c r="Y245" t="e">
        <f>INDEX(#REF!,MATCH($E245,#REF!,0))</f>
        <v>#REF!</v>
      </c>
      <c r="Z245" t="e">
        <f>INDEX(#REF!,MATCH($E245,#REF!,0))</f>
        <v>#REF!</v>
      </c>
      <c r="AA245" t="e">
        <f>INDEX(#REF!,MATCH($E245,#REF!,0))</f>
        <v>#REF!</v>
      </c>
      <c r="AB245" t="e">
        <f>INDEX(#REF!,MATCH($E245,#REF!,0))</f>
        <v>#REF!</v>
      </c>
      <c r="AC245" t="e">
        <f>INDEX(#REF!,MATCH($E245,#REF!,0))</f>
        <v>#REF!</v>
      </c>
      <c r="AD245" t="e">
        <f>INDEX(#REF!,MATCH($E245,#REF!,0))</f>
        <v>#REF!</v>
      </c>
      <c r="AE245" t="e">
        <f t="shared" si="12"/>
        <v>#REF!</v>
      </c>
    </row>
    <row r="246" spans="2:31" ht="45" x14ac:dyDescent="0.25">
      <c r="B246" s="45" t="s">
        <v>1614</v>
      </c>
      <c r="C246" s="45" t="s">
        <v>487</v>
      </c>
      <c r="D246" s="89" t="s">
        <v>1124</v>
      </c>
      <c r="E246" s="89">
        <v>110646</v>
      </c>
      <c r="F246" s="89">
        <v>1025</v>
      </c>
      <c r="G246" s="90">
        <v>20</v>
      </c>
      <c r="H246" s="90">
        <v>2</v>
      </c>
      <c r="I246" s="90" t="s">
        <v>147</v>
      </c>
      <c r="J246" s="90">
        <v>100000</v>
      </c>
      <c r="K246" s="90">
        <v>0</v>
      </c>
      <c r="L246" s="91"/>
      <c r="M246" s="92" t="s">
        <v>2306</v>
      </c>
      <c r="N246" s="93"/>
      <c r="P246" s="21"/>
      <c r="Q246" s="12"/>
      <c r="R246">
        <f t="shared" si="13"/>
        <v>1</v>
      </c>
      <c r="S246" s="21" t="s">
        <v>99</v>
      </c>
      <c r="T246" s="21" t="s">
        <v>99</v>
      </c>
      <c r="W246" t="e">
        <f>INDEX(#REF!,MATCH($E246,#REF!,0))</f>
        <v>#REF!</v>
      </c>
      <c r="X246" t="e">
        <f>INDEX(#REF!,MATCH($E246,#REF!,0))</f>
        <v>#REF!</v>
      </c>
      <c r="Y246" t="e">
        <f>INDEX(#REF!,MATCH($E246,#REF!,0))</f>
        <v>#REF!</v>
      </c>
      <c r="Z246" t="e">
        <f>INDEX(#REF!,MATCH($E246,#REF!,0))</f>
        <v>#REF!</v>
      </c>
      <c r="AA246" t="e">
        <f>INDEX(#REF!,MATCH($E246,#REF!,0))</f>
        <v>#REF!</v>
      </c>
      <c r="AB246" t="e">
        <f>INDEX(#REF!,MATCH($E246,#REF!,0))</f>
        <v>#REF!</v>
      </c>
      <c r="AC246" t="e">
        <f>INDEX(#REF!,MATCH($E246,#REF!,0))</f>
        <v>#REF!</v>
      </c>
      <c r="AD246" t="e">
        <f>INDEX(#REF!,MATCH($E246,#REF!,0))</f>
        <v>#REF!</v>
      </c>
      <c r="AE246" t="e">
        <f t="shared" si="12"/>
        <v>#REF!</v>
      </c>
    </row>
    <row r="247" spans="2:31" x14ac:dyDescent="0.25">
      <c r="B247" s="45" t="s">
        <v>3318</v>
      </c>
      <c r="C247" s="45" t="s">
        <v>3317</v>
      </c>
      <c r="D247" s="89" t="s">
        <v>3313</v>
      </c>
      <c r="E247" s="89">
        <v>110648</v>
      </c>
      <c r="F247" s="89">
        <v>1025</v>
      </c>
      <c r="G247" s="90">
        <v>22</v>
      </c>
      <c r="H247" s="90">
        <v>2</v>
      </c>
      <c r="I247" s="90" t="s">
        <v>26</v>
      </c>
      <c r="J247" s="90">
        <v>1</v>
      </c>
      <c r="K247" s="90">
        <v>0</v>
      </c>
      <c r="L247" s="91"/>
      <c r="M247" s="92"/>
      <c r="N247" s="93"/>
      <c r="P247" s="21"/>
      <c r="Q247" s="12"/>
      <c r="S247" s="21"/>
      <c r="T247" s="21"/>
    </row>
    <row r="248" spans="2:31" x14ac:dyDescent="0.25">
      <c r="B248" s="45" t="s">
        <v>1615</v>
      </c>
      <c r="C248" s="45" t="s">
        <v>992</v>
      </c>
      <c r="D248" s="89" t="s">
        <v>989</v>
      </c>
      <c r="E248" s="89">
        <v>110651</v>
      </c>
      <c r="F248" s="89">
        <v>1026</v>
      </c>
      <c r="G248" s="90">
        <v>0</v>
      </c>
      <c r="H248" s="90">
        <v>2</v>
      </c>
      <c r="I248" s="90" t="s">
        <v>26</v>
      </c>
      <c r="J248" s="90">
        <v>1</v>
      </c>
      <c r="K248" s="90">
        <v>0</v>
      </c>
      <c r="L248" s="91"/>
      <c r="M248" s="92" t="s">
        <v>2307</v>
      </c>
      <c r="N248" s="93"/>
      <c r="P248" s="21"/>
      <c r="Q248" s="12" t="s">
        <v>980</v>
      </c>
      <c r="R248">
        <f t="shared" ref="R248:R277" si="14">COUNTIF(C:C,C248)</f>
        <v>1</v>
      </c>
      <c r="S248" s="21">
        <v>439386</v>
      </c>
      <c r="T248" s="21">
        <v>451252</v>
      </c>
      <c r="W248" t="e">
        <f>INDEX(#REF!,MATCH($E248,#REF!,0))</f>
        <v>#REF!</v>
      </c>
      <c r="X248" t="e">
        <f>INDEX(#REF!,MATCH($E248,#REF!,0))</f>
        <v>#REF!</v>
      </c>
      <c r="Y248" t="e">
        <f>INDEX(#REF!,MATCH($E248,#REF!,0))</f>
        <v>#REF!</v>
      </c>
      <c r="Z248" t="e">
        <f>INDEX(#REF!,MATCH($E248,#REF!,0))</f>
        <v>#REF!</v>
      </c>
      <c r="AA248" t="e">
        <f>INDEX(#REF!,MATCH($E248,#REF!,0))</f>
        <v>#REF!</v>
      </c>
      <c r="AB248" t="e">
        <f>INDEX(#REF!,MATCH($E248,#REF!,0))</f>
        <v>#REF!</v>
      </c>
      <c r="AC248" t="e">
        <f>INDEX(#REF!,MATCH($E248,#REF!,0))</f>
        <v>#REF!</v>
      </c>
      <c r="AD248" t="e">
        <f>INDEX(#REF!,MATCH($E248,#REF!,0))</f>
        <v>#REF!</v>
      </c>
      <c r="AE248" t="e">
        <f t="shared" si="12"/>
        <v>#REF!</v>
      </c>
    </row>
    <row r="249" spans="2:31" x14ac:dyDescent="0.25">
      <c r="B249" s="45" t="s">
        <v>1616</v>
      </c>
      <c r="C249" s="45" t="s">
        <v>993</v>
      </c>
      <c r="D249" s="89" t="s">
        <v>990</v>
      </c>
      <c r="E249" s="89">
        <v>110652</v>
      </c>
      <c r="F249" s="89">
        <v>1026</v>
      </c>
      <c r="G249" s="90">
        <v>1</v>
      </c>
      <c r="H249" s="90">
        <v>2</v>
      </c>
      <c r="I249" s="90" t="s">
        <v>26</v>
      </c>
      <c r="J249" s="90">
        <v>1</v>
      </c>
      <c r="K249" s="90">
        <v>0</v>
      </c>
      <c r="L249" s="91"/>
      <c r="M249" s="92" t="s">
        <v>2308</v>
      </c>
      <c r="N249" s="93"/>
      <c r="P249" s="21"/>
      <c r="Q249" s="12" t="s">
        <v>980</v>
      </c>
      <c r="R249">
        <f t="shared" si="14"/>
        <v>1</v>
      </c>
      <c r="S249" s="21">
        <v>439390</v>
      </c>
      <c r="T249" s="21">
        <v>451253</v>
      </c>
      <c r="W249" t="e">
        <f>INDEX(#REF!,MATCH($E249,#REF!,0))</f>
        <v>#REF!</v>
      </c>
      <c r="X249" t="e">
        <f>INDEX(#REF!,MATCH($E249,#REF!,0))</f>
        <v>#REF!</v>
      </c>
      <c r="Y249" t="e">
        <f>INDEX(#REF!,MATCH($E249,#REF!,0))</f>
        <v>#REF!</v>
      </c>
      <c r="Z249" t="e">
        <f>INDEX(#REF!,MATCH($E249,#REF!,0))</f>
        <v>#REF!</v>
      </c>
      <c r="AA249" t="e">
        <f>INDEX(#REF!,MATCH($E249,#REF!,0))</f>
        <v>#REF!</v>
      </c>
      <c r="AB249" t="e">
        <f>INDEX(#REF!,MATCH($E249,#REF!,0))</f>
        <v>#REF!</v>
      </c>
      <c r="AC249" t="e">
        <f>INDEX(#REF!,MATCH($E249,#REF!,0))</f>
        <v>#REF!</v>
      </c>
      <c r="AD249" t="e">
        <f>INDEX(#REF!,MATCH($E249,#REF!,0))</f>
        <v>#REF!</v>
      </c>
      <c r="AE249" t="e">
        <f t="shared" si="12"/>
        <v>#REF!</v>
      </c>
    </row>
    <row r="250" spans="2:31" x14ac:dyDescent="0.25">
      <c r="B250" s="45" t="s">
        <v>1617</v>
      </c>
      <c r="C250" s="45" t="s">
        <v>994</v>
      </c>
      <c r="D250" s="89" t="s">
        <v>991</v>
      </c>
      <c r="E250" s="89">
        <v>110653</v>
      </c>
      <c r="F250" s="89">
        <v>1026</v>
      </c>
      <c r="G250" s="90">
        <v>2</v>
      </c>
      <c r="H250" s="90">
        <v>2</v>
      </c>
      <c r="I250" s="90" t="s">
        <v>26</v>
      </c>
      <c r="J250" s="90">
        <v>1</v>
      </c>
      <c r="K250" s="90">
        <v>0</v>
      </c>
      <c r="L250" s="91"/>
      <c r="M250" s="92" t="s">
        <v>2309</v>
      </c>
      <c r="N250" s="93"/>
      <c r="P250" s="21"/>
      <c r="Q250" s="12" t="s">
        <v>980</v>
      </c>
      <c r="R250">
        <f t="shared" si="14"/>
        <v>1</v>
      </c>
      <c r="S250" s="21">
        <v>439392</v>
      </c>
      <c r="T250" s="21">
        <v>451254</v>
      </c>
      <c r="W250" t="e">
        <f>INDEX(#REF!,MATCH($E250,#REF!,0))</f>
        <v>#REF!</v>
      </c>
      <c r="X250" t="e">
        <f>INDEX(#REF!,MATCH($E250,#REF!,0))</f>
        <v>#REF!</v>
      </c>
      <c r="Y250" t="e">
        <f>INDEX(#REF!,MATCH($E250,#REF!,0))</f>
        <v>#REF!</v>
      </c>
      <c r="Z250" t="e">
        <f>INDEX(#REF!,MATCH($E250,#REF!,0))</f>
        <v>#REF!</v>
      </c>
      <c r="AA250" t="e">
        <f>INDEX(#REF!,MATCH($E250,#REF!,0))</f>
        <v>#REF!</v>
      </c>
      <c r="AB250" t="e">
        <f>INDEX(#REF!,MATCH($E250,#REF!,0))</f>
        <v>#REF!</v>
      </c>
      <c r="AC250" t="e">
        <f>INDEX(#REF!,MATCH($E250,#REF!,0))</f>
        <v>#REF!</v>
      </c>
      <c r="AD250" t="e">
        <f>INDEX(#REF!,MATCH($E250,#REF!,0))</f>
        <v>#REF!</v>
      </c>
      <c r="AE250" t="e">
        <f t="shared" si="12"/>
        <v>#REF!</v>
      </c>
    </row>
    <row r="251" spans="2:31" x14ac:dyDescent="0.25">
      <c r="B251" s="45" t="s">
        <v>1618</v>
      </c>
      <c r="C251" s="45" t="s">
        <v>981</v>
      </c>
      <c r="D251" s="89" t="s">
        <v>1110</v>
      </c>
      <c r="E251" s="89">
        <v>110654</v>
      </c>
      <c r="F251" s="89">
        <v>1026</v>
      </c>
      <c r="G251" s="90">
        <v>3</v>
      </c>
      <c r="H251" s="90">
        <v>2</v>
      </c>
      <c r="I251" s="90" t="s">
        <v>210</v>
      </c>
      <c r="J251" s="90">
        <v>100</v>
      </c>
      <c r="K251" s="90">
        <v>0</v>
      </c>
      <c r="L251" s="91"/>
      <c r="M251" s="92" t="s">
        <v>1253</v>
      </c>
      <c r="N251" s="93"/>
      <c r="P251" s="21"/>
      <c r="Q251" s="12" t="s">
        <v>980</v>
      </c>
      <c r="R251">
        <f t="shared" si="14"/>
        <v>1</v>
      </c>
      <c r="S251" s="21">
        <v>404373</v>
      </c>
      <c r="T251" s="21">
        <v>451161</v>
      </c>
      <c r="W251" t="e">
        <f>INDEX(#REF!,MATCH($E251,#REF!,0))</f>
        <v>#REF!</v>
      </c>
      <c r="X251" t="e">
        <f>INDEX(#REF!,MATCH($E251,#REF!,0))</f>
        <v>#REF!</v>
      </c>
      <c r="Y251" t="e">
        <f>INDEX(#REF!,MATCH($E251,#REF!,0))</f>
        <v>#REF!</v>
      </c>
      <c r="Z251" t="e">
        <f>INDEX(#REF!,MATCH($E251,#REF!,0))</f>
        <v>#REF!</v>
      </c>
      <c r="AA251" t="e">
        <f>INDEX(#REF!,MATCH($E251,#REF!,0))</f>
        <v>#REF!</v>
      </c>
      <c r="AB251" t="e">
        <f>INDEX(#REF!,MATCH($E251,#REF!,0))</f>
        <v>#REF!</v>
      </c>
      <c r="AC251" t="e">
        <f>INDEX(#REF!,MATCH($E251,#REF!,0))</f>
        <v>#REF!</v>
      </c>
      <c r="AD251" t="e">
        <f>INDEX(#REF!,MATCH($E251,#REF!,0))</f>
        <v>#REF!</v>
      </c>
      <c r="AE251" t="e">
        <f t="shared" si="12"/>
        <v>#REF!</v>
      </c>
    </row>
    <row r="252" spans="2:31" x14ac:dyDescent="0.25">
      <c r="B252" s="45" t="s">
        <v>1619</v>
      </c>
      <c r="C252" s="45" t="s">
        <v>996</v>
      </c>
      <c r="D252" s="89" t="s">
        <v>1111</v>
      </c>
      <c r="E252" s="89">
        <v>110655</v>
      </c>
      <c r="F252" s="89">
        <v>1026</v>
      </c>
      <c r="G252" s="90">
        <v>4</v>
      </c>
      <c r="H252" s="90">
        <v>2</v>
      </c>
      <c r="I252" s="90" t="s">
        <v>210</v>
      </c>
      <c r="J252" s="90">
        <v>100</v>
      </c>
      <c r="K252" s="90">
        <v>0</v>
      </c>
      <c r="L252" s="91"/>
      <c r="M252" s="92" t="s">
        <v>1254</v>
      </c>
      <c r="N252" s="93"/>
      <c r="P252" s="21"/>
      <c r="Q252" s="12" t="s">
        <v>980</v>
      </c>
      <c r="R252">
        <f t="shared" si="14"/>
        <v>1</v>
      </c>
      <c r="S252" s="21">
        <v>404374</v>
      </c>
      <c r="T252" s="21">
        <v>451162</v>
      </c>
      <c r="W252" t="e">
        <f>INDEX(#REF!,MATCH($E252,#REF!,0))</f>
        <v>#REF!</v>
      </c>
      <c r="X252" t="e">
        <f>INDEX(#REF!,MATCH($E252,#REF!,0))</f>
        <v>#REF!</v>
      </c>
      <c r="Y252" t="e">
        <f>INDEX(#REF!,MATCH($E252,#REF!,0))</f>
        <v>#REF!</v>
      </c>
      <c r="Z252" t="e">
        <f>INDEX(#REF!,MATCH($E252,#REF!,0))</f>
        <v>#REF!</v>
      </c>
      <c r="AA252" t="e">
        <f>INDEX(#REF!,MATCH($E252,#REF!,0))</f>
        <v>#REF!</v>
      </c>
      <c r="AB252" t="e">
        <f>INDEX(#REF!,MATCH($E252,#REF!,0))</f>
        <v>#REF!</v>
      </c>
      <c r="AC252" t="e">
        <f>INDEX(#REF!,MATCH($E252,#REF!,0))</f>
        <v>#REF!</v>
      </c>
      <c r="AD252" t="e">
        <f>INDEX(#REF!,MATCH($E252,#REF!,0))</f>
        <v>#REF!</v>
      </c>
      <c r="AE252" t="e">
        <f t="shared" si="12"/>
        <v>#REF!</v>
      </c>
    </row>
    <row r="253" spans="2:31" x14ac:dyDescent="0.25">
      <c r="B253" s="45" t="s">
        <v>1620</v>
      </c>
      <c r="C253" s="45" t="s">
        <v>984</v>
      </c>
      <c r="D253" s="89" t="s">
        <v>1112</v>
      </c>
      <c r="E253" s="89">
        <v>110656</v>
      </c>
      <c r="F253" s="89">
        <v>1026</v>
      </c>
      <c r="G253" s="90">
        <v>5</v>
      </c>
      <c r="H253" s="90">
        <v>2</v>
      </c>
      <c r="I253" s="90" t="s">
        <v>210</v>
      </c>
      <c r="J253" s="90">
        <v>100</v>
      </c>
      <c r="K253" s="90">
        <v>0</v>
      </c>
      <c r="L253" s="91"/>
      <c r="M253" s="92" t="s">
        <v>1255</v>
      </c>
      <c r="N253" s="93"/>
      <c r="P253" s="21"/>
      <c r="Q253" s="12" t="s">
        <v>980</v>
      </c>
      <c r="R253">
        <f t="shared" si="14"/>
        <v>1</v>
      </c>
      <c r="S253" s="21">
        <v>404375</v>
      </c>
      <c r="T253" s="21">
        <v>451163</v>
      </c>
      <c r="W253" t="e">
        <f>INDEX(#REF!,MATCH($E253,#REF!,0))</f>
        <v>#REF!</v>
      </c>
      <c r="X253" t="e">
        <f>INDEX(#REF!,MATCH($E253,#REF!,0))</f>
        <v>#REF!</v>
      </c>
      <c r="Y253" t="e">
        <f>INDEX(#REF!,MATCH($E253,#REF!,0))</f>
        <v>#REF!</v>
      </c>
      <c r="Z253" t="e">
        <f>INDEX(#REF!,MATCH($E253,#REF!,0))</f>
        <v>#REF!</v>
      </c>
      <c r="AA253" t="e">
        <f>INDEX(#REF!,MATCH($E253,#REF!,0))</f>
        <v>#REF!</v>
      </c>
      <c r="AB253" t="e">
        <f>INDEX(#REF!,MATCH($E253,#REF!,0))</f>
        <v>#REF!</v>
      </c>
      <c r="AC253" t="e">
        <f>INDEX(#REF!,MATCH($E253,#REF!,0))</f>
        <v>#REF!</v>
      </c>
      <c r="AD253" t="e">
        <f>INDEX(#REF!,MATCH($E253,#REF!,0))</f>
        <v>#REF!</v>
      </c>
      <c r="AE253" t="e">
        <f t="shared" si="12"/>
        <v>#REF!</v>
      </c>
    </row>
    <row r="254" spans="2:31" ht="75" x14ac:dyDescent="0.25">
      <c r="B254" s="45" t="s">
        <v>1621</v>
      </c>
      <c r="C254" s="45" t="s">
        <v>982</v>
      </c>
      <c r="D254" s="89" t="s">
        <v>1113</v>
      </c>
      <c r="E254" s="89">
        <v>110657</v>
      </c>
      <c r="F254" s="89">
        <v>1026</v>
      </c>
      <c r="G254" s="90">
        <v>6</v>
      </c>
      <c r="H254" s="90">
        <v>2</v>
      </c>
      <c r="I254" s="90" t="s">
        <v>210</v>
      </c>
      <c r="J254" s="90">
        <v>100</v>
      </c>
      <c r="K254" s="90">
        <v>0</v>
      </c>
      <c r="L254" s="91"/>
      <c r="M254" s="92" t="s">
        <v>2310</v>
      </c>
      <c r="N254" s="93"/>
      <c r="P254" s="21"/>
      <c r="Q254" s="12" t="s">
        <v>980</v>
      </c>
      <c r="R254">
        <f t="shared" si="14"/>
        <v>1</v>
      </c>
      <c r="S254" s="21" t="s">
        <v>1270</v>
      </c>
      <c r="T254" s="21" t="s">
        <v>1286</v>
      </c>
      <c r="W254" t="e">
        <f>INDEX(#REF!,MATCH($E254,#REF!,0))</f>
        <v>#REF!</v>
      </c>
      <c r="X254" t="e">
        <f>INDEX(#REF!,MATCH($E254,#REF!,0))</f>
        <v>#REF!</v>
      </c>
      <c r="Y254" t="e">
        <f>INDEX(#REF!,MATCH($E254,#REF!,0))</f>
        <v>#REF!</v>
      </c>
      <c r="Z254" t="e">
        <f>INDEX(#REF!,MATCH($E254,#REF!,0))</f>
        <v>#REF!</v>
      </c>
      <c r="AA254" t="e">
        <f>INDEX(#REF!,MATCH($E254,#REF!,0))</f>
        <v>#REF!</v>
      </c>
      <c r="AB254" t="e">
        <f>INDEX(#REF!,MATCH($E254,#REF!,0))</f>
        <v>#REF!</v>
      </c>
      <c r="AC254" t="e">
        <f>INDEX(#REF!,MATCH($E254,#REF!,0))</f>
        <v>#REF!</v>
      </c>
      <c r="AD254" t="e">
        <f>INDEX(#REF!,MATCH($E254,#REF!,0))</f>
        <v>#REF!</v>
      </c>
      <c r="AE254" t="e">
        <f t="shared" si="12"/>
        <v>#REF!</v>
      </c>
    </row>
    <row r="255" spans="2:31" ht="75" x14ac:dyDescent="0.25">
      <c r="B255" s="45" t="s">
        <v>1622</v>
      </c>
      <c r="C255" s="45" t="s">
        <v>983</v>
      </c>
      <c r="D255" s="89" t="s">
        <v>1114</v>
      </c>
      <c r="E255" s="89">
        <v>110658</v>
      </c>
      <c r="F255" s="89">
        <v>1026</v>
      </c>
      <c r="G255" s="90">
        <v>7</v>
      </c>
      <c r="H255" s="90">
        <v>2</v>
      </c>
      <c r="I255" s="90" t="s">
        <v>210</v>
      </c>
      <c r="J255" s="90">
        <v>100</v>
      </c>
      <c r="K255" s="90">
        <v>0</v>
      </c>
      <c r="L255" s="91"/>
      <c r="M255" s="92" t="s">
        <v>2311</v>
      </c>
      <c r="N255" s="93"/>
      <c r="P255" s="21"/>
      <c r="Q255" s="12" t="s">
        <v>980</v>
      </c>
      <c r="R255">
        <f t="shared" si="14"/>
        <v>1</v>
      </c>
      <c r="S255" s="21" t="s">
        <v>1271</v>
      </c>
      <c r="T255" s="21" t="s">
        <v>1287</v>
      </c>
      <c r="W255" t="e">
        <f>INDEX(#REF!,MATCH($E255,#REF!,0))</f>
        <v>#REF!</v>
      </c>
      <c r="X255" t="e">
        <f>INDEX(#REF!,MATCH($E255,#REF!,0))</f>
        <v>#REF!</v>
      </c>
      <c r="Y255" t="e">
        <f>INDEX(#REF!,MATCH($E255,#REF!,0))</f>
        <v>#REF!</v>
      </c>
      <c r="Z255" t="e">
        <f>INDEX(#REF!,MATCH($E255,#REF!,0))</f>
        <v>#REF!</v>
      </c>
      <c r="AA255" t="e">
        <f>INDEX(#REF!,MATCH($E255,#REF!,0))</f>
        <v>#REF!</v>
      </c>
      <c r="AB255" t="e">
        <f>INDEX(#REF!,MATCH($E255,#REF!,0))</f>
        <v>#REF!</v>
      </c>
      <c r="AC255" t="e">
        <f>INDEX(#REF!,MATCH($E255,#REF!,0))</f>
        <v>#REF!</v>
      </c>
      <c r="AD255" t="e">
        <f>INDEX(#REF!,MATCH($E255,#REF!,0))</f>
        <v>#REF!</v>
      </c>
      <c r="AE255" t="e">
        <f t="shared" si="12"/>
        <v>#REF!</v>
      </c>
    </row>
    <row r="256" spans="2:31" x14ac:dyDescent="0.25">
      <c r="B256" s="45" t="s">
        <v>1623</v>
      </c>
      <c r="C256" s="45" t="s">
        <v>997</v>
      </c>
      <c r="D256" s="89" t="s">
        <v>1115</v>
      </c>
      <c r="E256" s="89">
        <v>110659</v>
      </c>
      <c r="F256" s="89">
        <v>1026</v>
      </c>
      <c r="G256" s="90">
        <v>8</v>
      </c>
      <c r="H256" s="90">
        <v>2</v>
      </c>
      <c r="I256" s="90" t="s">
        <v>147</v>
      </c>
      <c r="J256" s="90">
        <v>100000</v>
      </c>
      <c r="K256" s="90">
        <v>0</v>
      </c>
      <c r="L256" s="91"/>
      <c r="M256" s="92" t="s">
        <v>1256</v>
      </c>
      <c r="N256" s="93"/>
      <c r="P256" s="21"/>
      <c r="Q256" s="12" t="s">
        <v>980</v>
      </c>
      <c r="R256">
        <f t="shared" si="14"/>
        <v>1</v>
      </c>
      <c r="S256" s="21">
        <v>419691</v>
      </c>
      <c r="T256" s="21">
        <v>451217</v>
      </c>
      <c r="W256" t="e">
        <f>INDEX(#REF!,MATCH($E256,#REF!,0))</f>
        <v>#REF!</v>
      </c>
      <c r="X256" t="e">
        <f>INDEX(#REF!,MATCH($E256,#REF!,0))</f>
        <v>#REF!</v>
      </c>
      <c r="Y256" t="e">
        <f>INDEX(#REF!,MATCH($E256,#REF!,0))</f>
        <v>#REF!</v>
      </c>
      <c r="Z256" t="e">
        <f>INDEX(#REF!,MATCH($E256,#REF!,0))</f>
        <v>#REF!</v>
      </c>
      <c r="AA256" t="e">
        <f>INDEX(#REF!,MATCH($E256,#REF!,0))</f>
        <v>#REF!</v>
      </c>
      <c r="AB256" t="e">
        <f>INDEX(#REF!,MATCH($E256,#REF!,0))</f>
        <v>#REF!</v>
      </c>
      <c r="AC256" t="e">
        <f>INDEX(#REF!,MATCH($E256,#REF!,0))</f>
        <v>#REF!</v>
      </c>
      <c r="AD256" t="e">
        <f>INDEX(#REF!,MATCH($E256,#REF!,0))</f>
        <v>#REF!</v>
      </c>
      <c r="AE256" t="e">
        <f t="shared" si="12"/>
        <v>#REF!</v>
      </c>
    </row>
    <row r="257" spans="2:31" x14ac:dyDescent="0.25">
      <c r="B257" s="45" t="s">
        <v>1624</v>
      </c>
      <c r="C257" s="45" t="s">
        <v>985</v>
      </c>
      <c r="D257" s="89" t="s">
        <v>1116</v>
      </c>
      <c r="E257" s="89">
        <v>110660</v>
      </c>
      <c r="F257" s="89">
        <v>1026</v>
      </c>
      <c r="G257" s="90">
        <v>9</v>
      </c>
      <c r="H257" s="90">
        <v>2</v>
      </c>
      <c r="I257" s="90" t="s">
        <v>147</v>
      </c>
      <c r="J257" s="90">
        <v>100000</v>
      </c>
      <c r="K257" s="90">
        <v>0</v>
      </c>
      <c r="L257" s="91"/>
      <c r="M257" s="92" t="s">
        <v>1257</v>
      </c>
      <c r="N257" s="93"/>
      <c r="P257" s="21"/>
      <c r="Q257" s="12" t="s">
        <v>980</v>
      </c>
      <c r="R257">
        <f t="shared" si="14"/>
        <v>1</v>
      </c>
      <c r="S257" s="21">
        <v>419697</v>
      </c>
      <c r="T257" s="21">
        <v>451218</v>
      </c>
      <c r="W257" t="e">
        <f>INDEX(#REF!,MATCH($E257,#REF!,0))</f>
        <v>#REF!</v>
      </c>
      <c r="X257" t="e">
        <f>INDEX(#REF!,MATCH($E257,#REF!,0))</f>
        <v>#REF!</v>
      </c>
      <c r="Y257" t="e">
        <f>INDEX(#REF!,MATCH($E257,#REF!,0))</f>
        <v>#REF!</v>
      </c>
      <c r="Z257" t="e">
        <f>INDEX(#REF!,MATCH($E257,#REF!,0))</f>
        <v>#REF!</v>
      </c>
      <c r="AA257" t="e">
        <f>INDEX(#REF!,MATCH($E257,#REF!,0))</f>
        <v>#REF!</v>
      </c>
      <c r="AB257" t="e">
        <f>INDEX(#REF!,MATCH($E257,#REF!,0))</f>
        <v>#REF!</v>
      </c>
      <c r="AC257" t="e">
        <f>INDEX(#REF!,MATCH($E257,#REF!,0))</f>
        <v>#REF!</v>
      </c>
      <c r="AD257" t="e">
        <f>INDEX(#REF!,MATCH($E257,#REF!,0))</f>
        <v>#REF!</v>
      </c>
      <c r="AE257" t="e">
        <f t="shared" si="12"/>
        <v>#REF!</v>
      </c>
    </row>
    <row r="258" spans="2:31" x14ac:dyDescent="0.25">
      <c r="B258" s="45" t="s">
        <v>1625</v>
      </c>
      <c r="C258" s="45" t="s">
        <v>998</v>
      </c>
      <c r="D258" s="89" t="s">
        <v>1117</v>
      </c>
      <c r="E258" s="89">
        <v>110661</v>
      </c>
      <c r="F258" s="89">
        <v>1026</v>
      </c>
      <c r="G258" s="90">
        <v>10</v>
      </c>
      <c r="H258" s="90">
        <v>2</v>
      </c>
      <c r="I258" s="90" t="s">
        <v>147</v>
      </c>
      <c r="J258" s="90">
        <v>100000</v>
      </c>
      <c r="K258" s="90">
        <v>0</v>
      </c>
      <c r="L258" s="91"/>
      <c r="M258" s="92" t="s">
        <v>1258</v>
      </c>
      <c r="N258" s="93"/>
      <c r="P258" s="21"/>
      <c r="Q258" s="12" t="s">
        <v>980</v>
      </c>
      <c r="R258">
        <f t="shared" si="14"/>
        <v>1</v>
      </c>
      <c r="S258" s="21">
        <v>404376</v>
      </c>
      <c r="T258" s="21">
        <v>451164</v>
      </c>
      <c r="W258" t="e">
        <f>INDEX(#REF!,MATCH($E258,#REF!,0))</f>
        <v>#REF!</v>
      </c>
      <c r="X258" t="e">
        <f>INDEX(#REF!,MATCH($E258,#REF!,0))</f>
        <v>#REF!</v>
      </c>
      <c r="Y258" t="e">
        <f>INDEX(#REF!,MATCH($E258,#REF!,0))</f>
        <v>#REF!</v>
      </c>
      <c r="Z258" t="e">
        <f>INDEX(#REF!,MATCH($E258,#REF!,0))</f>
        <v>#REF!</v>
      </c>
      <c r="AA258" t="e">
        <f>INDEX(#REF!,MATCH($E258,#REF!,0))</f>
        <v>#REF!</v>
      </c>
      <c r="AB258" t="e">
        <f>INDEX(#REF!,MATCH($E258,#REF!,0))</f>
        <v>#REF!</v>
      </c>
      <c r="AC258" t="e">
        <f>INDEX(#REF!,MATCH($E258,#REF!,0))</f>
        <v>#REF!</v>
      </c>
      <c r="AD258" t="e">
        <f>INDEX(#REF!,MATCH($E258,#REF!,0))</f>
        <v>#REF!</v>
      </c>
      <c r="AE258" t="e">
        <f t="shared" si="12"/>
        <v>#REF!</v>
      </c>
    </row>
    <row r="259" spans="2:31" x14ac:dyDescent="0.25">
      <c r="B259" s="45" t="s">
        <v>2205</v>
      </c>
      <c r="C259" s="45" t="s">
        <v>999</v>
      </c>
      <c r="D259" s="89" t="s">
        <v>2206</v>
      </c>
      <c r="E259" s="89">
        <v>110662</v>
      </c>
      <c r="F259" s="89">
        <v>1026</v>
      </c>
      <c r="G259" s="90">
        <v>11</v>
      </c>
      <c r="H259" s="90">
        <v>2</v>
      </c>
      <c r="I259" s="90" t="s">
        <v>210</v>
      </c>
      <c r="J259" s="90">
        <v>100</v>
      </c>
      <c r="K259" s="90">
        <v>0</v>
      </c>
      <c r="L259" s="91"/>
      <c r="M259" s="92" t="s">
        <v>1259</v>
      </c>
      <c r="N259" s="93"/>
      <c r="P259" s="21"/>
      <c r="Q259" s="12" t="s">
        <v>980</v>
      </c>
      <c r="R259">
        <f t="shared" si="14"/>
        <v>1</v>
      </c>
      <c r="S259" s="21">
        <v>419663</v>
      </c>
      <c r="T259" s="21">
        <v>451207</v>
      </c>
      <c r="W259" t="e">
        <f>INDEX(#REF!,MATCH($E259,#REF!,0))</f>
        <v>#REF!</v>
      </c>
      <c r="X259" t="e">
        <f>INDEX(#REF!,MATCH($E259,#REF!,0))</f>
        <v>#REF!</v>
      </c>
      <c r="Y259" t="e">
        <f>INDEX(#REF!,MATCH($E259,#REF!,0))</f>
        <v>#REF!</v>
      </c>
      <c r="Z259" t="e">
        <f>INDEX(#REF!,MATCH($E259,#REF!,0))</f>
        <v>#REF!</v>
      </c>
      <c r="AA259" t="e">
        <f>INDEX(#REF!,MATCH($E259,#REF!,0))</f>
        <v>#REF!</v>
      </c>
      <c r="AB259" t="e">
        <f>INDEX(#REF!,MATCH($E259,#REF!,0))</f>
        <v>#REF!</v>
      </c>
      <c r="AC259" t="e">
        <f>INDEX(#REF!,MATCH($E259,#REF!,0))</f>
        <v>#REF!</v>
      </c>
      <c r="AD259" t="e">
        <f>INDEX(#REF!,MATCH($E259,#REF!,0))</f>
        <v>#REF!</v>
      </c>
      <c r="AE259" t="e">
        <f t="shared" si="12"/>
        <v>#REF!</v>
      </c>
    </row>
    <row r="260" spans="2:31" x14ac:dyDescent="0.25">
      <c r="B260" s="45" t="s">
        <v>2209</v>
      </c>
      <c r="C260" s="41" t="s">
        <v>988</v>
      </c>
      <c r="D260" s="89" t="s">
        <v>2210</v>
      </c>
      <c r="E260" s="89">
        <v>110663</v>
      </c>
      <c r="F260" s="89">
        <v>1026</v>
      </c>
      <c r="G260" s="90">
        <v>12</v>
      </c>
      <c r="H260" s="90">
        <v>2</v>
      </c>
      <c r="I260" s="90" t="s">
        <v>210</v>
      </c>
      <c r="J260" s="90">
        <v>100</v>
      </c>
      <c r="K260" s="90">
        <v>0</v>
      </c>
      <c r="L260" s="91"/>
      <c r="M260" s="92" t="s">
        <v>1260</v>
      </c>
      <c r="N260" s="93"/>
      <c r="P260" s="21"/>
      <c r="Q260" s="12" t="s">
        <v>980</v>
      </c>
      <c r="R260">
        <f t="shared" si="14"/>
        <v>1</v>
      </c>
      <c r="S260" s="21">
        <v>419665</v>
      </c>
      <c r="T260" s="21">
        <v>451208</v>
      </c>
      <c r="W260" t="e">
        <f>INDEX(#REF!,MATCH($E260,#REF!,0))</f>
        <v>#REF!</v>
      </c>
      <c r="X260" t="e">
        <f>INDEX(#REF!,MATCH($E260,#REF!,0))</f>
        <v>#REF!</v>
      </c>
      <c r="Y260" t="e">
        <f>INDEX(#REF!,MATCH($E260,#REF!,0))</f>
        <v>#REF!</v>
      </c>
      <c r="Z260" t="e">
        <f>INDEX(#REF!,MATCH($E260,#REF!,0))</f>
        <v>#REF!</v>
      </c>
      <c r="AA260" t="e">
        <f>INDEX(#REF!,MATCH($E260,#REF!,0))</f>
        <v>#REF!</v>
      </c>
      <c r="AB260" t="e">
        <f>INDEX(#REF!,MATCH($E260,#REF!,0))</f>
        <v>#REF!</v>
      </c>
      <c r="AC260" t="e">
        <f>INDEX(#REF!,MATCH($E260,#REF!,0))</f>
        <v>#REF!</v>
      </c>
      <c r="AD260" t="e">
        <f>INDEX(#REF!,MATCH($E260,#REF!,0))</f>
        <v>#REF!</v>
      </c>
      <c r="AE260" t="e">
        <f t="shared" si="12"/>
        <v>#REF!</v>
      </c>
    </row>
    <row r="261" spans="2:31" x14ac:dyDescent="0.25">
      <c r="B261" s="45" t="s">
        <v>2213</v>
      </c>
      <c r="C261" s="45" t="s">
        <v>1000</v>
      </c>
      <c r="D261" s="89" t="s">
        <v>2214</v>
      </c>
      <c r="E261" s="89">
        <v>110664</v>
      </c>
      <c r="F261" s="89">
        <v>1026</v>
      </c>
      <c r="G261" s="90">
        <v>13</v>
      </c>
      <c r="H261" s="90">
        <v>2</v>
      </c>
      <c r="I261" s="90" t="s">
        <v>26</v>
      </c>
      <c r="J261" s="90">
        <v>1</v>
      </c>
      <c r="K261" s="90">
        <v>0</v>
      </c>
      <c r="L261" s="91"/>
      <c r="M261" s="92" t="s">
        <v>1261</v>
      </c>
      <c r="N261" s="93"/>
      <c r="P261" s="21"/>
      <c r="Q261" s="12" t="s">
        <v>2524</v>
      </c>
      <c r="R261">
        <f t="shared" si="14"/>
        <v>1</v>
      </c>
      <c r="S261" s="21">
        <v>413344</v>
      </c>
      <c r="T261" s="21">
        <v>451181</v>
      </c>
      <c r="W261" t="e">
        <f>INDEX(#REF!,MATCH($E261,#REF!,0))</f>
        <v>#REF!</v>
      </c>
      <c r="X261" t="e">
        <f>INDEX(#REF!,MATCH($E261,#REF!,0))</f>
        <v>#REF!</v>
      </c>
      <c r="Y261" t="e">
        <f>INDEX(#REF!,MATCH($E261,#REF!,0))</f>
        <v>#REF!</v>
      </c>
      <c r="Z261" t="e">
        <f>INDEX(#REF!,MATCH($E261,#REF!,0))</f>
        <v>#REF!</v>
      </c>
      <c r="AA261" t="e">
        <f>INDEX(#REF!,MATCH($E261,#REF!,0))</f>
        <v>#REF!</v>
      </c>
      <c r="AB261" t="e">
        <f>INDEX(#REF!,MATCH($E261,#REF!,0))</f>
        <v>#REF!</v>
      </c>
      <c r="AC261" t="e">
        <f>INDEX(#REF!,MATCH($E261,#REF!,0))</f>
        <v>#REF!</v>
      </c>
      <c r="AD261" t="e">
        <f>INDEX(#REF!,MATCH($E261,#REF!,0))</f>
        <v>#REF!</v>
      </c>
      <c r="AE261" t="e">
        <f t="shared" si="12"/>
        <v>#REF!</v>
      </c>
    </row>
    <row r="262" spans="2:31" x14ac:dyDescent="0.25">
      <c r="B262" s="45" t="s">
        <v>2215</v>
      </c>
      <c r="C262" s="45" t="s">
        <v>987</v>
      </c>
      <c r="D262" s="89" t="s">
        <v>2216</v>
      </c>
      <c r="E262" s="89">
        <v>110665</v>
      </c>
      <c r="F262" s="89">
        <v>1026</v>
      </c>
      <c r="G262" s="90">
        <v>14</v>
      </c>
      <c r="H262" s="90">
        <v>2</v>
      </c>
      <c r="I262" s="90" t="s">
        <v>210</v>
      </c>
      <c r="J262" s="90">
        <v>100</v>
      </c>
      <c r="K262" s="90">
        <v>0</v>
      </c>
      <c r="L262" s="91"/>
      <c r="M262" s="92" t="s">
        <v>1262</v>
      </c>
      <c r="N262" s="93"/>
      <c r="P262" s="21"/>
      <c r="Q262" s="12" t="s">
        <v>980</v>
      </c>
      <c r="R262">
        <f t="shared" si="14"/>
        <v>1</v>
      </c>
      <c r="S262" s="21">
        <v>404380</v>
      </c>
      <c r="T262" s="21">
        <v>451166</v>
      </c>
      <c r="W262" t="e">
        <f>INDEX(#REF!,MATCH($E262,#REF!,0))</f>
        <v>#REF!</v>
      </c>
      <c r="X262" t="e">
        <f>INDEX(#REF!,MATCH($E262,#REF!,0))</f>
        <v>#REF!</v>
      </c>
      <c r="Y262" t="e">
        <f>INDEX(#REF!,MATCH($E262,#REF!,0))</f>
        <v>#REF!</v>
      </c>
      <c r="Z262" t="e">
        <f>INDEX(#REF!,MATCH($E262,#REF!,0))</f>
        <v>#REF!</v>
      </c>
      <c r="AA262" t="e">
        <f>INDEX(#REF!,MATCH($E262,#REF!,0))</f>
        <v>#REF!</v>
      </c>
      <c r="AB262" t="e">
        <f>INDEX(#REF!,MATCH($E262,#REF!,0))</f>
        <v>#REF!</v>
      </c>
      <c r="AC262" t="e">
        <f>INDEX(#REF!,MATCH($E262,#REF!,0))</f>
        <v>#REF!</v>
      </c>
      <c r="AD262" t="e">
        <f>INDEX(#REF!,MATCH($E262,#REF!,0))</f>
        <v>#REF!</v>
      </c>
      <c r="AE262" t="e">
        <f t="shared" si="12"/>
        <v>#REF!</v>
      </c>
    </row>
    <row r="263" spans="2:31" x14ac:dyDescent="0.25">
      <c r="B263" s="45" t="s">
        <v>2211</v>
      </c>
      <c r="C263" s="45" t="s">
        <v>986</v>
      </c>
      <c r="D263" s="89" t="s">
        <v>2212</v>
      </c>
      <c r="E263" s="89">
        <v>110666</v>
      </c>
      <c r="F263" s="89">
        <v>1026</v>
      </c>
      <c r="G263" s="90">
        <v>15</v>
      </c>
      <c r="H263" s="90">
        <v>2</v>
      </c>
      <c r="I263" s="90" t="s">
        <v>147</v>
      </c>
      <c r="J263" s="90">
        <v>100000</v>
      </c>
      <c r="K263" s="90">
        <v>0</v>
      </c>
      <c r="L263" s="91"/>
      <c r="M263" s="92" t="s">
        <v>1263</v>
      </c>
      <c r="N263" s="93"/>
      <c r="P263" s="21"/>
      <c r="Q263" s="12" t="s">
        <v>980</v>
      </c>
      <c r="R263">
        <f t="shared" si="14"/>
        <v>1</v>
      </c>
      <c r="S263" s="21">
        <v>404378</v>
      </c>
      <c r="T263" s="21">
        <v>451165</v>
      </c>
      <c r="W263" t="e">
        <f>INDEX(#REF!,MATCH($E263,#REF!,0))</f>
        <v>#REF!</v>
      </c>
      <c r="X263" t="e">
        <f>INDEX(#REF!,MATCH($E263,#REF!,0))</f>
        <v>#REF!</v>
      </c>
      <c r="Y263" t="e">
        <f>INDEX(#REF!,MATCH($E263,#REF!,0))</f>
        <v>#REF!</v>
      </c>
      <c r="Z263" t="e">
        <f>INDEX(#REF!,MATCH($E263,#REF!,0))</f>
        <v>#REF!</v>
      </c>
      <c r="AA263" t="e">
        <f>INDEX(#REF!,MATCH($E263,#REF!,0))</f>
        <v>#REF!</v>
      </c>
      <c r="AB263" t="e">
        <f>INDEX(#REF!,MATCH($E263,#REF!,0))</f>
        <v>#REF!</v>
      </c>
      <c r="AC263" t="e">
        <f>INDEX(#REF!,MATCH($E263,#REF!,0))</f>
        <v>#REF!</v>
      </c>
      <c r="AD263" t="e">
        <f>INDEX(#REF!,MATCH($E263,#REF!,0))</f>
        <v>#REF!</v>
      </c>
      <c r="AE263" t="e">
        <f t="shared" si="12"/>
        <v>#REF!</v>
      </c>
    </row>
    <row r="264" spans="2:31" x14ac:dyDescent="0.25">
      <c r="B264" s="45" t="s">
        <v>2207</v>
      </c>
      <c r="C264" s="45" t="s">
        <v>1001</v>
      </c>
      <c r="D264" s="89" t="s">
        <v>2208</v>
      </c>
      <c r="E264" s="89">
        <v>110667</v>
      </c>
      <c r="F264" s="89">
        <v>1026</v>
      </c>
      <c r="G264" s="90">
        <v>16</v>
      </c>
      <c r="H264" s="90">
        <v>2</v>
      </c>
      <c r="I264" s="90" t="s">
        <v>147</v>
      </c>
      <c r="J264" s="90">
        <v>100000</v>
      </c>
      <c r="K264" s="90">
        <v>0</v>
      </c>
      <c r="L264" s="91"/>
      <c r="M264" s="92" t="s">
        <v>1264</v>
      </c>
      <c r="N264" s="93"/>
      <c r="P264" s="21"/>
      <c r="Q264" s="12" t="s">
        <v>980</v>
      </c>
      <c r="R264">
        <f t="shared" si="14"/>
        <v>1</v>
      </c>
      <c r="S264" s="21">
        <v>419669</v>
      </c>
      <c r="T264" s="21">
        <v>451210</v>
      </c>
      <c r="W264" t="e">
        <f>INDEX(#REF!,MATCH($E264,#REF!,0))</f>
        <v>#REF!</v>
      </c>
      <c r="X264" t="e">
        <f>INDEX(#REF!,MATCH($E264,#REF!,0))</f>
        <v>#REF!</v>
      </c>
      <c r="Y264" t="e">
        <f>INDEX(#REF!,MATCH($E264,#REF!,0))</f>
        <v>#REF!</v>
      </c>
      <c r="Z264" t="e">
        <f>INDEX(#REF!,MATCH($E264,#REF!,0))</f>
        <v>#REF!</v>
      </c>
      <c r="AA264" t="e">
        <f>INDEX(#REF!,MATCH($E264,#REF!,0))</f>
        <v>#REF!</v>
      </c>
      <c r="AB264" t="e">
        <f>INDEX(#REF!,MATCH($E264,#REF!,0))</f>
        <v>#REF!</v>
      </c>
      <c r="AC264" t="e">
        <f>INDEX(#REF!,MATCH($E264,#REF!,0))</f>
        <v>#REF!</v>
      </c>
      <c r="AD264" t="e">
        <f>INDEX(#REF!,MATCH($E264,#REF!,0))</f>
        <v>#REF!</v>
      </c>
      <c r="AE264" t="e">
        <f t="shared" si="12"/>
        <v>#REF!</v>
      </c>
    </row>
    <row r="265" spans="2:31" x14ac:dyDescent="0.25">
      <c r="B265" s="45" t="s">
        <v>2169</v>
      </c>
      <c r="C265" s="45" t="s">
        <v>2172</v>
      </c>
      <c r="D265" s="89" t="s">
        <v>725</v>
      </c>
      <c r="E265" s="89">
        <v>110668</v>
      </c>
      <c r="F265" s="89">
        <v>1026</v>
      </c>
      <c r="G265" s="90">
        <v>17</v>
      </c>
      <c r="H265" s="90">
        <v>2</v>
      </c>
      <c r="I265" s="90" t="s">
        <v>147</v>
      </c>
      <c r="J265" s="90">
        <v>100000</v>
      </c>
      <c r="K265" s="90">
        <v>0</v>
      </c>
      <c r="L265" s="91"/>
      <c r="M265" s="92" t="s">
        <v>2312</v>
      </c>
      <c r="N265" s="93"/>
      <c r="P265" s="21" t="s">
        <v>2517</v>
      </c>
      <c r="Q265" s="12" t="s">
        <v>2176</v>
      </c>
      <c r="R265">
        <f t="shared" si="14"/>
        <v>1</v>
      </c>
      <c r="S265" s="37"/>
      <c r="T265" s="37"/>
      <c r="W265" t="e">
        <f>INDEX(#REF!,MATCH($E265,#REF!,0))</f>
        <v>#REF!</v>
      </c>
      <c r="X265" t="e">
        <f>INDEX(#REF!,MATCH($E265,#REF!,0))</f>
        <v>#REF!</v>
      </c>
      <c r="Y265" t="e">
        <f>INDEX(#REF!,MATCH($E265,#REF!,0))</f>
        <v>#REF!</v>
      </c>
      <c r="Z265" t="e">
        <f>INDEX(#REF!,MATCH($E265,#REF!,0))</f>
        <v>#REF!</v>
      </c>
      <c r="AA265" t="e">
        <f>INDEX(#REF!,MATCH($E265,#REF!,0))</f>
        <v>#REF!</v>
      </c>
      <c r="AB265" t="e">
        <f>INDEX(#REF!,MATCH($E265,#REF!,0))</f>
        <v>#REF!</v>
      </c>
      <c r="AC265" t="e">
        <f>INDEX(#REF!,MATCH($E265,#REF!,0))</f>
        <v>#REF!</v>
      </c>
      <c r="AD265" t="e">
        <f>INDEX(#REF!,MATCH($E265,#REF!,0))</f>
        <v>#REF!</v>
      </c>
      <c r="AE265" t="e">
        <f t="shared" si="12"/>
        <v>#REF!</v>
      </c>
    </row>
    <row r="266" spans="2:31" x14ac:dyDescent="0.25">
      <c r="B266" s="45" t="s">
        <v>2170</v>
      </c>
      <c r="C266" s="45" t="s">
        <v>2173</v>
      </c>
      <c r="D266" s="89" t="s">
        <v>727</v>
      </c>
      <c r="E266" s="89">
        <v>110669</v>
      </c>
      <c r="F266" s="89">
        <v>1026</v>
      </c>
      <c r="G266" s="90">
        <v>18</v>
      </c>
      <c r="H266" s="90">
        <v>2</v>
      </c>
      <c r="I266" s="90" t="s">
        <v>147</v>
      </c>
      <c r="J266" s="90">
        <v>100000</v>
      </c>
      <c r="K266" s="90">
        <v>0</v>
      </c>
      <c r="L266" s="91"/>
      <c r="M266" s="92" t="s">
        <v>2313</v>
      </c>
      <c r="N266" s="93"/>
      <c r="P266" s="21" t="s">
        <v>2517</v>
      </c>
      <c r="Q266" s="12" t="s">
        <v>2176</v>
      </c>
      <c r="R266">
        <f t="shared" si="14"/>
        <v>1</v>
      </c>
      <c r="S266" s="37"/>
      <c r="T266" s="37"/>
      <c r="W266" t="e">
        <f>INDEX(#REF!,MATCH($E266,#REF!,0))</f>
        <v>#REF!</v>
      </c>
      <c r="X266" t="e">
        <f>INDEX(#REF!,MATCH($E266,#REF!,0))</f>
        <v>#REF!</v>
      </c>
      <c r="Y266" t="e">
        <f>INDEX(#REF!,MATCH($E266,#REF!,0))</f>
        <v>#REF!</v>
      </c>
      <c r="Z266" t="e">
        <f>INDEX(#REF!,MATCH($E266,#REF!,0))</f>
        <v>#REF!</v>
      </c>
      <c r="AA266" t="e">
        <f>INDEX(#REF!,MATCH($E266,#REF!,0))</f>
        <v>#REF!</v>
      </c>
      <c r="AB266" t="e">
        <f>INDEX(#REF!,MATCH($E266,#REF!,0))</f>
        <v>#REF!</v>
      </c>
      <c r="AC266" t="e">
        <f>INDEX(#REF!,MATCH($E266,#REF!,0))</f>
        <v>#REF!</v>
      </c>
      <c r="AD266" t="e">
        <f>INDEX(#REF!,MATCH($E266,#REF!,0))</f>
        <v>#REF!</v>
      </c>
      <c r="AE266" t="e">
        <f t="shared" si="12"/>
        <v>#REF!</v>
      </c>
    </row>
    <row r="267" spans="2:31" x14ac:dyDescent="0.25">
      <c r="B267" s="45" t="s">
        <v>2171</v>
      </c>
      <c r="C267" s="45" t="s">
        <v>2174</v>
      </c>
      <c r="D267" s="89" t="s">
        <v>2175</v>
      </c>
      <c r="E267" s="89">
        <v>110670</v>
      </c>
      <c r="F267" s="89">
        <v>1026</v>
      </c>
      <c r="G267" s="90">
        <v>19</v>
      </c>
      <c r="H267" s="90">
        <v>2</v>
      </c>
      <c r="I267" s="90" t="s">
        <v>147</v>
      </c>
      <c r="J267" s="90">
        <v>100000</v>
      </c>
      <c r="K267" s="90">
        <v>0</v>
      </c>
      <c r="L267" s="91"/>
      <c r="M267" s="92" t="s">
        <v>2314</v>
      </c>
      <c r="N267" s="93"/>
      <c r="P267" s="21" t="s">
        <v>2517</v>
      </c>
      <c r="Q267" s="12" t="s">
        <v>2176</v>
      </c>
      <c r="R267">
        <f t="shared" si="14"/>
        <v>1</v>
      </c>
      <c r="S267" s="37"/>
      <c r="T267" s="37"/>
      <c r="W267" t="e">
        <f>INDEX(#REF!,MATCH($E267,#REF!,0))</f>
        <v>#REF!</v>
      </c>
      <c r="X267" t="e">
        <f>INDEX(#REF!,MATCH($E267,#REF!,0))</f>
        <v>#REF!</v>
      </c>
      <c r="Y267" t="e">
        <f>INDEX(#REF!,MATCH($E267,#REF!,0))</f>
        <v>#REF!</v>
      </c>
      <c r="Z267" t="e">
        <f>INDEX(#REF!,MATCH($E267,#REF!,0))</f>
        <v>#REF!</v>
      </c>
      <c r="AA267" t="e">
        <f>INDEX(#REF!,MATCH($E267,#REF!,0))</f>
        <v>#REF!</v>
      </c>
      <c r="AB267" t="e">
        <f>INDEX(#REF!,MATCH($E267,#REF!,0))</f>
        <v>#REF!</v>
      </c>
      <c r="AC267" t="e">
        <f>INDEX(#REF!,MATCH($E267,#REF!,0))</f>
        <v>#REF!</v>
      </c>
      <c r="AD267" t="e">
        <f>INDEX(#REF!,MATCH($E267,#REF!,0))</f>
        <v>#REF!</v>
      </c>
      <c r="AE267" t="e">
        <f t="shared" si="12"/>
        <v>#REF!</v>
      </c>
    </row>
    <row r="268" spans="2:31" x14ac:dyDescent="0.25">
      <c r="B268" s="45" t="s">
        <v>2474</v>
      </c>
      <c r="C268" s="45" t="s">
        <v>2473</v>
      </c>
      <c r="D268" s="89" t="s">
        <v>2499</v>
      </c>
      <c r="E268" s="89">
        <v>110671</v>
      </c>
      <c r="F268" s="89">
        <v>1026</v>
      </c>
      <c r="G268" s="90">
        <v>20</v>
      </c>
      <c r="H268" s="90">
        <v>2</v>
      </c>
      <c r="I268" s="90" t="s">
        <v>147</v>
      </c>
      <c r="J268" s="90">
        <v>100000</v>
      </c>
      <c r="K268" s="90">
        <v>0</v>
      </c>
      <c r="L268" s="91"/>
      <c r="M268" s="92"/>
      <c r="N268" s="93"/>
      <c r="P268" s="21" t="s">
        <v>2515</v>
      </c>
      <c r="Q268" s="12"/>
      <c r="R268">
        <f t="shared" si="14"/>
        <v>1</v>
      </c>
      <c r="S268" s="21"/>
      <c r="T268" s="21"/>
      <c r="W268" t="e">
        <f>INDEX(#REF!,MATCH($E268,#REF!,0))</f>
        <v>#REF!</v>
      </c>
      <c r="X268" t="e">
        <f>INDEX(#REF!,MATCH($E268,#REF!,0))</f>
        <v>#REF!</v>
      </c>
      <c r="Y268" t="e">
        <f>INDEX(#REF!,MATCH($E268,#REF!,0))</f>
        <v>#REF!</v>
      </c>
      <c r="Z268" t="e">
        <f>INDEX(#REF!,MATCH($E268,#REF!,0))</f>
        <v>#REF!</v>
      </c>
      <c r="AA268" t="e">
        <f>INDEX(#REF!,MATCH($E268,#REF!,0))</f>
        <v>#REF!</v>
      </c>
      <c r="AB268" t="e">
        <f>INDEX(#REF!,MATCH($E268,#REF!,0))</f>
        <v>#REF!</v>
      </c>
      <c r="AC268" t="e">
        <f>INDEX(#REF!,MATCH($E268,#REF!,0))</f>
        <v>#REF!</v>
      </c>
      <c r="AD268" t="e">
        <f>INDEX(#REF!,MATCH($E268,#REF!,0))</f>
        <v>#REF!</v>
      </c>
      <c r="AE268" t="e">
        <f t="shared" si="12"/>
        <v>#REF!</v>
      </c>
    </row>
    <row r="269" spans="2:31" x14ac:dyDescent="0.25">
      <c r="B269" s="37" t="s">
        <v>2491</v>
      </c>
      <c r="C269" s="37" t="s">
        <v>2493</v>
      </c>
      <c r="D269" s="89" t="s">
        <v>2489</v>
      </c>
      <c r="E269" s="89">
        <v>110672</v>
      </c>
      <c r="F269" s="89">
        <v>1026</v>
      </c>
      <c r="G269" s="90">
        <v>21</v>
      </c>
      <c r="H269" s="90">
        <v>2</v>
      </c>
      <c r="I269" s="90" t="s">
        <v>147</v>
      </c>
      <c r="J269" s="90">
        <v>100000</v>
      </c>
      <c r="K269" s="90">
        <v>0</v>
      </c>
      <c r="L269" s="91"/>
      <c r="M269" s="92"/>
      <c r="N269" s="93"/>
      <c r="P269" s="21" t="s">
        <v>2515</v>
      </c>
      <c r="Q269" s="12"/>
      <c r="R269">
        <f t="shared" si="14"/>
        <v>1</v>
      </c>
      <c r="S269" s="21"/>
      <c r="T269" s="21"/>
      <c r="W269" t="e">
        <f>INDEX(#REF!,MATCH($E269,#REF!,0))</f>
        <v>#REF!</v>
      </c>
      <c r="X269" t="e">
        <f>INDEX(#REF!,MATCH($E269,#REF!,0))</f>
        <v>#REF!</v>
      </c>
      <c r="Y269" t="e">
        <f>INDEX(#REF!,MATCH($E269,#REF!,0))</f>
        <v>#REF!</v>
      </c>
      <c r="Z269" t="e">
        <f>INDEX(#REF!,MATCH($E269,#REF!,0))</f>
        <v>#REF!</v>
      </c>
      <c r="AA269" t="e">
        <f>INDEX(#REF!,MATCH($E269,#REF!,0))</f>
        <v>#REF!</v>
      </c>
      <c r="AB269" t="e">
        <f>INDEX(#REF!,MATCH($E269,#REF!,0))</f>
        <v>#REF!</v>
      </c>
      <c r="AC269" t="e">
        <f>INDEX(#REF!,MATCH($E269,#REF!,0))</f>
        <v>#REF!</v>
      </c>
      <c r="AD269" t="e">
        <f>INDEX(#REF!,MATCH($E269,#REF!,0))</f>
        <v>#REF!</v>
      </c>
      <c r="AE269" t="e">
        <f t="shared" si="12"/>
        <v>#REF!</v>
      </c>
    </row>
    <row r="270" spans="2:31" x14ac:dyDescent="0.25">
      <c r="B270" s="37" t="s">
        <v>2492</v>
      </c>
      <c r="C270" s="37" t="s">
        <v>2494</v>
      </c>
      <c r="D270" s="89" t="s">
        <v>2490</v>
      </c>
      <c r="E270" s="89">
        <v>110673</v>
      </c>
      <c r="F270" s="89">
        <v>1026</v>
      </c>
      <c r="G270" s="90">
        <v>22</v>
      </c>
      <c r="H270" s="90">
        <v>2</v>
      </c>
      <c r="I270" s="90" t="s">
        <v>147</v>
      </c>
      <c r="J270" s="90">
        <v>100000</v>
      </c>
      <c r="K270" s="90">
        <v>0</v>
      </c>
      <c r="L270" s="91"/>
      <c r="M270" s="92"/>
      <c r="N270" s="93"/>
      <c r="P270" s="21" t="s">
        <v>2515</v>
      </c>
      <c r="Q270" s="12"/>
      <c r="R270">
        <f t="shared" si="14"/>
        <v>1</v>
      </c>
      <c r="S270" s="21"/>
      <c r="T270" s="21"/>
      <c r="W270" t="e">
        <f>INDEX(#REF!,MATCH($E270,#REF!,0))</f>
        <v>#REF!</v>
      </c>
      <c r="X270" t="e">
        <f>INDEX(#REF!,MATCH($E270,#REF!,0))</f>
        <v>#REF!</v>
      </c>
      <c r="Y270" t="e">
        <f>INDEX(#REF!,MATCH($E270,#REF!,0))</f>
        <v>#REF!</v>
      </c>
      <c r="Z270" t="e">
        <f>INDEX(#REF!,MATCH($E270,#REF!,0))</f>
        <v>#REF!</v>
      </c>
      <c r="AA270" t="e">
        <f>INDEX(#REF!,MATCH($E270,#REF!,0))</f>
        <v>#REF!</v>
      </c>
      <c r="AB270" t="e">
        <f>INDEX(#REF!,MATCH($E270,#REF!,0))</f>
        <v>#REF!</v>
      </c>
      <c r="AC270" t="e">
        <f>INDEX(#REF!,MATCH($E270,#REF!,0))</f>
        <v>#REF!</v>
      </c>
      <c r="AD270" t="e">
        <f>INDEX(#REF!,MATCH($E270,#REF!,0))</f>
        <v>#REF!</v>
      </c>
      <c r="AE270" t="e">
        <f t="shared" si="12"/>
        <v>#REF!</v>
      </c>
    </row>
    <row r="271" spans="2:31" x14ac:dyDescent="0.25">
      <c r="B271" s="37" t="s">
        <v>2885</v>
      </c>
      <c r="C271" s="37" t="s">
        <v>2879</v>
      </c>
      <c r="D271" s="89" t="s">
        <v>2793</v>
      </c>
      <c r="E271" s="89">
        <v>110676</v>
      </c>
      <c r="F271" s="89">
        <v>1027</v>
      </c>
      <c r="G271" s="90">
        <v>0</v>
      </c>
      <c r="H271" s="90">
        <v>2</v>
      </c>
      <c r="I271" s="90" t="s">
        <v>147</v>
      </c>
      <c r="J271" s="90">
        <v>100000</v>
      </c>
      <c r="K271" s="90">
        <v>0</v>
      </c>
      <c r="L271" s="91"/>
      <c r="M271" s="92"/>
      <c r="N271" s="93"/>
      <c r="P271" s="21" t="s">
        <v>2999</v>
      </c>
      <c r="Q271" s="12" t="s">
        <v>2809</v>
      </c>
      <c r="R271">
        <f t="shared" si="14"/>
        <v>1</v>
      </c>
      <c r="S271" s="21"/>
      <c r="T271" s="21"/>
      <c r="W271" t="e">
        <f>INDEX(#REF!,MATCH($E271,#REF!,0))</f>
        <v>#REF!</v>
      </c>
      <c r="X271" t="e">
        <f>INDEX(#REF!,MATCH($E271,#REF!,0))</f>
        <v>#REF!</v>
      </c>
      <c r="Y271" t="e">
        <f>INDEX(#REF!,MATCH($E271,#REF!,0))</f>
        <v>#REF!</v>
      </c>
      <c r="Z271" t="e">
        <f>INDEX(#REF!,MATCH($E271,#REF!,0))</f>
        <v>#REF!</v>
      </c>
      <c r="AA271" t="e">
        <f>INDEX(#REF!,MATCH($E271,#REF!,0))</f>
        <v>#REF!</v>
      </c>
      <c r="AB271" t="e">
        <f>INDEX(#REF!,MATCH($E271,#REF!,0))</f>
        <v>#REF!</v>
      </c>
      <c r="AC271" t="e">
        <f>INDEX(#REF!,MATCH($E271,#REF!,0))</f>
        <v>#REF!</v>
      </c>
      <c r="AD271" t="e">
        <f>INDEX(#REF!,MATCH($E271,#REF!,0))</f>
        <v>#REF!</v>
      </c>
      <c r="AE271" t="e">
        <f t="shared" si="12"/>
        <v>#REF!</v>
      </c>
    </row>
    <row r="272" spans="2:31" x14ac:dyDescent="0.25">
      <c r="B272" s="37" t="s">
        <v>2886</v>
      </c>
      <c r="C272" s="37" t="s">
        <v>2880</v>
      </c>
      <c r="D272" s="89" t="s">
        <v>2794</v>
      </c>
      <c r="E272" s="89">
        <v>110677</v>
      </c>
      <c r="F272" s="89">
        <v>1027</v>
      </c>
      <c r="G272" s="90">
        <v>1</v>
      </c>
      <c r="H272" s="90">
        <v>2</v>
      </c>
      <c r="I272" s="90" t="s">
        <v>147</v>
      </c>
      <c r="J272" s="90">
        <v>100000</v>
      </c>
      <c r="K272" s="90">
        <v>0</v>
      </c>
      <c r="L272" s="91"/>
      <c r="M272" s="92"/>
      <c r="N272" s="93"/>
      <c r="P272" s="21" t="s">
        <v>2999</v>
      </c>
      <c r="Q272" s="12" t="s">
        <v>2809</v>
      </c>
      <c r="R272">
        <f t="shared" si="14"/>
        <v>1</v>
      </c>
      <c r="S272" s="21"/>
      <c r="T272" s="21"/>
      <c r="W272" t="e">
        <f>INDEX(#REF!,MATCH($E272,#REF!,0))</f>
        <v>#REF!</v>
      </c>
      <c r="X272" t="e">
        <f>INDEX(#REF!,MATCH($E272,#REF!,0))</f>
        <v>#REF!</v>
      </c>
      <c r="Y272" t="e">
        <f>INDEX(#REF!,MATCH($E272,#REF!,0))</f>
        <v>#REF!</v>
      </c>
      <c r="Z272" t="e">
        <f>INDEX(#REF!,MATCH($E272,#REF!,0))</f>
        <v>#REF!</v>
      </c>
      <c r="AA272" t="e">
        <f>INDEX(#REF!,MATCH($E272,#REF!,0))</f>
        <v>#REF!</v>
      </c>
      <c r="AB272" t="e">
        <f>INDEX(#REF!,MATCH($E272,#REF!,0))</f>
        <v>#REF!</v>
      </c>
      <c r="AC272" t="e">
        <f>INDEX(#REF!,MATCH($E272,#REF!,0))</f>
        <v>#REF!</v>
      </c>
      <c r="AD272" t="e">
        <f>INDEX(#REF!,MATCH($E272,#REF!,0))</f>
        <v>#REF!</v>
      </c>
      <c r="AE272" t="e">
        <f t="shared" si="12"/>
        <v>#REF!</v>
      </c>
    </row>
    <row r="273" spans="2:31" x14ac:dyDescent="0.25">
      <c r="B273" s="37" t="s">
        <v>2887</v>
      </c>
      <c r="C273" s="37" t="s">
        <v>2881</v>
      </c>
      <c r="D273" s="89" t="s">
        <v>2795</v>
      </c>
      <c r="E273" s="89">
        <v>110678</v>
      </c>
      <c r="F273" s="89">
        <v>1027</v>
      </c>
      <c r="G273" s="90">
        <v>2</v>
      </c>
      <c r="H273" s="90">
        <v>2</v>
      </c>
      <c r="I273" s="90" t="s">
        <v>147</v>
      </c>
      <c r="J273" s="90">
        <v>100000</v>
      </c>
      <c r="K273" s="90">
        <v>0</v>
      </c>
      <c r="L273" s="91"/>
      <c r="M273" s="92"/>
      <c r="N273" s="93"/>
      <c r="P273" s="21" t="s">
        <v>2999</v>
      </c>
      <c r="Q273" s="12" t="s">
        <v>2809</v>
      </c>
      <c r="R273">
        <f t="shared" si="14"/>
        <v>1</v>
      </c>
      <c r="S273" s="21"/>
      <c r="T273" s="21"/>
      <c r="W273" t="e">
        <f>INDEX(#REF!,MATCH($E273,#REF!,0))</f>
        <v>#REF!</v>
      </c>
      <c r="X273" t="e">
        <f>INDEX(#REF!,MATCH($E273,#REF!,0))</f>
        <v>#REF!</v>
      </c>
      <c r="Y273" t="e">
        <f>INDEX(#REF!,MATCH($E273,#REF!,0))</f>
        <v>#REF!</v>
      </c>
      <c r="Z273" t="e">
        <f>INDEX(#REF!,MATCH($E273,#REF!,0))</f>
        <v>#REF!</v>
      </c>
      <c r="AA273" t="e">
        <f>INDEX(#REF!,MATCH($E273,#REF!,0))</f>
        <v>#REF!</v>
      </c>
      <c r="AB273" t="e">
        <f>INDEX(#REF!,MATCH($E273,#REF!,0))</f>
        <v>#REF!</v>
      </c>
      <c r="AC273" t="e">
        <f>INDEX(#REF!,MATCH($E273,#REF!,0))</f>
        <v>#REF!</v>
      </c>
      <c r="AD273" t="e">
        <f>INDEX(#REF!,MATCH($E273,#REF!,0))</f>
        <v>#REF!</v>
      </c>
      <c r="AE273" t="e">
        <f t="shared" si="12"/>
        <v>#REF!</v>
      </c>
    </row>
    <row r="274" spans="2:31" x14ac:dyDescent="0.25">
      <c r="B274" s="37" t="s">
        <v>2888</v>
      </c>
      <c r="C274" s="37" t="s">
        <v>2882</v>
      </c>
      <c r="D274" s="89" t="s">
        <v>2796</v>
      </c>
      <c r="E274" s="89">
        <v>110679</v>
      </c>
      <c r="F274" s="89">
        <v>1027</v>
      </c>
      <c r="G274" s="90">
        <v>3</v>
      </c>
      <c r="H274" s="90">
        <v>2</v>
      </c>
      <c r="I274" s="90" t="s">
        <v>147</v>
      </c>
      <c r="J274" s="90">
        <v>100000</v>
      </c>
      <c r="K274" s="90">
        <v>0</v>
      </c>
      <c r="L274" s="91"/>
      <c r="M274" s="92"/>
      <c r="N274" s="93"/>
      <c r="P274" s="21" t="s">
        <v>2999</v>
      </c>
      <c r="Q274" s="12" t="s">
        <v>2809</v>
      </c>
      <c r="R274">
        <f t="shared" si="14"/>
        <v>1</v>
      </c>
      <c r="S274" s="21"/>
      <c r="T274" s="21"/>
      <c r="W274" t="e">
        <f>INDEX(#REF!,MATCH($E274,#REF!,0))</f>
        <v>#REF!</v>
      </c>
      <c r="X274" t="e">
        <f>INDEX(#REF!,MATCH($E274,#REF!,0))</f>
        <v>#REF!</v>
      </c>
      <c r="Y274" t="e">
        <f>INDEX(#REF!,MATCH($E274,#REF!,0))</f>
        <v>#REF!</v>
      </c>
      <c r="Z274" t="e">
        <f>INDEX(#REF!,MATCH($E274,#REF!,0))</f>
        <v>#REF!</v>
      </c>
      <c r="AA274" t="e">
        <f>INDEX(#REF!,MATCH($E274,#REF!,0))</f>
        <v>#REF!</v>
      </c>
      <c r="AB274" t="e">
        <f>INDEX(#REF!,MATCH($E274,#REF!,0))</f>
        <v>#REF!</v>
      </c>
      <c r="AC274" t="e">
        <f>INDEX(#REF!,MATCH($E274,#REF!,0))</f>
        <v>#REF!</v>
      </c>
      <c r="AD274" t="e">
        <f>INDEX(#REF!,MATCH($E274,#REF!,0))</f>
        <v>#REF!</v>
      </c>
      <c r="AE274" t="e">
        <f t="shared" si="12"/>
        <v>#REF!</v>
      </c>
    </row>
    <row r="275" spans="2:31" x14ac:dyDescent="0.25">
      <c r="B275" s="37" t="s">
        <v>2889</v>
      </c>
      <c r="C275" s="37" t="s">
        <v>2883</v>
      </c>
      <c r="D275" s="89" t="s">
        <v>2797</v>
      </c>
      <c r="E275" s="89">
        <v>110680</v>
      </c>
      <c r="F275" s="89">
        <v>1027</v>
      </c>
      <c r="G275" s="90">
        <v>4</v>
      </c>
      <c r="H275" s="90">
        <v>2</v>
      </c>
      <c r="I275" s="90" t="s">
        <v>147</v>
      </c>
      <c r="J275" s="90">
        <v>100000</v>
      </c>
      <c r="K275" s="90">
        <v>0</v>
      </c>
      <c r="L275" s="91"/>
      <c r="M275" s="92"/>
      <c r="N275" s="93"/>
      <c r="P275" s="21" t="s">
        <v>2999</v>
      </c>
      <c r="Q275" s="12" t="s">
        <v>2809</v>
      </c>
      <c r="R275">
        <f t="shared" si="14"/>
        <v>1</v>
      </c>
      <c r="S275" s="21"/>
      <c r="T275" s="21"/>
      <c r="W275" t="e">
        <f>INDEX(#REF!,MATCH($E275,#REF!,0))</f>
        <v>#REF!</v>
      </c>
      <c r="X275" t="e">
        <f>INDEX(#REF!,MATCH($E275,#REF!,0))</f>
        <v>#REF!</v>
      </c>
      <c r="Y275" t="e">
        <f>INDEX(#REF!,MATCH($E275,#REF!,0))</f>
        <v>#REF!</v>
      </c>
      <c r="Z275" t="e">
        <f>INDEX(#REF!,MATCH($E275,#REF!,0))</f>
        <v>#REF!</v>
      </c>
      <c r="AA275" t="e">
        <f>INDEX(#REF!,MATCH($E275,#REF!,0))</f>
        <v>#REF!</v>
      </c>
      <c r="AB275" t="e">
        <f>INDEX(#REF!,MATCH($E275,#REF!,0))</f>
        <v>#REF!</v>
      </c>
      <c r="AC275" t="e">
        <f>INDEX(#REF!,MATCH($E275,#REF!,0))</f>
        <v>#REF!</v>
      </c>
      <c r="AD275" t="e">
        <f>INDEX(#REF!,MATCH($E275,#REF!,0))</f>
        <v>#REF!</v>
      </c>
      <c r="AE275" t="e">
        <f t="shared" si="12"/>
        <v>#REF!</v>
      </c>
    </row>
    <row r="276" spans="2:31" x14ac:dyDescent="0.25">
      <c r="B276" s="37" t="s">
        <v>2890</v>
      </c>
      <c r="C276" s="37" t="s">
        <v>2884</v>
      </c>
      <c r="D276" s="89" t="s">
        <v>2798</v>
      </c>
      <c r="E276" s="89">
        <v>110681</v>
      </c>
      <c r="F276" s="89">
        <v>1027</v>
      </c>
      <c r="G276" s="90">
        <v>5</v>
      </c>
      <c r="H276" s="90">
        <v>2</v>
      </c>
      <c r="I276" s="90" t="s">
        <v>147</v>
      </c>
      <c r="J276" s="90">
        <v>100000</v>
      </c>
      <c r="K276" s="90">
        <v>0</v>
      </c>
      <c r="L276" s="91"/>
      <c r="M276" s="92"/>
      <c r="N276" s="93"/>
      <c r="P276" s="21" t="s">
        <v>2999</v>
      </c>
      <c r="Q276" s="12" t="s">
        <v>2809</v>
      </c>
      <c r="R276">
        <f t="shared" si="14"/>
        <v>1</v>
      </c>
      <c r="S276" s="21"/>
      <c r="T276" s="21"/>
      <c r="W276" t="e">
        <f>INDEX(#REF!,MATCH($E276,#REF!,0))</f>
        <v>#REF!</v>
      </c>
      <c r="X276" t="e">
        <f>INDEX(#REF!,MATCH($E276,#REF!,0))</f>
        <v>#REF!</v>
      </c>
      <c r="Y276" t="e">
        <f>INDEX(#REF!,MATCH($E276,#REF!,0))</f>
        <v>#REF!</v>
      </c>
      <c r="Z276" t="e">
        <f>INDEX(#REF!,MATCH($E276,#REF!,0))</f>
        <v>#REF!</v>
      </c>
      <c r="AA276" t="e">
        <f>INDEX(#REF!,MATCH($E276,#REF!,0))</f>
        <v>#REF!</v>
      </c>
      <c r="AB276" t="e">
        <f>INDEX(#REF!,MATCH($E276,#REF!,0))</f>
        <v>#REF!</v>
      </c>
      <c r="AC276" t="e">
        <f>INDEX(#REF!,MATCH($E276,#REF!,0))</f>
        <v>#REF!</v>
      </c>
      <c r="AD276" t="e">
        <f>INDEX(#REF!,MATCH($E276,#REF!,0))</f>
        <v>#REF!</v>
      </c>
      <c r="AE276" t="e">
        <f t="shared" si="12"/>
        <v>#REF!</v>
      </c>
    </row>
    <row r="277" spans="2:31" x14ac:dyDescent="0.25">
      <c r="B277" s="37" t="s">
        <v>2486</v>
      </c>
      <c r="C277" s="37" t="s">
        <v>2485</v>
      </c>
      <c r="D277" s="89" t="s">
        <v>2487</v>
      </c>
      <c r="E277" s="89">
        <v>110682</v>
      </c>
      <c r="F277" s="89">
        <v>1027</v>
      </c>
      <c r="G277" s="90">
        <v>6</v>
      </c>
      <c r="H277" s="90">
        <v>2</v>
      </c>
      <c r="I277" s="90" t="s">
        <v>222</v>
      </c>
      <c r="J277" s="90">
        <v>1000</v>
      </c>
      <c r="K277" s="90">
        <v>0</v>
      </c>
      <c r="L277" s="91"/>
      <c r="M277" s="92"/>
      <c r="N277" s="93"/>
      <c r="P277" s="21" t="s">
        <v>2515</v>
      </c>
      <c r="Q277" s="12"/>
      <c r="R277">
        <f t="shared" si="14"/>
        <v>1</v>
      </c>
      <c r="S277" s="21"/>
      <c r="T277" s="21"/>
      <c r="W277" t="e">
        <f>INDEX(#REF!,MATCH($E277,#REF!,0))</f>
        <v>#REF!</v>
      </c>
      <c r="X277" t="e">
        <f>INDEX(#REF!,MATCH($E277,#REF!,0))</f>
        <v>#REF!</v>
      </c>
      <c r="Y277" t="e">
        <f>INDEX(#REF!,MATCH($E277,#REF!,0))</f>
        <v>#REF!</v>
      </c>
      <c r="Z277" t="e">
        <f>INDEX(#REF!,MATCH($E277,#REF!,0))</f>
        <v>#REF!</v>
      </c>
      <c r="AA277" t="e">
        <f>INDEX(#REF!,MATCH($E277,#REF!,0))</f>
        <v>#REF!</v>
      </c>
      <c r="AB277" t="e">
        <f>INDEX(#REF!,MATCH($E277,#REF!,0))</f>
        <v>#REF!</v>
      </c>
      <c r="AC277" t="e">
        <f>INDEX(#REF!,MATCH($E277,#REF!,0))</f>
        <v>#REF!</v>
      </c>
      <c r="AD277" t="e">
        <f>INDEX(#REF!,MATCH($E277,#REF!,0))</f>
        <v>#REF!</v>
      </c>
      <c r="AE277" t="e">
        <f t="shared" si="12"/>
        <v>#REF!</v>
      </c>
    </row>
    <row r="278" spans="2:31" x14ac:dyDescent="0.25">
      <c r="B278" s="37" t="s">
        <v>2507</v>
      </c>
      <c r="C278" s="37" t="s">
        <v>2508</v>
      </c>
      <c r="D278" s="89" t="s">
        <v>3388</v>
      </c>
      <c r="E278" s="89">
        <v>110683</v>
      </c>
      <c r="F278" s="89">
        <v>1027</v>
      </c>
      <c r="G278" s="90">
        <v>7</v>
      </c>
      <c r="H278" s="90">
        <v>2</v>
      </c>
      <c r="I278" s="90" t="s">
        <v>225</v>
      </c>
      <c r="J278" s="90">
        <v>10</v>
      </c>
      <c r="K278" s="90">
        <v>0</v>
      </c>
      <c r="L278" s="91"/>
      <c r="M278" s="92"/>
      <c r="N278" s="93"/>
      <c r="P278" s="21" t="s">
        <v>3306</v>
      </c>
      <c r="Q278" s="12" t="s">
        <v>3305</v>
      </c>
      <c r="R278">
        <f>COUNTIF(C:C,C279)</f>
        <v>1</v>
      </c>
      <c r="S278" s="21"/>
      <c r="T278" s="21"/>
      <c r="W278" t="e">
        <f>INDEX(#REF!,MATCH($E278,#REF!,0))</f>
        <v>#REF!</v>
      </c>
      <c r="X278" t="e">
        <f>INDEX(#REF!,MATCH($E278,#REF!,0))</f>
        <v>#REF!</v>
      </c>
      <c r="Y278" t="e">
        <f>INDEX(#REF!,MATCH($E278,#REF!,0))</f>
        <v>#REF!</v>
      </c>
      <c r="Z278" t="e">
        <f>INDEX(#REF!,MATCH($E278,#REF!,0))</f>
        <v>#REF!</v>
      </c>
      <c r="AA278" t="e">
        <f>INDEX(#REF!,MATCH($E278,#REF!,0))</f>
        <v>#REF!</v>
      </c>
      <c r="AB278" t="e">
        <f>INDEX(#REF!,MATCH($E278,#REF!,0))</f>
        <v>#REF!</v>
      </c>
      <c r="AC278" t="e">
        <f>INDEX(#REF!,MATCH($E278,#REF!,0))</f>
        <v>#REF!</v>
      </c>
      <c r="AD278" t="e">
        <f>INDEX(#REF!,MATCH($E278,#REF!,0))</f>
        <v>#REF!</v>
      </c>
      <c r="AE278" t="e">
        <f t="shared" ref="AE278:AE339" si="15">AND(X278=F278,G278=Y278,AC278=J278,AD278=H278)</f>
        <v>#REF!</v>
      </c>
    </row>
    <row r="279" spans="2:31" x14ac:dyDescent="0.25">
      <c r="B279" s="37" t="s">
        <v>2505</v>
      </c>
      <c r="C279" s="37" t="s">
        <v>2506</v>
      </c>
      <c r="D279" s="89" t="s">
        <v>3411</v>
      </c>
      <c r="E279" s="89">
        <v>110684</v>
      </c>
      <c r="F279" s="89">
        <v>1027</v>
      </c>
      <c r="G279" s="90">
        <v>8</v>
      </c>
      <c r="H279" s="90">
        <v>2</v>
      </c>
      <c r="I279" s="90" t="s">
        <v>225</v>
      </c>
      <c r="J279" s="90">
        <v>10</v>
      </c>
      <c r="K279" s="90">
        <v>0</v>
      </c>
      <c r="L279" s="91"/>
      <c r="M279" s="92"/>
      <c r="N279" s="93"/>
      <c r="P279" s="21" t="s">
        <v>3306</v>
      </c>
      <c r="Q279" s="12" t="s">
        <v>3305</v>
      </c>
      <c r="R279">
        <f>COUNTIF(C:C,C278)</f>
        <v>1</v>
      </c>
      <c r="S279" s="21"/>
      <c r="T279" s="21"/>
      <c r="W279" t="e">
        <f>INDEX(#REF!,MATCH($E279,#REF!,0))</f>
        <v>#REF!</v>
      </c>
      <c r="X279" t="e">
        <f>INDEX(#REF!,MATCH($E279,#REF!,0))</f>
        <v>#REF!</v>
      </c>
      <c r="Y279" t="e">
        <f>INDEX(#REF!,MATCH($E279,#REF!,0))</f>
        <v>#REF!</v>
      </c>
      <c r="Z279" t="e">
        <f>INDEX(#REF!,MATCH($E279,#REF!,0))</f>
        <v>#REF!</v>
      </c>
      <c r="AA279" t="e">
        <f>INDEX(#REF!,MATCH($E279,#REF!,0))</f>
        <v>#REF!</v>
      </c>
      <c r="AB279" t="e">
        <f>INDEX(#REF!,MATCH($E279,#REF!,0))</f>
        <v>#REF!</v>
      </c>
      <c r="AC279" t="e">
        <f>INDEX(#REF!,MATCH($E279,#REF!,0))</f>
        <v>#REF!</v>
      </c>
      <c r="AD279" t="e">
        <f>INDEX(#REF!,MATCH($E279,#REF!,0))</f>
        <v>#REF!</v>
      </c>
      <c r="AE279" t="e">
        <f t="shared" si="15"/>
        <v>#REF!</v>
      </c>
    </row>
    <row r="280" spans="2:31" x14ac:dyDescent="0.25">
      <c r="B280" s="71" t="s">
        <v>3430</v>
      </c>
      <c r="C280" s="71" t="s">
        <v>3429</v>
      </c>
      <c r="D280" s="89" t="s">
        <v>3431</v>
      </c>
      <c r="E280" s="89">
        <v>110685</v>
      </c>
      <c r="F280" s="89">
        <v>1027</v>
      </c>
      <c r="G280" s="90">
        <v>9</v>
      </c>
      <c r="H280" s="90">
        <v>2</v>
      </c>
      <c r="I280" s="90" t="s">
        <v>26</v>
      </c>
      <c r="J280" s="90">
        <v>1</v>
      </c>
      <c r="K280" s="90">
        <v>0</v>
      </c>
      <c r="L280" s="91"/>
      <c r="M280" s="92"/>
      <c r="N280" s="93"/>
      <c r="P280" s="21" t="s">
        <v>2999</v>
      </c>
      <c r="Q280" s="12" t="s">
        <v>2809</v>
      </c>
      <c r="R280">
        <f t="shared" ref="R280:R286" si="16">COUNTIF(C:C,C280)</f>
        <v>1</v>
      </c>
      <c r="S280" s="21"/>
      <c r="T280" s="21"/>
      <c r="W280" t="e">
        <f>INDEX(#REF!,MATCH($E280,#REF!,0))</f>
        <v>#REF!</v>
      </c>
      <c r="X280" t="e">
        <f>INDEX(#REF!,MATCH($E280,#REF!,0))</f>
        <v>#REF!</v>
      </c>
      <c r="Y280" t="e">
        <f>INDEX(#REF!,MATCH($E280,#REF!,0))</f>
        <v>#REF!</v>
      </c>
      <c r="Z280" t="e">
        <f>INDEX(#REF!,MATCH($E280,#REF!,0))</f>
        <v>#REF!</v>
      </c>
      <c r="AA280" t="e">
        <f>INDEX(#REF!,MATCH($E280,#REF!,0))</f>
        <v>#REF!</v>
      </c>
      <c r="AB280" t="e">
        <f>INDEX(#REF!,MATCH($E280,#REF!,0))</f>
        <v>#REF!</v>
      </c>
      <c r="AC280" t="e">
        <f>INDEX(#REF!,MATCH($E280,#REF!,0))</f>
        <v>#REF!</v>
      </c>
      <c r="AD280" t="e">
        <f>INDEX(#REF!,MATCH($E280,#REF!,0))</f>
        <v>#REF!</v>
      </c>
      <c r="AE280" t="e">
        <f t="shared" si="15"/>
        <v>#REF!</v>
      </c>
    </row>
    <row r="281" spans="2:31" x14ac:dyDescent="0.25">
      <c r="B281" s="45" t="s">
        <v>2480</v>
      </c>
      <c r="C281" s="45" t="s">
        <v>2479</v>
      </c>
      <c r="D281" s="89" t="s">
        <v>2452</v>
      </c>
      <c r="E281" s="89">
        <v>110695</v>
      </c>
      <c r="F281" s="89">
        <v>1027</v>
      </c>
      <c r="G281" s="90">
        <v>19</v>
      </c>
      <c r="H281" s="90">
        <v>2</v>
      </c>
      <c r="I281" s="90" t="s">
        <v>147</v>
      </c>
      <c r="J281" s="90">
        <v>100000</v>
      </c>
      <c r="K281" s="90">
        <v>0</v>
      </c>
      <c r="L281" s="91"/>
      <c r="M281" s="92"/>
      <c r="N281" s="93"/>
      <c r="P281" s="21" t="s">
        <v>2515</v>
      </c>
      <c r="Q281" s="12"/>
      <c r="R281">
        <f t="shared" si="16"/>
        <v>1</v>
      </c>
      <c r="S281" s="21"/>
      <c r="T281" s="21"/>
      <c r="W281" t="e">
        <f>INDEX(#REF!,MATCH($E281,#REF!,0))</f>
        <v>#REF!</v>
      </c>
      <c r="X281" t="e">
        <f>INDEX(#REF!,MATCH($E281,#REF!,0))</f>
        <v>#REF!</v>
      </c>
      <c r="Y281" t="e">
        <f>INDEX(#REF!,MATCH($E281,#REF!,0))</f>
        <v>#REF!</v>
      </c>
      <c r="Z281" t="e">
        <f>INDEX(#REF!,MATCH($E281,#REF!,0))</f>
        <v>#REF!</v>
      </c>
      <c r="AA281" t="e">
        <f>INDEX(#REF!,MATCH($E281,#REF!,0))</f>
        <v>#REF!</v>
      </c>
      <c r="AB281" t="e">
        <f>INDEX(#REF!,MATCH($E281,#REF!,0))</f>
        <v>#REF!</v>
      </c>
      <c r="AC281" t="e">
        <f>INDEX(#REF!,MATCH($E281,#REF!,0))</f>
        <v>#REF!</v>
      </c>
      <c r="AD281" t="e">
        <f>INDEX(#REF!,MATCH($E281,#REF!,0))</f>
        <v>#REF!</v>
      </c>
      <c r="AE281" t="e">
        <f t="shared" si="15"/>
        <v>#REF!</v>
      </c>
    </row>
    <row r="282" spans="2:31" x14ac:dyDescent="0.25">
      <c r="B282" s="45" t="s">
        <v>2478</v>
      </c>
      <c r="C282" s="45" t="s">
        <v>2477</v>
      </c>
      <c r="D282" s="89" t="s">
        <v>2453</v>
      </c>
      <c r="E282" s="89">
        <v>110696</v>
      </c>
      <c r="F282" s="89">
        <v>1027</v>
      </c>
      <c r="G282" s="90">
        <v>20</v>
      </c>
      <c r="H282" s="90">
        <v>2</v>
      </c>
      <c r="I282" s="90" t="s">
        <v>147</v>
      </c>
      <c r="J282" s="90">
        <v>100000</v>
      </c>
      <c r="K282" s="90">
        <v>0</v>
      </c>
      <c r="L282" s="91"/>
      <c r="M282" s="92"/>
      <c r="N282" s="93"/>
      <c r="P282" s="21" t="s">
        <v>2515</v>
      </c>
      <c r="Q282" s="12"/>
      <c r="R282">
        <f t="shared" si="16"/>
        <v>1</v>
      </c>
      <c r="S282" s="21"/>
      <c r="T282" s="21"/>
      <c r="W282" t="e">
        <f>INDEX(#REF!,MATCH($E282,#REF!,0))</f>
        <v>#REF!</v>
      </c>
      <c r="X282" t="e">
        <f>INDEX(#REF!,MATCH($E282,#REF!,0))</f>
        <v>#REF!</v>
      </c>
      <c r="Y282" t="e">
        <f>INDEX(#REF!,MATCH($E282,#REF!,0))</f>
        <v>#REF!</v>
      </c>
      <c r="Z282" t="e">
        <f>INDEX(#REF!,MATCH($E282,#REF!,0))</f>
        <v>#REF!</v>
      </c>
      <c r="AA282" t="e">
        <f>INDEX(#REF!,MATCH($E282,#REF!,0))</f>
        <v>#REF!</v>
      </c>
      <c r="AB282" t="e">
        <f>INDEX(#REF!,MATCH($E282,#REF!,0))</f>
        <v>#REF!</v>
      </c>
      <c r="AC282" t="e">
        <f>INDEX(#REF!,MATCH($E282,#REF!,0))</f>
        <v>#REF!</v>
      </c>
      <c r="AD282" t="e">
        <f>INDEX(#REF!,MATCH($E282,#REF!,0))</f>
        <v>#REF!</v>
      </c>
      <c r="AE282" t="e">
        <f t="shared" si="15"/>
        <v>#REF!</v>
      </c>
    </row>
    <row r="283" spans="2:31" x14ac:dyDescent="0.25">
      <c r="B283" s="45" t="s">
        <v>2476</v>
      </c>
      <c r="C283" s="45" t="s">
        <v>2475</v>
      </c>
      <c r="D283" s="89" t="s">
        <v>2454</v>
      </c>
      <c r="E283" s="89">
        <v>110697</v>
      </c>
      <c r="F283" s="89">
        <v>1027</v>
      </c>
      <c r="G283" s="90">
        <v>21</v>
      </c>
      <c r="H283" s="90">
        <v>2</v>
      </c>
      <c r="I283" s="90" t="s">
        <v>147</v>
      </c>
      <c r="J283" s="90">
        <v>100000</v>
      </c>
      <c r="K283" s="90">
        <v>0</v>
      </c>
      <c r="L283" s="91"/>
      <c r="M283" s="92"/>
      <c r="N283" s="93"/>
      <c r="P283" s="21" t="s">
        <v>2515</v>
      </c>
      <c r="Q283" s="12"/>
      <c r="R283">
        <f t="shared" si="16"/>
        <v>1</v>
      </c>
      <c r="S283" s="21"/>
      <c r="T283" s="21"/>
      <c r="W283" t="e">
        <f>INDEX(#REF!,MATCH($E283,#REF!,0))</f>
        <v>#REF!</v>
      </c>
      <c r="X283" t="e">
        <f>INDEX(#REF!,MATCH($E283,#REF!,0))</f>
        <v>#REF!</v>
      </c>
      <c r="Y283" t="e">
        <f>INDEX(#REF!,MATCH($E283,#REF!,0))</f>
        <v>#REF!</v>
      </c>
      <c r="Z283" t="e">
        <f>INDEX(#REF!,MATCH($E283,#REF!,0))</f>
        <v>#REF!</v>
      </c>
      <c r="AA283" t="e">
        <f>INDEX(#REF!,MATCH($E283,#REF!,0))</f>
        <v>#REF!</v>
      </c>
      <c r="AB283" t="e">
        <f>INDEX(#REF!,MATCH($E283,#REF!,0))</f>
        <v>#REF!</v>
      </c>
      <c r="AC283" t="e">
        <f>INDEX(#REF!,MATCH($E283,#REF!,0))</f>
        <v>#REF!</v>
      </c>
      <c r="AD283" t="e">
        <f>INDEX(#REF!,MATCH($E283,#REF!,0))</f>
        <v>#REF!</v>
      </c>
      <c r="AE283" t="e">
        <f t="shared" si="15"/>
        <v>#REF!</v>
      </c>
    </row>
    <row r="284" spans="2:31" x14ac:dyDescent="0.25">
      <c r="B284" s="45" t="s">
        <v>2470</v>
      </c>
      <c r="C284" s="45" t="s">
        <v>2467</v>
      </c>
      <c r="D284" s="89" t="s">
        <v>2455</v>
      </c>
      <c r="E284" s="89">
        <v>110698</v>
      </c>
      <c r="F284" s="89">
        <v>1027</v>
      </c>
      <c r="G284" s="90">
        <v>22</v>
      </c>
      <c r="H284" s="90">
        <v>2</v>
      </c>
      <c r="I284" s="90" t="s">
        <v>147</v>
      </c>
      <c r="J284" s="90">
        <v>100000</v>
      </c>
      <c r="K284" s="90">
        <v>0</v>
      </c>
      <c r="L284" s="91"/>
      <c r="M284" s="92"/>
      <c r="N284" s="93"/>
      <c r="P284" s="21" t="s">
        <v>2515</v>
      </c>
      <c r="Q284" s="12"/>
      <c r="R284">
        <f t="shared" si="16"/>
        <v>1</v>
      </c>
      <c r="S284" s="21"/>
      <c r="T284" s="21"/>
      <c r="W284" t="e">
        <f>INDEX(#REF!,MATCH($E284,#REF!,0))</f>
        <v>#REF!</v>
      </c>
      <c r="X284" t="e">
        <f>INDEX(#REF!,MATCH($E284,#REF!,0))</f>
        <v>#REF!</v>
      </c>
      <c r="Y284" t="e">
        <f>INDEX(#REF!,MATCH($E284,#REF!,0))</f>
        <v>#REF!</v>
      </c>
      <c r="Z284" t="e">
        <f>INDEX(#REF!,MATCH($E284,#REF!,0))</f>
        <v>#REF!</v>
      </c>
      <c r="AA284" t="e">
        <f>INDEX(#REF!,MATCH($E284,#REF!,0))</f>
        <v>#REF!</v>
      </c>
      <c r="AB284" t="e">
        <f>INDEX(#REF!,MATCH($E284,#REF!,0))</f>
        <v>#REF!</v>
      </c>
      <c r="AC284" t="e">
        <f>INDEX(#REF!,MATCH($E284,#REF!,0))</f>
        <v>#REF!</v>
      </c>
      <c r="AD284" t="e">
        <f>INDEX(#REF!,MATCH($E284,#REF!,0))</f>
        <v>#REF!</v>
      </c>
      <c r="AE284" t="e">
        <f t="shared" si="15"/>
        <v>#REF!</v>
      </c>
    </row>
    <row r="285" spans="2:31" x14ac:dyDescent="0.25">
      <c r="B285" s="45" t="s">
        <v>2471</v>
      </c>
      <c r="C285" s="45" t="s">
        <v>2468</v>
      </c>
      <c r="D285" s="89" t="s">
        <v>2456</v>
      </c>
      <c r="E285" s="89">
        <v>110699</v>
      </c>
      <c r="F285" s="89">
        <v>1027</v>
      </c>
      <c r="G285" s="90">
        <v>23</v>
      </c>
      <c r="H285" s="90">
        <v>2</v>
      </c>
      <c r="I285" s="90" t="s">
        <v>147</v>
      </c>
      <c r="J285" s="90">
        <v>100000</v>
      </c>
      <c r="K285" s="90">
        <v>0</v>
      </c>
      <c r="L285" s="91"/>
      <c r="M285" s="92"/>
      <c r="N285" s="93"/>
      <c r="P285" s="21" t="s">
        <v>2515</v>
      </c>
      <c r="Q285" s="12"/>
      <c r="R285">
        <f t="shared" si="16"/>
        <v>1</v>
      </c>
      <c r="S285" s="21"/>
      <c r="T285" s="21"/>
      <c r="W285" t="e">
        <f>INDEX(#REF!,MATCH($E285,#REF!,0))</f>
        <v>#REF!</v>
      </c>
      <c r="X285" t="e">
        <f>INDEX(#REF!,MATCH($E285,#REF!,0))</f>
        <v>#REF!</v>
      </c>
      <c r="Y285" t="e">
        <f>INDEX(#REF!,MATCH($E285,#REF!,0))</f>
        <v>#REF!</v>
      </c>
      <c r="Z285" t="e">
        <f>INDEX(#REF!,MATCH($E285,#REF!,0))</f>
        <v>#REF!</v>
      </c>
      <c r="AA285" t="e">
        <f>INDEX(#REF!,MATCH($E285,#REF!,0))</f>
        <v>#REF!</v>
      </c>
      <c r="AB285" t="e">
        <f>INDEX(#REF!,MATCH($E285,#REF!,0))</f>
        <v>#REF!</v>
      </c>
      <c r="AC285" t="e">
        <f>INDEX(#REF!,MATCH($E285,#REF!,0))</f>
        <v>#REF!</v>
      </c>
      <c r="AD285" t="e">
        <f>INDEX(#REF!,MATCH($E285,#REF!,0))</f>
        <v>#REF!</v>
      </c>
      <c r="AE285" t="e">
        <f t="shared" si="15"/>
        <v>#REF!</v>
      </c>
    </row>
    <row r="286" spans="2:31" x14ac:dyDescent="0.25">
      <c r="B286" s="45" t="s">
        <v>2472</v>
      </c>
      <c r="C286" s="45" t="s">
        <v>2469</v>
      </c>
      <c r="D286" s="89" t="s">
        <v>2457</v>
      </c>
      <c r="E286" s="89">
        <v>110700</v>
      </c>
      <c r="F286" s="89">
        <v>1027</v>
      </c>
      <c r="G286" s="90">
        <v>24</v>
      </c>
      <c r="H286" s="90">
        <v>2</v>
      </c>
      <c r="I286" s="90" t="s">
        <v>147</v>
      </c>
      <c r="J286" s="90">
        <v>100000</v>
      </c>
      <c r="K286" s="90">
        <v>0</v>
      </c>
      <c r="L286" s="91"/>
      <c r="M286" s="92"/>
      <c r="N286" s="93"/>
      <c r="P286" s="21" t="s">
        <v>2515</v>
      </c>
      <c r="Q286" s="12"/>
      <c r="R286">
        <f t="shared" si="16"/>
        <v>1</v>
      </c>
      <c r="S286" s="21"/>
      <c r="T286" s="21"/>
      <c r="W286" t="e">
        <f>INDEX(#REF!,MATCH($E286,#REF!,0))</f>
        <v>#REF!</v>
      </c>
      <c r="X286" t="e">
        <f>INDEX(#REF!,MATCH($E286,#REF!,0))</f>
        <v>#REF!</v>
      </c>
      <c r="Y286" t="e">
        <f>INDEX(#REF!,MATCH($E286,#REF!,0))</f>
        <v>#REF!</v>
      </c>
      <c r="Z286" t="e">
        <f>INDEX(#REF!,MATCH($E286,#REF!,0))</f>
        <v>#REF!</v>
      </c>
      <c r="AA286" t="e">
        <f>INDEX(#REF!,MATCH($E286,#REF!,0))</f>
        <v>#REF!</v>
      </c>
      <c r="AB286" t="e">
        <f>INDEX(#REF!,MATCH($E286,#REF!,0))</f>
        <v>#REF!</v>
      </c>
      <c r="AC286" t="e">
        <f>INDEX(#REF!,MATCH($E286,#REF!,0))</f>
        <v>#REF!</v>
      </c>
      <c r="AD286" t="e">
        <f>INDEX(#REF!,MATCH($E286,#REF!,0))</f>
        <v>#REF!</v>
      </c>
      <c r="AE286" t="e">
        <f t="shared" si="15"/>
        <v>#REF!</v>
      </c>
    </row>
    <row r="287" spans="2:31" x14ac:dyDescent="0.25">
      <c r="B287" s="71" t="s">
        <v>3333</v>
      </c>
      <c r="C287" s="71" t="s">
        <v>3401</v>
      </c>
      <c r="D287" s="89" t="s">
        <v>3425</v>
      </c>
      <c r="E287" s="89">
        <v>110701</v>
      </c>
      <c r="F287" s="89">
        <v>1028</v>
      </c>
      <c r="G287" s="90">
        <v>0</v>
      </c>
      <c r="H287" s="90">
        <v>2</v>
      </c>
      <c r="I287" s="90" t="s">
        <v>18</v>
      </c>
      <c r="J287" s="90">
        <v>1</v>
      </c>
      <c r="K287" s="90">
        <v>0</v>
      </c>
      <c r="L287" s="91"/>
      <c r="M287" s="92" t="s">
        <v>3336</v>
      </c>
      <c r="N287" s="93" t="s">
        <v>3330</v>
      </c>
      <c r="P287" s="72" t="s">
        <v>3400</v>
      </c>
      <c r="Q287" s="71" t="s">
        <v>3386</v>
      </c>
    </row>
    <row r="288" spans="2:31" x14ac:dyDescent="0.25">
      <c r="B288" s="71" t="s">
        <v>3334</v>
      </c>
      <c r="C288" s="71" t="s">
        <v>3402</v>
      </c>
      <c r="D288" s="89" t="s">
        <v>3426</v>
      </c>
      <c r="E288" s="89">
        <v>110702</v>
      </c>
      <c r="F288" s="89">
        <v>1028</v>
      </c>
      <c r="G288" s="90">
        <v>1</v>
      </c>
      <c r="H288" s="90">
        <v>2</v>
      </c>
      <c r="I288" s="90" t="s">
        <v>18</v>
      </c>
      <c r="J288" s="90">
        <v>1</v>
      </c>
      <c r="K288" s="90">
        <v>0</v>
      </c>
      <c r="L288" s="91"/>
      <c r="M288" s="92" t="s">
        <v>3337</v>
      </c>
      <c r="N288" s="93" t="s">
        <v>3331</v>
      </c>
      <c r="P288" s="72" t="s">
        <v>3400</v>
      </c>
      <c r="Q288" s="71" t="s">
        <v>3386</v>
      </c>
    </row>
    <row r="289" spans="2:31" x14ac:dyDescent="0.25">
      <c r="B289" s="71" t="s">
        <v>3335</v>
      </c>
      <c r="C289" s="71" t="s">
        <v>3403</v>
      </c>
      <c r="D289" s="89" t="s">
        <v>3427</v>
      </c>
      <c r="E289" s="89">
        <v>110703</v>
      </c>
      <c r="F289" s="89">
        <v>1028</v>
      </c>
      <c r="G289" s="90">
        <v>2</v>
      </c>
      <c r="H289" s="90">
        <v>2</v>
      </c>
      <c r="I289" s="90" t="s">
        <v>18</v>
      </c>
      <c r="J289" s="90">
        <v>1</v>
      </c>
      <c r="K289" s="90">
        <v>0</v>
      </c>
      <c r="L289" s="91"/>
      <c r="M289" s="92" t="s">
        <v>3338</v>
      </c>
      <c r="N289" s="93" t="s">
        <v>3332</v>
      </c>
      <c r="P289" s="72" t="s">
        <v>3400</v>
      </c>
      <c r="Q289" s="71" t="s">
        <v>3386</v>
      </c>
    </row>
    <row r="290" spans="2:31" x14ac:dyDescent="0.25">
      <c r="B290" s="71" t="s">
        <v>3432</v>
      </c>
      <c r="C290" s="71" t="s">
        <v>3404</v>
      </c>
      <c r="D290" s="89" t="s">
        <v>3428</v>
      </c>
      <c r="E290" s="89">
        <v>110704</v>
      </c>
      <c r="F290" s="89">
        <v>1028</v>
      </c>
      <c r="G290" s="90">
        <v>3</v>
      </c>
      <c r="H290" s="90">
        <v>2</v>
      </c>
      <c r="I290" s="90" t="s">
        <v>18</v>
      </c>
      <c r="J290" s="90">
        <v>1</v>
      </c>
      <c r="K290" s="90">
        <v>0</v>
      </c>
      <c r="L290" s="91"/>
      <c r="M290" s="92" t="s">
        <v>3339</v>
      </c>
      <c r="N290" s="93" t="s">
        <v>3340</v>
      </c>
      <c r="P290" s="72" t="s">
        <v>3400</v>
      </c>
      <c r="Q290" s="71" t="s">
        <v>3386</v>
      </c>
    </row>
    <row r="291" spans="2:31" x14ac:dyDescent="0.25">
      <c r="B291" s="71" t="s">
        <v>3032</v>
      </c>
      <c r="C291" s="71" t="s">
        <v>2921</v>
      </c>
      <c r="D291" s="89" t="s">
        <v>3412</v>
      </c>
      <c r="E291" s="89">
        <v>110705</v>
      </c>
      <c r="F291" s="89">
        <v>1028</v>
      </c>
      <c r="G291" s="90">
        <v>4</v>
      </c>
      <c r="H291" s="90">
        <v>2</v>
      </c>
      <c r="I291" s="90" t="s">
        <v>26</v>
      </c>
      <c r="J291" s="90">
        <v>1</v>
      </c>
      <c r="K291" s="90">
        <v>0</v>
      </c>
      <c r="L291" s="91"/>
      <c r="M291" s="92" t="s">
        <v>2764</v>
      </c>
      <c r="N291" s="93" t="s">
        <v>2760</v>
      </c>
      <c r="P291" s="72" t="s">
        <v>3400</v>
      </c>
      <c r="Q291" s="71" t="s">
        <v>3386</v>
      </c>
    </row>
    <row r="292" spans="2:31" x14ac:dyDescent="0.25">
      <c r="B292" s="45" t="s">
        <v>2200</v>
      </c>
      <c r="C292" s="45" t="s">
        <v>2201</v>
      </c>
      <c r="D292" s="89" t="s">
        <v>2202</v>
      </c>
      <c r="E292" s="89">
        <v>110706</v>
      </c>
      <c r="F292" s="89">
        <v>1028</v>
      </c>
      <c r="G292" s="90">
        <v>5</v>
      </c>
      <c r="H292" s="90">
        <v>2</v>
      </c>
      <c r="I292" s="90" t="s">
        <v>210</v>
      </c>
      <c r="J292" s="90">
        <v>100</v>
      </c>
      <c r="K292" s="90">
        <v>0</v>
      </c>
      <c r="L292" s="91"/>
      <c r="M292" s="92" t="s">
        <v>2315</v>
      </c>
      <c r="N292" s="93"/>
      <c r="P292" s="21" t="s">
        <v>2516</v>
      </c>
      <c r="Q292" s="12" t="s">
        <v>2199</v>
      </c>
      <c r="R292">
        <f t="shared" ref="R292:R355" si="17">COUNTIF(C:C,C292)</f>
        <v>1</v>
      </c>
      <c r="S292" s="37"/>
      <c r="T292" s="37"/>
      <c r="W292" t="e">
        <f>INDEX(#REF!,MATCH($E292,#REF!,0))</f>
        <v>#REF!</v>
      </c>
      <c r="X292" t="e">
        <f>INDEX(#REF!,MATCH($E292,#REF!,0))</f>
        <v>#REF!</v>
      </c>
      <c r="Y292" t="e">
        <f>INDEX(#REF!,MATCH($E292,#REF!,0))</f>
        <v>#REF!</v>
      </c>
      <c r="Z292" t="e">
        <f>INDEX(#REF!,MATCH($E292,#REF!,0))</f>
        <v>#REF!</v>
      </c>
      <c r="AA292" t="e">
        <f>INDEX(#REF!,MATCH($E292,#REF!,0))</f>
        <v>#REF!</v>
      </c>
      <c r="AB292" t="e">
        <f>INDEX(#REF!,MATCH($E292,#REF!,0))</f>
        <v>#REF!</v>
      </c>
      <c r="AC292" t="e">
        <f>INDEX(#REF!,MATCH($E292,#REF!,0))</f>
        <v>#REF!</v>
      </c>
      <c r="AD292" t="e">
        <f>INDEX(#REF!,MATCH($E292,#REF!,0))</f>
        <v>#REF!</v>
      </c>
      <c r="AE292" t="e">
        <f t="shared" si="15"/>
        <v>#REF!</v>
      </c>
    </row>
    <row r="293" spans="2:31" x14ac:dyDescent="0.25">
      <c r="B293" s="37" t="s">
        <v>3018</v>
      </c>
      <c r="C293" s="45" t="s">
        <v>2483</v>
      </c>
      <c r="D293" s="89" t="s">
        <v>3018</v>
      </c>
      <c r="E293" s="89">
        <v>110709</v>
      </c>
      <c r="F293" s="89">
        <v>1028</v>
      </c>
      <c r="G293" s="90">
        <v>8</v>
      </c>
      <c r="H293" s="90">
        <v>2</v>
      </c>
      <c r="I293" s="90" t="s">
        <v>26</v>
      </c>
      <c r="J293" s="90">
        <v>1</v>
      </c>
      <c r="K293" s="90">
        <v>0</v>
      </c>
      <c r="L293" s="91"/>
      <c r="M293" s="92"/>
      <c r="N293" s="93"/>
      <c r="P293" s="21" t="s">
        <v>2515</v>
      </c>
      <c r="Q293" s="12"/>
      <c r="R293">
        <f t="shared" si="17"/>
        <v>1</v>
      </c>
      <c r="S293" s="21"/>
      <c r="T293" s="21"/>
      <c r="W293" t="e">
        <f>INDEX(#REF!,MATCH($E293,#REF!,0))</f>
        <v>#REF!</v>
      </c>
      <c r="X293" t="e">
        <f>INDEX(#REF!,MATCH($E293,#REF!,0))</f>
        <v>#REF!</v>
      </c>
      <c r="Y293" t="e">
        <f>INDEX(#REF!,MATCH($E293,#REF!,0))</f>
        <v>#REF!</v>
      </c>
      <c r="Z293" t="e">
        <f>INDEX(#REF!,MATCH($E293,#REF!,0))</f>
        <v>#REF!</v>
      </c>
      <c r="AA293" t="e">
        <f>INDEX(#REF!,MATCH($E293,#REF!,0))</f>
        <v>#REF!</v>
      </c>
      <c r="AB293" t="e">
        <f>INDEX(#REF!,MATCH($E293,#REF!,0))</f>
        <v>#REF!</v>
      </c>
      <c r="AC293" t="e">
        <f>INDEX(#REF!,MATCH($E293,#REF!,0))</f>
        <v>#REF!</v>
      </c>
      <c r="AD293" t="e">
        <f>INDEX(#REF!,MATCH($E293,#REF!,0))</f>
        <v>#REF!</v>
      </c>
      <c r="AE293" t="e">
        <f t="shared" si="15"/>
        <v>#REF!</v>
      </c>
    </row>
    <row r="294" spans="2:31" x14ac:dyDescent="0.25">
      <c r="B294" s="45" t="s">
        <v>2463</v>
      </c>
      <c r="C294" s="45" t="s">
        <v>2458</v>
      </c>
      <c r="D294" s="89" t="s">
        <v>2463</v>
      </c>
      <c r="E294" s="89">
        <v>110710</v>
      </c>
      <c r="F294" s="89">
        <v>1028</v>
      </c>
      <c r="G294" s="90">
        <v>9</v>
      </c>
      <c r="H294" s="90">
        <v>2</v>
      </c>
      <c r="I294" s="90" t="s">
        <v>120</v>
      </c>
      <c r="J294" s="90">
        <v>1000</v>
      </c>
      <c r="K294" s="90">
        <v>0</v>
      </c>
      <c r="L294" s="91"/>
      <c r="M294" s="92"/>
      <c r="N294" s="93"/>
      <c r="P294" s="21" t="s">
        <v>2515</v>
      </c>
      <c r="Q294" s="12"/>
      <c r="R294">
        <f t="shared" si="17"/>
        <v>1</v>
      </c>
      <c r="S294" s="21"/>
      <c r="T294" s="21"/>
      <c r="W294" t="e">
        <f>INDEX(#REF!,MATCH($E294,#REF!,0))</f>
        <v>#REF!</v>
      </c>
      <c r="X294" t="e">
        <f>INDEX(#REF!,MATCH($E294,#REF!,0))</f>
        <v>#REF!</v>
      </c>
      <c r="Y294" t="e">
        <f>INDEX(#REF!,MATCH($E294,#REF!,0))</f>
        <v>#REF!</v>
      </c>
      <c r="Z294" t="e">
        <f>INDEX(#REF!,MATCH($E294,#REF!,0))</f>
        <v>#REF!</v>
      </c>
      <c r="AA294" t="e">
        <f>INDEX(#REF!,MATCH($E294,#REF!,0))</f>
        <v>#REF!</v>
      </c>
      <c r="AB294" t="e">
        <f>INDEX(#REF!,MATCH($E294,#REF!,0))</f>
        <v>#REF!</v>
      </c>
      <c r="AC294" t="e">
        <f>INDEX(#REF!,MATCH($E294,#REF!,0))</f>
        <v>#REF!</v>
      </c>
      <c r="AD294" t="e">
        <f>INDEX(#REF!,MATCH($E294,#REF!,0))</f>
        <v>#REF!</v>
      </c>
      <c r="AE294" t="e">
        <f t="shared" si="15"/>
        <v>#REF!</v>
      </c>
    </row>
    <row r="295" spans="2:31" x14ac:dyDescent="0.25">
      <c r="B295" s="45" t="s">
        <v>2464</v>
      </c>
      <c r="C295" s="45" t="s">
        <v>2459</v>
      </c>
      <c r="D295" s="89" t="s">
        <v>2464</v>
      </c>
      <c r="E295" s="89">
        <v>110711</v>
      </c>
      <c r="F295" s="89">
        <v>1028</v>
      </c>
      <c r="G295" s="90">
        <v>10</v>
      </c>
      <c r="H295" s="90">
        <v>2</v>
      </c>
      <c r="I295" s="90" t="s">
        <v>120</v>
      </c>
      <c r="J295" s="90">
        <v>1000</v>
      </c>
      <c r="K295" s="90">
        <v>0</v>
      </c>
      <c r="L295" s="91"/>
      <c r="M295" s="92"/>
      <c r="N295" s="93"/>
      <c r="P295" s="21" t="s">
        <v>2515</v>
      </c>
      <c r="Q295" s="12"/>
      <c r="R295">
        <f t="shared" si="17"/>
        <v>1</v>
      </c>
      <c r="S295" s="21"/>
      <c r="T295" s="21"/>
      <c r="W295" t="e">
        <f>INDEX(#REF!,MATCH($E295,#REF!,0))</f>
        <v>#REF!</v>
      </c>
      <c r="X295" t="e">
        <f>INDEX(#REF!,MATCH($E295,#REF!,0))</f>
        <v>#REF!</v>
      </c>
      <c r="Y295" t="e">
        <f>INDEX(#REF!,MATCH($E295,#REF!,0))</f>
        <v>#REF!</v>
      </c>
      <c r="Z295" t="e">
        <f>INDEX(#REF!,MATCH($E295,#REF!,0))</f>
        <v>#REF!</v>
      </c>
      <c r="AA295" t="e">
        <f>INDEX(#REF!,MATCH($E295,#REF!,0))</f>
        <v>#REF!</v>
      </c>
      <c r="AB295" t="e">
        <f>INDEX(#REF!,MATCH($E295,#REF!,0))</f>
        <v>#REF!</v>
      </c>
      <c r="AC295" t="e">
        <f>INDEX(#REF!,MATCH($E295,#REF!,0))</f>
        <v>#REF!</v>
      </c>
      <c r="AD295" t="e">
        <f>INDEX(#REF!,MATCH($E295,#REF!,0))</f>
        <v>#REF!</v>
      </c>
      <c r="AE295" t="e">
        <f t="shared" si="15"/>
        <v>#REF!</v>
      </c>
    </row>
    <row r="296" spans="2:31" x14ac:dyDescent="0.25">
      <c r="B296" s="45" t="s">
        <v>2466</v>
      </c>
      <c r="C296" s="45" t="s">
        <v>2461</v>
      </c>
      <c r="D296" s="89" t="s">
        <v>2466</v>
      </c>
      <c r="E296" s="89">
        <v>110712</v>
      </c>
      <c r="F296" s="89">
        <v>1028</v>
      </c>
      <c r="G296" s="90">
        <v>11</v>
      </c>
      <c r="H296" s="90">
        <v>2</v>
      </c>
      <c r="I296" s="90" t="s">
        <v>120</v>
      </c>
      <c r="J296" s="90">
        <v>1000</v>
      </c>
      <c r="K296" s="90">
        <v>0</v>
      </c>
      <c r="L296" s="91"/>
      <c r="M296" s="92"/>
      <c r="N296" s="93"/>
      <c r="P296" s="21" t="s">
        <v>2515</v>
      </c>
      <c r="Q296" s="12" t="s">
        <v>2526</v>
      </c>
      <c r="R296">
        <f t="shared" si="17"/>
        <v>1</v>
      </c>
      <c r="S296" s="21"/>
      <c r="T296" s="21"/>
      <c r="W296" t="e">
        <f>INDEX(#REF!,MATCH($E296,#REF!,0))</f>
        <v>#REF!</v>
      </c>
      <c r="X296" t="e">
        <f>INDEX(#REF!,MATCH($E296,#REF!,0))</f>
        <v>#REF!</v>
      </c>
      <c r="Y296" t="e">
        <f>INDEX(#REF!,MATCH($E296,#REF!,0))</f>
        <v>#REF!</v>
      </c>
      <c r="Z296" t="e">
        <f>INDEX(#REF!,MATCH($E296,#REF!,0))</f>
        <v>#REF!</v>
      </c>
      <c r="AA296" t="e">
        <f>INDEX(#REF!,MATCH($E296,#REF!,0))</f>
        <v>#REF!</v>
      </c>
      <c r="AB296" t="e">
        <f>INDEX(#REF!,MATCH($E296,#REF!,0))</f>
        <v>#REF!</v>
      </c>
      <c r="AC296" t="e">
        <f>INDEX(#REF!,MATCH($E296,#REF!,0))</f>
        <v>#REF!</v>
      </c>
      <c r="AD296" t="e">
        <f>INDEX(#REF!,MATCH($E296,#REF!,0))</f>
        <v>#REF!</v>
      </c>
      <c r="AE296" t="e">
        <f t="shared" si="15"/>
        <v>#REF!</v>
      </c>
    </row>
    <row r="297" spans="2:31" x14ac:dyDescent="0.25">
      <c r="B297" s="45" t="s">
        <v>2465</v>
      </c>
      <c r="C297" s="45" t="s">
        <v>2460</v>
      </c>
      <c r="D297" s="89" t="s">
        <v>2465</v>
      </c>
      <c r="E297" s="89">
        <v>110713</v>
      </c>
      <c r="F297" s="89">
        <v>1028</v>
      </c>
      <c r="G297" s="90">
        <v>12</v>
      </c>
      <c r="H297" s="90">
        <v>2</v>
      </c>
      <c r="I297" s="90" t="s">
        <v>120</v>
      </c>
      <c r="J297" s="90">
        <v>1000</v>
      </c>
      <c r="K297" s="90">
        <v>0</v>
      </c>
      <c r="L297" s="91"/>
      <c r="M297" s="92"/>
      <c r="N297" s="93"/>
      <c r="P297" s="21" t="s">
        <v>2515</v>
      </c>
      <c r="Q297" s="12" t="s">
        <v>2526</v>
      </c>
      <c r="R297">
        <f t="shared" si="17"/>
        <v>1</v>
      </c>
      <c r="S297" s="21"/>
      <c r="T297" s="21"/>
      <c r="W297" t="e">
        <f>INDEX(#REF!,MATCH($E297,#REF!,0))</f>
        <v>#REF!</v>
      </c>
      <c r="X297" t="e">
        <f>INDEX(#REF!,MATCH($E297,#REF!,0))</f>
        <v>#REF!</v>
      </c>
      <c r="Y297" t="e">
        <f>INDEX(#REF!,MATCH($E297,#REF!,0))</f>
        <v>#REF!</v>
      </c>
      <c r="Z297" t="e">
        <f>INDEX(#REF!,MATCH($E297,#REF!,0))</f>
        <v>#REF!</v>
      </c>
      <c r="AA297" t="e">
        <f>INDEX(#REF!,MATCH($E297,#REF!,0))</f>
        <v>#REF!</v>
      </c>
      <c r="AB297" t="e">
        <f>INDEX(#REF!,MATCH($E297,#REF!,0))</f>
        <v>#REF!</v>
      </c>
      <c r="AC297" t="e">
        <f>INDEX(#REF!,MATCH($E297,#REF!,0))</f>
        <v>#REF!</v>
      </c>
      <c r="AD297" t="e">
        <f>INDEX(#REF!,MATCH($E297,#REF!,0))</f>
        <v>#REF!</v>
      </c>
      <c r="AE297" t="e">
        <f t="shared" si="15"/>
        <v>#REF!</v>
      </c>
    </row>
    <row r="298" spans="2:31" x14ac:dyDescent="0.25">
      <c r="B298" s="45" t="s">
        <v>2482</v>
      </c>
      <c r="C298" s="45" t="s">
        <v>2462</v>
      </c>
      <c r="D298" s="89" t="s">
        <v>2482</v>
      </c>
      <c r="E298" s="89">
        <v>110714</v>
      </c>
      <c r="F298" s="89">
        <v>1028</v>
      </c>
      <c r="G298" s="90">
        <v>13</v>
      </c>
      <c r="H298" s="90">
        <v>2</v>
      </c>
      <c r="I298" s="90" t="s">
        <v>120</v>
      </c>
      <c r="J298" s="90">
        <v>1000</v>
      </c>
      <c r="K298" s="90">
        <v>0</v>
      </c>
      <c r="L298" s="91"/>
      <c r="M298" s="92"/>
      <c r="N298" s="93"/>
      <c r="P298" s="21" t="s">
        <v>2515</v>
      </c>
      <c r="Q298" s="12"/>
      <c r="R298">
        <f t="shared" si="17"/>
        <v>1</v>
      </c>
      <c r="S298" s="21"/>
      <c r="T298" s="21"/>
      <c r="W298" t="e">
        <f>INDEX(#REF!,MATCH($E298,#REF!,0))</f>
        <v>#REF!</v>
      </c>
      <c r="X298" t="e">
        <f>INDEX(#REF!,MATCH($E298,#REF!,0))</f>
        <v>#REF!</v>
      </c>
      <c r="Y298" t="e">
        <f>INDEX(#REF!,MATCH($E298,#REF!,0))</f>
        <v>#REF!</v>
      </c>
      <c r="Z298" t="e">
        <f>INDEX(#REF!,MATCH($E298,#REF!,0))</f>
        <v>#REF!</v>
      </c>
      <c r="AA298" t="e">
        <f>INDEX(#REF!,MATCH($E298,#REF!,0))</f>
        <v>#REF!</v>
      </c>
      <c r="AB298" t="e">
        <f>INDEX(#REF!,MATCH($E298,#REF!,0))</f>
        <v>#REF!</v>
      </c>
      <c r="AC298" t="e">
        <f>INDEX(#REF!,MATCH($E298,#REF!,0))</f>
        <v>#REF!</v>
      </c>
      <c r="AD298" t="e">
        <f>INDEX(#REF!,MATCH($E298,#REF!,0))</f>
        <v>#REF!</v>
      </c>
      <c r="AE298" t="e">
        <f t="shared" si="15"/>
        <v>#REF!</v>
      </c>
    </row>
    <row r="299" spans="2:31" ht="30" x14ac:dyDescent="0.25">
      <c r="B299" s="45" t="s">
        <v>2892</v>
      </c>
      <c r="C299" s="45" t="s">
        <v>2891</v>
      </c>
      <c r="D299" s="89"/>
      <c r="E299" s="89">
        <v>110715</v>
      </c>
      <c r="F299" s="89">
        <v>1028</v>
      </c>
      <c r="G299" s="90">
        <v>14</v>
      </c>
      <c r="H299" s="90">
        <v>2</v>
      </c>
      <c r="I299" s="90" t="s">
        <v>147</v>
      </c>
      <c r="J299" s="90">
        <v>100000</v>
      </c>
      <c r="K299" s="90">
        <v>0</v>
      </c>
      <c r="L299" s="91"/>
      <c r="M299" s="92"/>
      <c r="N299" s="93" t="s">
        <v>2782</v>
      </c>
      <c r="P299" s="21" t="s">
        <v>2999</v>
      </c>
      <c r="Q299" s="12" t="s">
        <v>2788</v>
      </c>
      <c r="R299">
        <f t="shared" si="17"/>
        <v>1</v>
      </c>
      <c r="S299" s="21"/>
      <c r="T299" s="21"/>
      <c r="W299" t="e">
        <f>INDEX(#REF!,MATCH($E299,#REF!,0))</f>
        <v>#REF!</v>
      </c>
      <c r="X299" t="e">
        <f>INDEX(#REF!,MATCH($E299,#REF!,0))</f>
        <v>#REF!</v>
      </c>
      <c r="Y299" t="e">
        <f>INDEX(#REF!,MATCH($E299,#REF!,0))</f>
        <v>#REF!</v>
      </c>
      <c r="Z299" t="e">
        <f>INDEX(#REF!,MATCH($E299,#REF!,0))</f>
        <v>#REF!</v>
      </c>
      <c r="AA299" t="e">
        <f>INDEX(#REF!,MATCH($E299,#REF!,0))</f>
        <v>#REF!</v>
      </c>
      <c r="AB299" t="e">
        <f>INDEX(#REF!,MATCH($E299,#REF!,0))</f>
        <v>#REF!</v>
      </c>
      <c r="AC299" t="e">
        <f>INDEX(#REF!,MATCH($E299,#REF!,0))</f>
        <v>#REF!</v>
      </c>
      <c r="AD299" t="e">
        <f>INDEX(#REF!,MATCH($E299,#REF!,0))</f>
        <v>#REF!</v>
      </c>
      <c r="AE299" t="e">
        <f t="shared" si="15"/>
        <v>#REF!</v>
      </c>
    </row>
    <row r="300" spans="2:31" x14ac:dyDescent="0.25">
      <c r="B300" s="45" t="s">
        <v>2893</v>
      </c>
      <c r="C300" s="45" t="s">
        <v>3042</v>
      </c>
      <c r="D300" s="89"/>
      <c r="E300" s="89">
        <v>110716</v>
      </c>
      <c r="F300" s="89">
        <v>1028</v>
      </c>
      <c r="G300" s="90">
        <v>15</v>
      </c>
      <c r="H300" s="90">
        <v>2</v>
      </c>
      <c r="I300" s="90" t="s">
        <v>147</v>
      </c>
      <c r="J300" s="90">
        <v>100000</v>
      </c>
      <c r="K300" s="90">
        <v>0</v>
      </c>
      <c r="L300" s="91"/>
      <c r="M300" s="92"/>
      <c r="N300" s="93" t="s">
        <v>2783</v>
      </c>
      <c r="P300" s="21" t="s">
        <v>2999</v>
      </c>
      <c r="Q300" s="12" t="s">
        <v>2789</v>
      </c>
      <c r="R300">
        <f t="shared" si="17"/>
        <v>1</v>
      </c>
      <c r="S300" s="21"/>
      <c r="T300" s="21"/>
      <c r="W300" t="e">
        <f>INDEX(#REF!,MATCH($E300,#REF!,0))</f>
        <v>#REF!</v>
      </c>
      <c r="X300" t="e">
        <f>INDEX(#REF!,MATCH($E300,#REF!,0))</f>
        <v>#REF!</v>
      </c>
      <c r="Y300" t="e">
        <f>INDEX(#REF!,MATCH($E300,#REF!,0))</f>
        <v>#REF!</v>
      </c>
      <c r="Z300" t="e">
        <f>INDEX(#REF!,MATCH($E300,#REF!,0))</f>
        <v>#REF!</v>
      </c>
      <c r="AA300" t="e">
        <f>INDEX(#REF!,MATCH($E300,#REF!,0))</f>
        <v>#REF!</v>
      </c>
      <c r="AB300" t="e">
        <f>INDEX(#REF!,MATCH($E300,#REF!,0))</f>
        <v>#REF!</v>
      </c>
      <c r="AC300" t="e">
        <f>INDEX(#REF!,MATCH($E300,#REF!,0))</f>
        <v>#REF!</v>
      </c>
      <c r="AD300" t="e">
        <f>INDEX(#REF!,MATCH($E300,#REF!,0))</f>
        <v>#REF!</v>
      </c>
      <c r="AE300" t="e">
        <f t="shared" si="15"/>
        <v>#REF!</v>
      </c>
    </row>
    <row r="301" spans="2:31" x14ac:dyDescent="0.25">
      <c r="B301" s="45" t="s">
        <v>2897</v>
      </c>
      <c r="C301" s="45" t="s">
        <v>3043</v>
      </c>
      <c r="D301" s="89"/>
      <c r="E301" s="89">
        <v>110717</v>
      </c>
      <c r="F301" s="89">
        <v>1028</v>
      </c>
      <c r="G301" s="90">
        <v>16</v>
      </c>
      <c r="H301" s="90">
        <v>2</v>
      </c>
      <c r="I301" s="90" t="s">
        <v>147</v>
      </c>
      <c r="J301" s="90">
        <v>100000</v>
      </c>
      <c r="K301" s="90">
        <v>0</v>
      </c>
      <c r="L301" s="91"/>
      <c r="M301" s="92"/>
      <c r="N301" s="93" t="s">
        <v>2784</v>
      </c>
      <c r="P301" s="21" t="s">
        <v>2999</v>
      </c>
      <c r="Q301" s="12" t="s">
        <v>2789</v>
      </c>
      <c r="R301">
        <f t="shared" si="17"/>
        <v>1</v>
      </c>
      <c r="S301" s="21"/>
      <c r="T301" s="21"/>
      <c r="W301" t="e">
        <f>INDEX(#REF!,MATCH($E301,#REF!,0))</f>
        <v>#REF!</v>
      </c>
      <c r="X301" t="e">
        <f>INDEX(#REF!,MATCH($E301,#REF!,0))</f>
        <v>#REF!</v>
      </c>
      <c r="Y301" t="e">
        <f>INDEX(#REF!,MATCH($E301,#REF!,0))</f>
        <v>#REF!</v>
      </c>
      <c r="Z301" t="e">
        <f>INDEX(#REF!,MATCH($E301,#REF!,0))</f>
        <v>#REF!</v>
      </c>
      <c r="AA301" t="e">
        <f>INDEX(#REF!,MATCH($E301,#REF!,0))</f>
        <v>#REF!</v>
      </c>
      <c r="AB301" t="e">
        <f>INDEX(#REF!,MATCH($E301,#REF!,0))</f>
        <v>#REF!</v>
      </c>
      <c r="AC301" t="e">
        <f>INDEX(#REF!,MATCH($E301,#REF!,0))</f>
        <v>#REF!</v>
      </c>
      <c r="AD301" t="e">
        <f>INDEX(#REF!,MATCH($E301,#REF!,0))</f>
        <v>#REF!</v>
      </c>
      <c r="AE301" t="e">
        <f t="shared" si="15"/>
        <v>#REF!</v>
      </c>
    </row>
    <row r="302" spans="2:31" x14ac:dyDescent="0.25">
      <c r="B302" s="45" t="s">
        <v>2895</v>
      </c>
      <c r="C302" s="45" t="s">
        <v>2894</v>
      </c>
      <c r="D302" s="89"/>
      <c r="E302" s="89">
        <v>110718</v>
      </c>
      <c r="F302" s="89">
        <v>1028</v>
      </c>
      <c r="G302" s="90">
        <v>17</v>
      </c>
      <c r="H302" s="90">
        <v>2</v>
      </c>
      <c r="I302" s="90" t="s">
        <v>147</v>
      </c>
      <c r="J302" s="90">
        <v>100000</v>
      </c>
      <c r="K302" s="90">
        <v>0</v>
      </c>
      <c r="L302" s="91"/>
      <c r="M302" s="92"/>
      <c r="N302" s="93" t="s">
        <v>2785</v>
      </c>
      <c r="P302" s="21" t="s">
        <v>2999</v>
      </c>
      <c r="Q302" s="12" t="s">
        <v>2789</v>
      </c>
      <c r="R302">
        <f t="shared" si="17"/>
        <v>1</v>
      </c>
      <c r="S302" s="21"/>
      <c r="T302" s="21"/>
      <c r="W302" t="e">
        <f>INDEX(#REF!,MATCH($E302,#REF!,0))</f>
        <v>#REF!</v>
      </c>
      <c r="X302" t="e">
        <f>INDEX(#REF!,MATCH($E302,#REF!,0))</f>
        <v>#REF!</v>
      </c>
      <c r="Y302" t="e">
        <f>INDEX(#REF!,MATCH($E302,#REF!,0))</f>
        <v>#REF!</v>
      </c>
      <c r="Z302" t="e">
        <f>INDEX(#REF!,MATCH($E302,#REF!,0))</f>
        <v>#REF!</v>
      </c>
      <c r="AA302" t="e">
        <f>INDEX(#REF!,MATCH($E302,#REF!,0))</f>
        <v>#REF!</v>
      </c>
      <c r="AB302" t="e">
        <f>INDEX(#REF!,MATCH($E302,#REF!,0))</f>
        <v>#REF!</v>
      </c>
      <c r="AC302" t="e">
        <f>INDEX(#REF!,MATCH($E302,#REF!,0))</f>
        <v>#REF!</v>
      </c>
      <c r="AD302" t="e">
        <f>INDEX(#REF!,MATCH($E302,#REF!,0))</f>
        <v>#REF!</v>
      </c>
      <c r="AE302" t="e">
        <f t="shared" si="15"/>
        <v>#REF!</v>
      </c>
    </row>
    <row r="303" spans="2:31" x14ac:dyDescent="0.25">
      <c r="B303" s="45" t="s">
        <v>2899</v>
      </c>
      <c r="C303" s="45" t="s">
        <v>2898</v>
      </c>
      <c r="D303" s="89"/>
      <c r="E303" s="89">
        <v>110719</v>
      </c>
      <c r="F303" s="89">
        <v>1028</v>
      </c>
      <c r="G303" s="90">
        <v>18</v>
      </c>
      <c r="H303" s="90">
        <v>2</v>
      </c>
      <c r="I303" s="90" t="s">
        <v>147</v>
      </c>
      <c r="J303" s="90">
        <v>100000</v>
      </c>
      <c r="K303" s="90">
        <v>0</v>
      </c>
      <c r="L303" s="91"/>
      <c r="M303" s="92"/>
      <c r="N303" s="93" t="s">
        <v>2786</v>
      </c>
      <c r="P303" s="21" t="s">
        <v>2999</v>
      </c>
      <c r="Q303" s="12" t="s">
        <v>2789</v>
      </c>
      <c r="R303">
        <f t="shared" si="17"/>
        <v>1</v>
      </c>
      <c r="S303" s="21"/>
      <c r="T303" s="21"/>
      <c r="W303" t="e">
        <f>INDEX(#REF!,MATCH($E303,#REF!,0))</f>
        <v>#REF!</v>
      </c>
      <c r="X303" t="e">
        <f>INDEX(#REF!,MATCH($E303,#REF!,0))</f>
        <v>#REF!</v>
      </c>
      <c r="Y303" t="e">
        <f>INDEX(#REF!,MATCH($E303,#REF!,0))</f>
        <v>#REF!</v>
      </c>
      <c r="Z303" t="e">
        <f>INDEX(#REF!,MATCH($E303,#REF!,0))</f>
        <v>#REF!</v>
      </c>
      <c r="AA303" t="e">
        <f>INDEX(#REF!,MATCH($E303,#REF!,0))</f>
        <v>#REF!</v>
      </c>
      <c r="AB303" t="e">
        <f>INDEX(#REF!,MATCH($E303,#REF!,0))</f>
        <v>#REF!</v>
      </c>
      <c r="AC303" t="e">
        <f>INDEX(#REF!,MATCH($E303,#REF!,0))</f>
        <v>#REF!</v>
      </c>
      <c r="AD303" t="e">
        <f>INDEX(#REF!,MATCH($E303,#REF!,0))</f>
        <v>#REF!</v>
      </c>
      <c r="AE303" t="e">
        <f t="shared" si="15"/>
        <v>#REF!</v>
      </c>
    </row>
    <row r="304" spans="2:31" x14ac:dyDescent="0.25">
      <c r="B304" s="45" t="s">
        <v>3038</v>
      </c>
      <c r="C304" s="45" t="s">
        <v>2750</v>
      </c>
      <c r="D304" s="89"/>
      <c r="E304" s="89">
        <v>110720</v>
      </c>
      <c r="F304" s="89">
        <v>1028</v>
      </c>
      <c r="G304" s="90">
        <v>19</v>
      </c>
      <c r="H304" s="90">
        <v>2</v>
      </c>
      <c r="I304" s="90" t="s">
        <v>147</v>
      </c>
      <c r="J304" s="90">
        <v>100000</v>
      </c>
      <c r="K304" s="90">
        <v>0</v>
      </c>
      <c r="L304" s="91"/>
      <c r="M304" s="92"/>
      <c r="N304" s="93" t="s">
        <v>2787</v>
      </c>
      <c r="P304" s="21" t="s">
        <v>2999</v>
      </c>
      <c r="Q304" s="12" t="s">
        <v>3024</v>
      </c>
      <c r="R304">
        <f t="shared" si="17"/>
        <v>1</v>
      </c>
      <c r="S304" s="21"/>
      <c r="T304" s="21"/>
      <c r="W304" t="e">
        <f>INDEX(#REF!,MATCH($E304,#REF!,0))</f>
        <v>#REF!</v>
      </c>
      <c r="X304" t="e">
        <f>INDEX(#REF!,MATCH($E304,#REF!,0))</f>
        <v>#REF!</v>
      </c>
      <c r="Y304" t="e">
        <f>INDEX(#REF!,MATCH($E304,#REF!,0))</f>
        <v>#REF!</v>
      </c>
      <c r="Z304" t="e">
        <f>INDEX(#REF!,MATCH($E304,#REF!,0))</f>
        <v>#REF!</v>
      </c>
      <c r="AA304" t="e">
        <f>INDEX(#REF!,MATCH($E304,#REF!,0))</f>
        <v>#REF!</v>
      </c>
      <c r="AB304" t="e">
        <f>INDEX(#REF!,MATCH($E304,#REF!,0))</f>
        <v>#REF!</v>
      </c>
      <c r="AC304" t="e">
        <f>INDEX(#REF!,MATCH($E304,#REF!,0))</f>
        <v>#REF!</v>
      </c>
      <c r="AD304" t="e">
        <f>INDEX(#REF!,MATCH($E304,#REF!,0))</f>
        <v>#REF!</v>
      </c>
      <c r="AE304" t="e">
        <f t="shared" si="15"/>
        <v>#REF!</v>
      </c>
    </row>
    <row r="305" spans="2:31" x14ac:dyDescent="0.25">
      <c r="B305" s="45" t="s">
        <v>2923</v>
      </c>
      <c r="C305" s="45" t="s">
        <v>2922</v>
      </c>
      <c r="D305" s="89"/>
      <c r="E305" s="89">
        <v>110723</v>
      </c>
      <c r="F305" s="89">
        <v>1028</v>
      </c>
      <c r="G305" s="90">
        <v>22</v>
      </c>
      <c r="H305" s="90">
        <v>2</v>
      </c>
      <c r="I305" s="90" t="s">
        <v>120</v>
      </c>
      <c r="J305" s="90">
        <v>1000</v>
      </c>
      <c r="K305" s="90">
        <v>0</v>
      </c>
      <c r="L305" s="91"/>
      <c r="M305" s="92" t="s">
        <v>3131</v>
      </c>
      <c r="N305" s="93" t="s">
        <v>2775</v>
      </c>
      <c r="P305" s="21" t="s">
        <v>2999</v>
      </c>
      <c r="Q305" s="12" t="s">
        <v>2777</v>
      </c>
      <c r="R305">
        <f t="shared" si="17"/>
        <v>1</v>
      </c>
      <c r="S305" s="21"/>
      <c r="T305" s="21"/>
      <c r="W305" t="e">
        <f>INDEX(#REF!,MATCH($E305,#REF!,0))</f>
        <v>#REF!</v>
      </c>
      <c r="X305" t="e">
        <f>INDEX(#REF!,MATCH($E305,#REF!,0))</f>
        <v>#REF!</v>
      </c>
      <c r="Y305" t="e">
        <f>INDEX(#REF!,MATCH($E305,#REF!,0))</f>
        <v>#REF!</v>
      </c>
      <c r="Z305" t="e">
        <f>INDEX(#REF!,MATCH($E305,#REF!,0))</f>
        <v>#REF!</v>
      </c>
      <c r="AA305" t="e">
        <f>INDEX(#REF!,MATCH($E305,#REF!,0))</f>
        <v>#REF!</v>
      </c>
      <c r="AB305" t="e">
        <f>INDEX(#REF!,MATCH($E305,#REF!,0))</f>
        <v>#REF!</v>
      </c>
      <c r="AC305" t="e">
        <f>INDEX(#REF!,MATCH($E305,#REF!,0))</f>
        <v>#REF!</v>
      </c>
      <c r="AD305" t="e">
        <f>INDEX(#REF!,MATCH($E305,#REF!,0))</f>
        <v>#REF!</v>
      </c>
      <c r="AE305" t="e">
        <f t="shared" si="15"/>
        <v>#REF!</v>
      </c>
    </row>
    <row r="306" spans="2:31" x14ac:dyDescent="0.25">
      <c r="B306" s="45" t="s">
        <v>2925</v>
      </c>
      <c r="C306" s="45" t="s">
        <v>2924</v>
      </c>
      <c r="D306" s="89"/>
      <c r="E306" s="89">
        <v>110724</v>
      </c>
      <c r="F306" s="89">
        <v>1028</v>
      </c>
      <c r="G306" s="90">
        <v>23</v>
      </c>
      <c r="H306" s="90">
        <v>2</v>
      </c>
      <c r="I306" s="90" t="s">
        <v>120</v>
      </c>
      <c r="J306" s="90">
        <v>1000</v>
      </c>
      <c r="K306" s="90">
        <v>0</v>
      </c>
      <c r="L306" s="91"/>
      <c r="M306" s="92" t="s">
        <v>3132</v>
      </c>
      <c r="N306" s="93" t="s">
        <v>2776</v>
      </c>
      <c r="P306" s="21" t="s">
        <v>2999</v>
      </c>
      <c r="Q306" s="12" t="s">
        <v>2777</v>
      </c>
      <c r="R306">
        <f t="shared" si="17"/>
        <v>1</v>
      </c>
      <c r="S306" s="21"/>
      <c r="T306" s="21"/>
      <c r="W306" t="e">
        <f>INDEX(#REF!,MATCH($E306,#REF!,0))</f>
        <v>#REF!</v>
      </c>
      <c r="X306" t="e">
        <f>INDEX(#REF!,MATCH($E306,#REF!,0))</f>
        <v>#REF!</v>
      </c>
      <c r="Y306" t="e">
        <f>INDEX(#REF!,MATCH($E306,#REF!,0))</f>
        <v>#REF!</v>
      </c>
      <c r="Z306" t="e">
        <f>INDEX(#REF!,MATCH($E306,#REF!,0))</f>
        <v>#REF!</v>
      </c>
      <c r="AA306" t="e">
        <f>INDEX(#REF!,MATCH($E306,#REF!,0))</f>
        <v>#REF!</v>
      </c>
      <c r="AB306" t="e">
        <f>INDEX(#REF!,MATCH($E306,#REF!,0))</f>
        <v>#REF!</v>
      </c>
      <c r="AC306" t="e">
        <f>INDEX(#REF!,MATCH($E306,#REF!,0))</f>
        <v>#REF!</v>
      </c>
      <c r="AD306" t="e">
        <f>INDEX(#REF!,MATCH($E306,#REF!,0))</f>
        <v>#REF!</v>
      </c>
      <c r="AE306" t="e">
        <f t="shared" si="15"/>
        <v>#REF!</v>
      </c>
    </row>
    <row r="307" spans="2:31" x14ac:dyDescent="0.25">
      <c r="B307" s="45" t="s">
        <v>2916</v>
      </c>
      <c r="C307" s="45" t="s">
        <v>2915</v>
      </c>
      <c r="D307" s="89"/>
      <c r="E307" s="89">
        <v>110725</v>
      </c>
      <c r="F307" s="89">
        <v>1028</v>
      </c>
      <c r="G307" s="90">
        <v>24</v>
      </c>
      <c r="H307" s="90">
        <v>2</v>
      </c>
      <c r="I307" s="90" t="s">
        <v>210</v>
      </c>
      <c r="J307" s="90">
        <v>100</v>
      </c>
      <c r="K307" s="90">
        <v>0</v>
      </c>
      <c r="L307" s="91"/>
      <c r="M307" s="92" t="s">
        <v>3133</v>
      </c>
      <c r="N307" s="93" t="s">
        <v>2799</v>
      </c>
      <c r="P307" s="21" t="s">
        <v>2999</v>
      </c>
      <c r="Q307" s="12" t="s">
        <v>2808</v>
      </c>
      <c r="R307">
        <f t="shared" si="17"/>
        <v>1</v>
      </c>
      <c r="S307" s="21"/>
      <c r="T307" s="21"/>
      <c r="W307" t="e">
        <f>INDEX(#REF!,MATCH($E307,#REF!,0))</f>
        <v>#REF!</v>
      </c>
      <c r="X307" t="e">
        <f>INDEX(#REF!,MATCH($E307,#REF!,0))</f>
        <v>#REF!</v>
      </c>
      <c r="Y307" t="e">
        <f>INDEX(#REF!,MATCH($E307,#REF!,0))</f>
        <v>#REF!</v>
      </c>
      <c r="Z307" t="e">
        <f>INDEX(#REF!,MATCH($E307,#REF!,0))</f>
        <v>#REF!</v>
      </c>
      <c r="AA307" t="e">
        <f>INDEX(#REF!,MATCH($E307,#REF!,0))</f>
        <v>#REF!</v>
      </c>
      <c r="AB307" t="e">
        <f>INDEX(#REF!,MATCH($E307,#REF!,0))</f>
        <v>#REF!</v>
      </c>
      <c r="AC307" t="e">
        <f>INDEX(#REF!,MATCH($E307,#REF!,0))</f>
        <v>#REF!</v>
      </c>
      <c r="AD307" t="e">
        <f>INDEX(#REF!,MATCH($E307,#REF!,0))</f>
        <v>#REF!</v>
      </c>
      <c r="AE307" t="e">
        <f t="shared" si="15"/>
        <v>#REF!</v>
      </c>
    </row>
    <row r="308" spans="2:31" x14ac:dyDescent="0.25">
      <c r="B308" s="45" t="s">
        <v>3023</v>
      </c>
      <c r="C308" s="45" t="s">
        <v>3022</v>
      </c>
      <c r="D308" s="89"/>
      <c r="E308" s="89">
        <v>110726</v>
      </c>
      <c r="F308" s="89">
        <v>1029</v>
      </c>
      <c r="G308" s="90">
        <v>0</v>
      </c>
      <c r="H308" s="90">
        <v>2</v>
      </c>
      <c r="I308" s="90" t="s">
        <v>120</v>
      </c>
      <c r="J308" s="90">
        <v>1000</v>
      </c>
      <c r="K308" s="90">
        <v>0</v>
      </c>
      <c r="L308" s="91"/>
      <c r="M308" s="92" t="s">
        <v>3134</v>
      </c>
      <c r="N308" s="93" t="s">
        <v>2800</v>
      </c>
      <c r="P308" s="21" t="s">
        <v>2999</v>
      </c>
      <c r="Q308" s="12" t="s">
        <v>2808</v>
      </c>
      <c r="R308">
        <f t="shared" si="17"/>
        <v>1</v>
      </c>
      <c r="S308" s="21"/>
      <c r="T308" s="21"/>
      <c r="W308" t="e">
        <f>INDEX(#REF!,MATCH($E308,#REF!,0))</f>
        <v>#REF!</v>
      </c>
      <c r="X308" t="e">
        <f>INDEX(#REF!,MATCH($E308,#REF!,0))</f>
        <v>#REF!</v>
      </c>
      <c r="Y308" t="e">
        <f>INDEX(#REF!,MATCH($E308,#REF!,0))</f>
        <v>#REF!</v>
      </c>
      <c r="Z308" t="e">
        <f>INDEX(#REF!,MATCH($E308,#REF!,0))</f>
        <v>#REF!</v>
      </c>
      <c r="AA308" t="e">
        <f>INDEX(#REF!,MATCH($E308,#REF!,0))</f>
        <v>#REF!</v>
      </c>
      <c r="AB308" t="e">
        <f>INDEX(#REF!,MATCH($E308,#REF!,0))</f>
        <v>#REF!</v>
      </c>
      <c r="AC308" t="e">
        <f>INDEX(#REF!,MATCH($E308,#REF!,0))</f>
        <v>#REF!</v>
      </c>
      <c r="AD308" t="e">
        <f>INDEX(#REF!,MATCH($E308,#REF!,0))</f>
        <v>#REF!</v>
      </c>
      <c r="AE308" t="e">
        <f t="shared" si="15"/>
        <v>#REF!</v>
      </c>
    </row>
    <row r="309" spans="2:31" x14ac:dyDescent="0.25">
      <c r="B309" s="45" t="s">
        <v>2911</v>
      </c>
      <c r="C309" s="45" t="s">
        <v>2910</v>
      </c>
      <c r="D309" s="89"/>
      <c r="E309" s="89">
        <v>110727</v>
      </c>
      <c r="F309" s="89">
        <v>1029</v>
      </c>
      <c r="G309" s="90">
        <v>1</v>
      </c>
      <c r="H309" s="90">
        <v>2</v>
      </c>
      <c r="I309" s="90" t="s">
        <v>2802</v>
      </c>
      <c r="J309" s="90">
        <v>1</v>
      </c>
      <c r="K309" s="90">
        <v>0</v>
      </c>
      <c r="L309" s="91"/>
      <c r="M309" s="92" t="s">
        <v>3135</v>
      </c>
      <c r="N309" s="93" t="s">
        <v>2801</v>
      </c>
      <c r="P309" s="21" t="s">
        <v>2999</v>
      </c>
      <c r="Q309" s="12" t="s">
        <v>2808</v>
      </c>
      <c r="R309">
        <f t="shared" si="17"/>
        <v>1</v>
      </c>
      <c r="S309" s="21"/>
      <c r="T309" s="21"/>
      <c r="W309" t="e">
        <f>INDEX(#REF!,MATCH($E309,#REF!,0))</f>
        <v>#REF!</v>
      </c>
      <c r="X309" t="e">
        <f>INDEX(#REF!,MATCH($E309,#REF!,0))</f>
        <v>#REF!</v>
      </c>
      <c r="Y309" t="e">
        <f>INDEX(#REF!,MATCH($E309,#REF!,0))</f>
        <v>#REF!</v>
      </c>
      <c r="Z309" t="e">
        <f>INDEX(#REF!,MATCH($E309,#REF!,0))</f>
        <v>#REF!</v>
      </c>
      <c r="AA309" t="e">
        <f>INDEX(#REF!,MATCH($E309,#REF!,0))</f>
        <v>#REF!</v>
      </c>
      <c r="AB309" t="e">
        <f>INDEX(#REF!,MATCH($E309,#REF!,0))</f>
        <v>#REF!</v>
      </c>
      <c r="AC309" t="e">
        <f>INDEX(#REF!,MATCH($E309,#REF!,0))</f>
        <v>#REF!</v>
      </c>
      <c r="AD309" t="e">
        <f>INDEX(#REF!,MATCH($E309,#REF!,0))</f>
        <v>#REF!</v>
      </c>
      <c r="AE309" t="e">
        <f t="shared" si="15"/>
        <v>#REF!</v>
      </c>
    </row>
    <row r="310" spans="2:31" x14ac:dyDescent="0.25">
      <c r="B310" s="45" t="s">
        <v>3315</v>
      </c>
      <c r="C310" s="45" t="s">
        <v>2912</v>
      </c>
      <c r="D310" s="89"/>
      <c r="E310" s="89">
        <v>110728</v>
      </c>
      <c r="F310" s="89">
        <v>1029</v>
      </c>
      <c r="G310" s="90">
        <v>2</v>
      </c>
      <c r="H310" s="90">
        <v>2</v>
      </c>
      <c r="I310" s="90" t="s">
        <v>2802</v>
      </c>
      <c r="J310" s="90">
        <v>1</v>
      </c>
      <c r="K310" s="90">
        <v>0</v>
      </c>
      <c r="L310" s="91"/>
      <c r="M310" s="92" t="s">
        <v>3136</v>
      </c>
      <c r="N310" s="93" t="s">
        <v>2803</v>
      </c>
      <c r="P310" s="21" t="s">
        <v>2999</v>
      </c>
      <c r="Q310" s="12" t="s">
        <v>2808</v>
      </c>
      <c r="R310">
        <f t="shared" si="17"/>
        <v>1</v>
      </c>
      <c r="S310" s="21"/>
      <c r="T310" s="21"/>
      <c r="W310" t="e">
        <f>INDEX(#REF!,MATCH($E310,#REF!,0))</f>
        <v>#REF!</v>
      </c>
      <c r="X310" t="e">
        <f>INDEX(#REF!,MATCH($E310,#REF!,0))</f>
        <v>#REF!</v>
      </c>
      <c r="Y310" t="e">
        <f>INDEX(#REF!,MATCH($E310,#REF!,0))</f>
        <v>#REF!</v>
      </c>
      <c r="Z310" t="e">
        <f>INDEX(#REF!,MATCH($E310,#REF!,0))</f>
        <v>#REF!</v>
      </c>
      <c r="AA310" t="e">
        <f>INDEX(#REF!,MATCH($E310,#REF!,0))</f>
        <v>#REF!</v>
      </c>
      <c r="AB310" t="e">
        <f>INDEX(#REF!,MATCH($E310,#REF!,0))</f>
        <v>#REF!</v>
      </c>
      <c r="AC310" t="e">
        <f>INDEX(#REF!,MATCH($E310,#REF!,0))</f>
        <v>#REF!</v>
      </c>
      <c r="AD310" t="e">
        <f>INDEX(#REF!,MATCH($E310,#REF!,0))</f>
        <v>#REF!</v>
      </c>
      <c r="AE310" t="e">
        <f t="shared" si="15"/>
        <v>#REF!</v>
      </c>
    </row>
    <row r="311" spans="2:31" x14ac:dyDescent="0.25">
      <c r="B311" s="45" t="s">
        <v>2918</v>
      </c>
      <c r="C311" s="45" t="s">
        <v>2917</v>
      </c>
      <c r="D311" s="89"/>
      <c r="E311" s="89">
        <v>110729</v>
      </c>
      <c r="F311" s="89">
        <v>1029</v>
      </c>
      <c r="G311" s="90">
        <v>3</v>
      </c>
      <c r="H311" s="90">
        <v>2</v>
      </c>
      <c r="I311" s="90" t="s">
        <v>2802</v>
      </c>
      <c r="J311" s="90">
        <v>1</v>
      </c>
      <c r="K311" s="90">
        <v>0</v>
      </c>
      <c r="L311" s="91"/>
      <c r="M311" s="92" t="s">
        <v>3137</v>
      </c>
      <c r="N311" s="93" t="s">
        <v>2804</v>
      </c>
      <c r="P311" s="21" t="s">
        <v>2999</v>
      </c>
      <c r="Q311" s="12" t="s">
        <v>2808</v>
      </c>
      <c r="R311">
        <f t="shared" si="17"/>
        <v>1</v>
      </c>
      <c r="S311" s="21"/>
      <c r="T311" s="21"/>
      <c r="W311" t="e">
        <f>INDEX(#REF!,MATCH($E311,#REF!,0))</f>
        <v>#REF!</v>
      </c>
      <c r="X311" t="e">
        <f>INDEX(#REF!,MATCH($E311,#REF!,0))</f>
        <v>#REF!</v>
      </c>
      <c r="Y311" t="e">
        <f>INDEX(#REF!,MATCH($E311,#REF!,0))</f>
        <v>#REF!</v>
      </c>
      <c r="Z311" t="e">
        <f>INDEX(#REF!,MATCH($E311,#REF!,0))</f>
        <v>#REF!</v>
      </c>
      <c r="AA311" t="e">
        <f>INDEX(#REF!,MATCH($E311,#REF!,0))</f>
        <v>#REF!</v>
      </c>
      <c r="AB311" t="e">
        <f>INDEX(#REF!,MATCH($E311,#REF!,0))</f>
        <v>#REF!</v>
      </c>
      <c r="AC311" t="e">
        <f>INDEX(#REF!,MATCH($E311,#REF!,0))</f>
        <v>#REF!</v>
      </c>
      <c r="AD311" t="e">
        <f>INDEX(#REF!,MATCH($E311,#REF!,0))</f>
        <v>#REF!</v>
      </c>
      <c r="AE311" t="e">
        <f t="shared" si="15"/>
        <v>#REF!</v>
      </c>
    </row>
    <row r="312" spans="2:31" x14ac:dyDescent="0.25">
      <c r="B312" s="45" t="s">
        <v>3037</v>
      </c>
      <c r="C312" s="45" t="s">
        <v>2909</v>
      </c>
      <c r="D312" s="89"/>
      <c r="E312" s="89">
        <v>110730</v>
      </c>
      <c r="F312" s="89">
        <v>1029</v>
      </c>
      <c r="G312" s="90">
        <v>4</v>
      </c>
      <c r="H312" s="90">
        <v>2</v>
      </c>
      <c r="I312" s="90" t="s">
        <v>26</v>
      </c>
      <c r="J312" s="90">
        <v>1</v>
      </c>
      <c r="K312" s="90">
        <v>0</v>
      </c>
      <c r="L312" s="91"/>
      <c r="M312" s="92" t="s">
        <v>3138</v>
      </c>
      <c r="N312" s="93" t="s">
        <v>2805</v>
      </c>
      <c r="P312" s="21" t="s">
        <v>2999</v>
      </c>
      <c r="Q312" s="12" t="s">
        <v>2808</v>
      </c>
      <c r="R312">
        <f t="shared" si="17"/>
        <v>1</v>
      </c>
      <c r="S312" s="21"/>
      <c r="T312" s="21"/>
      <c r="W312" t="e">
        <f>INDEX(#REF!,MATCH($E312,#REF!,0))</f>
        <v>#REF!</v>
      </c>
      <c r="X312" t="e">
        <f>INDEX(#REF!,MATCH($E312,#REF!,0))</f>
        <v>#REF!</v>
      </c>
      <c r="Y312" t="e">
        <f>INDEX(#REF!,MATCH($E312,#REF!,0))</f>
        <v>#REF!</v>
      </c>
      <c r="Z312" t="e">
        <f>INDEX(#REF!,MATCH($E312,#REF!,0))</f>
        <v>#REF!</v>
      </c>
      <c r="AA312" t="e">
        <f>INDEX(#REF!,MATCH($E312,#REF!,0))</f>
        <v>#REF!</v>
      </c>
      <c r="AB312" t="e">
        <f>INDEX(#REF!,MATCH($E312,#REF!,0))</f>
        <v>#REF!</v>
      </c>
      <c r="AC312" t="e">
        <f>INDEX(#REF!,MATCH($E312,#REF!,0))</f>
        <v>#REF!</v>
      </c>
      <c r="AD312" t="e">
        <f>INDEX(#REF!,MATCH($E312,#REF!,0))</f>
        <v>#REF!</v>
      </c>
      <c r="AE312" t="e">
        <f t="shared" si="15"/>
        <v>#REF!</v>
      </c>
    </row>
    <row r="313" spans="2:31" x14ac:dyDescent="0.25">
      <c r="B313" s="45" t="s">
        <v>2914</v>
      </c>
      <c r="C313" s="45" t="s">
        <v>2913</v>
      </c>
      <c r="D313" s="89"/>
      <c r="E313" s="89">
        <v>110731</v>
      </c>
      <c r="F313" s="89">
        <v>1029</v>
      </c>
      <c r="G313" s="90">
        <v>5</v>
      </c>
      <c r="H313" s="90">
        <v>2</v>
      </c>
      <c r="I313" s="90" t="s">
        <v>210</v>
      </c>
      <c r="J313" s="90">
        <v>100</v>
      </c>
      <c r="K313" s="90">
        <v>0</v>
      </c>
      <c r="L313" s="91"/>
      <c r="M313" s="92" t="s">
        <v>3139</v>
      </c>
      <c r="N313" s="93" t="s">
        <v>2806</v>
      </c>
      <c r="P313" s="21" t="s">
        <v>2999</v>
      </c>
      <c r="Q313" s="12" t="s">
        <v>2808</v>
      </c>
      <c r="R313">
        <f t="shared" si="17"/>
        <v>1</v>
      </c>
      <c r="S313" s="21"/>
      <c r="T313" s="21"/>
      <c r="W313" t="e">
        <f>INDEX(#REF!,MATCH($E313,#REF!,0))</f>
        <v>#REF!</v>
      </c>
      <c r="X313" t="e">
        <f>INDEX(#REF!,MATCH($E313,#REF!,0))</f>
        <v>#REF!</v>
      </c>
      <c r="Y313" t="e">
        <f>INDEX(#REF!,MATCH($E313,#REF!,0))</f>
        <v>#REF!</v>
      </c>
      <c r="Z313" t="e">
        <f>INDEX(#REF!,MATCH($E313,#REF!,0))</f>
        <v>#REF!</v>
      </c>
      <c r="AA313" t="e">
        <f>INDEX(#REF!,MATCH($E313,#REF!,0))</f>
        <v>#REF!</v>
      </c>
      <c r="AB313" t="e">
        <f>INDEX(#REF!,MATCH($E313,#REF!,0))</f>
        <v>#REF!</v>
      </c>
      <c r="AC313" t="e">
        <f>INDEX(#REF!,MATCH($E313,#REF!,0))</f>
        <v>#REF!</v>
      </c>
      <c r="AD313" t="e">
        <f>INDEX(#REF!,MATCH($E313,#REF!,0))</f>
        <v>#REF!</v>
      </c>
      <c r="AE313" t="e">
        <f t="shared" si="15"/>
        <v>#REF!</v>
      </c>
    </row>
    <row r="314" spans="2:31" x14ac:dyDescent="0.25">
      <c r="B314" s="45" t="s">
        <v>2920</v>
      </c>
      <c r="C314" s="45" t="s">
        <v>2919</v>
      </c>
      <c r="D314" s="89"/>
      <c r="E314" s="89">
        <v>110732</v>
      </c>
      <c r="F314" s="89">
        <v>1029</v>
      </c>
      <c r="G314" s="90">
        <v>6</v>
      </c>
      <c r="H314" s="90">
        <v>2</v>
      </c>
      <c r="I314" s="90" t="s">
        <v>210</v>
      </c>
      <c r="J314" s="90">
        <v>100</v>
      </c>
      <c r="K314" s="90">
        <v>0</v>
      </c>
      <c r="L314" s="91"/>
      <c r="M314" s="92" t="s">
        <v>3140</v>
      </c>
      <c r="N314" s="93" t="s">
        <v>2807</v>
      </c>
      <c r="P314" s="21" t="s">
        <v>2999</v>
      </c>
      <c r="Q314" s="12" t="s">
        <v>2809</v>
      </c>
      <c r="R314">
        <f t="shared" si="17"/>
        <v>1</v>
      </c>
      <c r="S314" s="21"/>
      <c r="T314" s="21"/>
      <c r="W314" t="e">
        <f>INDEX(#REF!,MATCH($E314,#REF!,0))</f>
        <v>#REF!</v>
      </c>
      <c r="X314" t="e">
        <f>INDEX(#REF!,MATCH($E314,#REF!,0))</f>
        <v>#REF!</v>
      </c>
      <c r="Y314" t="e">
        <f>INDEX(#REF!,MATCH($E314,#REF!,0))</f>
        <v>#REF!</v>
      </c>
      <c r="Z314" t="e">
        <f>INDEX(#REF!,MATCH($E314,#REF!,0))</f>
        <v>#REF!</v>
      </c>
      <c r="AA314" t="e">
        <f>INDEX(#REF!,MATCH($E314,#REF!,0))</f>
        <v>#REF!</v>
      </c>
      <c r="AB314" t="e">
        <f>INDEX(#REF!,MATCH($E314,#REF!,0))</f>
        <v>#REF!</v>
      </c>
      <c r="AC314" t="e">
        <f>INDEX(#REF!,MATCH($E314,#REF!,0))</f>
        <v>#REF!</v>
      </c>
      <c r="AD314" t="e">
        <f>INDEX(#REF!,MATCH($E314,#REF!,0))</f>
        <v>#REF!</v>
      </c>
      <c r="AE314" t="e">
        <f t="shared" si="15"/>
        <v>#REF!</v>
      </c>
    </row>
    <row r="315" spans="2:31" ht="16.5" customHeight="1" x14ac:dyDescent="0.25">
      <c r="B315" s="45" t="s">
        <v>3012</v>
      </c>
      <c r="C315" s="45" t="s">
        <v>3011</v>
      </c>
      <c r="D315" s="89" t="s">
        <v>3323</v>
      </c>
      <c r="E315" s="89">
        <v>110733</v>
      </c>
      <c r="F315" s="89">
        <v>1029</v>
      </c>
      <c r="G315" s="90">
        <v>7</v>
      </c>
      <c r="H315" s="90">
        <v>2</v>
      </c>
      <c r="I315" s="90" t="s">
        <v>147</v>
      </c>
      <c r="J315" s="90">
        <v>100000</v>
      </c>
      <c r="K315" s="90">
        <v>0</v>
      </c>
      <c r="L315" s="91"/>
      <c r="M315" s="92"/>
      <c r="N315" s="93" t="s">
        <v>2904</v>
      </c>
      <c r="P315" s="21" t="s">
        <v>2999</v>
      </c>
      <c r="Q315" s="12"/>
      <c r="R315">
        <f t="shared" si="17"/>
        <v>1</v>
      </c>
      <c r="S315" s="21"/>
      <c r="T315" s="21"/>
      <c r="W315" t="e">
        <f>INDEX(#REF!,MATCH($E315,#REF!,0))</f>
        <v>#REF!</v>
      </c>
      <c r="X315" t="e">
        <f>INDEX(#REF!,MATCH($E315,#REF!,0))</f>
        <v>#REF!</v>
      </c>
      <c r="Y315" t="e">
        <f>INDEX(#REF!,MATCH($E315,#REF!,0))</f>
        <v>#REF!</v>
      </c>
      <c r="Z315" t="e">
        <f>INDEX(#REF!,MATCH($E315,#REF!,0))</f>
        <v>#REF!</v>
      </c>
      <c r="AA315" t="e">
        <f>INDEX(#REF!,MATCH($E315,#REF!,0))</f>
        <v>#REF!</v>
      </c>
      <c r="AB315" t="e">
        <f>INDEX(#REF!,MATCH($E315,#REF!,0))</f>
        <v>#REF!</v>
      </c>
      <c r="AC315" t="e">
        <f>INDEX(#REF!,MATCH($E315,#REF!,0))</f>
        <v>#REF!</v>
      </c>
      <c r="AD315" t="e">
        <f>INDEX(#REF!,MATCH($E315,#REF!,0))</f>
        <v>#REF!</v>
      </c>
      <c r="AE315" t="e">
        <f t="shared" si="15"/>
        <v>#REF!</v>
      </c>
    </row>
    <row r="316" spans="2:31" ht="18" customHeight="1" x14ac:dyDescent="0.25">
      <c r="B316" s="45" t="s">
        <v>3010</v>
      </c>
      <c r="C316" s="45" t="s">
        <v>3009</v>
      </c>
      <c r="D316" s="89" t="s">
        <v>3324</v>
      </c>
      <c r="E316" s="89">
        <v>110734</v>
      </c>
      <c r="F316" s="89">
        <v>1029</v>
      </c>
      <c r="G316" s="90">
        <v>8</v>
      </c>
      <c r="H316" s="90">
        <v>2</v>
      </c>
      <c r="I316" s="90" t="s">
        <v>147</v>
      </c>
      <c r="J316" s="90">
        <v>100000</v>
      </c>
      <c r="K316" s="90">
        <v>0</v>
      </c>
      <c r="L316" s="91"/>
      <c r="M316" s="92"/>
      <c r="N316" s="93" t="s">
        <v>2903</v>
      </c>
      <c r="P316" s="21" t="s">
        <v>2999</v>
      </c>
      <c r="Q316" s="12"/>
      <c r="R316">
        <f t="shared" si="17"/>
        <v>1</v>
      </c>
      <c r="S316" s="21"/>
      <c r="T316" s="21"/>
      <c r="W316" t="e">
        <f>INDEX(#REF!,MATCH($E316,#REF!,0))</f>
        <v>#REF!</v>
      </c>
      <c r="X316" t="e">
        <f>INDEX(#REF!,MATCH($E316,#REF!,0))</f>
        <v>#REF!</v>
      </c>
      <c r="Y316" t="e">
        <f>INDEX(#REF!,MATCH($E316,#REF!,0))</f>
        <v>#REF!</v>
      </c>
      <c r="Z316" t="e">
        <f>INDEX(#REF!,MATCH($E316,#REF!,0))</f>
        <v>#REF!</v>
      </c>
      <c r="AA316" t="e">
        <f>INDEX(#REF!,MATCH($E316,#REF!,0))</f>
        <v>#REF!</v>
      </c>
      <c r="AB316" t="e">
        <f>INDEX(#REF!,MATCH($E316,#REF!,0))</f>
        <v>#REF!</v>
      </c>
      <c r="AC316" t="e">
        <f>INDEX(#REF!,MATCH($E316,#REF!,0))</f>
        <v>#REF!</v>
      </c>
      <c r="AD316" t="e">
        <f>INDEX(#REF!,MATCH($E316,#REF!,0))</f>
        <v>#REF!</v>
      </c>
      <c r="AE316" t="e">
        <f t="shared" si="15"/>
        <v>#REF!</v>
      </c>
    </row>
    <row r="317" spans="2:31" x14ac:dyDescent="0.25">
      <c r="B317" s="45" t="s">
        <v>2905</v>
      </c>
      <c r="C317" s="45" t="s">
        <v>2751</v>
      </c>
      <c r="D317" s="89" t="s">
        <v>3413</v>
      </c>
      <c r="E317" s="89">
        <v>110735</v>
      </c>
      <c r="F317" s="89">
        <v>1029</v>
      </c>
      <c r="G317" s="90">
        <v>9</v>
      </c>
      <c r="H317" s="90">
        <v>2</v>
      </c>
      <c r="I317" s="90" t="s">
        <v>120</v>
      </c>
      <c r="J317" s="90">
        <v>1000</v>
      </c>
      <c r="K317" s="90">
        <v>0</v>
      </c>
      <c r="L317" s="91"/>
      <c r="M317" s="92" t="s">
        <v>2876</v>
      </c>
      <c r="N317" s="93" t="s">
        <v>2900</v>
      </c>
      <c r="P317" s="21" t="s">
        <v>2999</v>
      </c>
      <c r="Q317" s="12"/>
      <c r="R317">
        <f t="shared" si="17"/>
        <v>1</v>
      </c>
      <c r="S317" s="21"/>
      <c r="T317" s="21"/>
      <c r="W317" t="e">
        <f>INDEX(#REF!,MATCH($E317,#REF!,0))</f>
        <v>#REF!</v>
      </c>
      <c r="X317" t="e">
        <f>INDEX(#REF!,MATCH($E317,#REF!,0))</f>
        <v>#REF!</v>
      </c>
      <c r="Y317" t="e">
        <f>INDEX(#REF!,MATCH($E317,#REF!,0))</f>
        <v>#REF!</v>
      </c>
      <c r="Z317" t="e">
        <f>INDEX(#REF!,MATCH($E317,#REF!,0))</f>
        <v>#REF!</v>
      </c>
      <c r="AA317" t="e">
        <f>INDEX(#REF!,MATCH($E317,#REF!,0))</f>
        <v>#REF!</v>
      </c>
      <c r="AB317" t="e">
        <f>INDEX(#REF!,MATCH($E317,#REF!,0))</f>
        <v>#REF!</v>
      </c>
      <c r="AC317" t="e">
        <f>INDEX(#REF!,MATCH($E317,#REF!,0))</f>
        <v>#REF!</v>
      </c>
      <c r="AD317" t="e">
        <f>INDEX(#REF!,MATCH($E317,#REF!,0))</f>
        <v>#REF!</v>
      </c>
      <c r="AE317" t="e">
        <f t="shared" si="15"/>
        <v>#REF!</v>
      </c>
    </row>
    <row r="318" spans="2:31" x14ac:dyDescent="0.25">
      <c r="B318" s="45" t="s">
        <v>2906</v>
      </c>
      <c r="C318" s="45" t="s">
        <v>2752</v>
      </c>
      <c r="D318" s="89" t="s">
        <v>3414</v>
      </c>
      <c r="E318" s="89">
        <v>110736</v>
      </c>
      <c r="F318" s="89">
        <v>1029</v>
      </c>
      <c r="G318" s="90">
        <v>10</v>
      </c>
      <c r="H318" s="90">
        <v>2</v>
      </c>
      <c r="I318" s="90" t="s">
        <v>120</v>
      </c>
      <c r="J318" s="90">
        <v>1000</v>
      </c>
      <c r="K318" s="90">
        <v>0</v>
      </c>
      <c r="L318" s="91"/>
      <c r="M318" s="92" t="s">
        <v>2877</v>
      </c>
      <c r="N318" s="93" t="s">
        <v>2901</v>
      </c>
      <c r="P318" s="21" t="s">
        <v>2999</v>
      </c>
      <c r="Q318" s="12"/>
      <c r="R318">
        <f t="shared" si="17"/>
        <v>1</v>
      </c>
      <c r="S318" s="21"/>
      <c r="T318" s="21"/>
      <c r="W318" t="e">
        <f>INDEX(#REF!,MATCH($E318,#REF!,0))</f>
        <v>#REF!</v>
      </c>
      <c r="X318" t="e">
        <f>INDEX(#REF!,MATCH($E318,#REF!,0))</f>
        <v>#REF!</v>
      </c>
      <c r="Y318" t="e">
        <f>INDEX(#REF!,MATCH($E318,#REF!,0))</f>
        <v>#REF!</v>
      </c>
      <c r="Z318" t="e">
        <f>INDEX(#REF!,MATCH($E318,#REF!,0))</f>
        <v>#REF!</v>
      </c>
      <c r="AA318" t="e">
        <f>INDEX(#REF!,MATCH($E318,#REF!,0))</f>
        <v>#REF!</v>
      </c>
      <c r="AB318" t="e">
        <f>INDEX(#REF!,MATCH($E318,#REF!,0))</f>
        <v>#REF!</v>
      </c>
      <c r="AC318" t="e">
        <f>INDEX(#REF!,MATCH($E318,#REF!,0))</f>
        <v>#REF!</v>
      </c>
      <c r="AD318" t="e">
        <f>INDEX(#REF!,MATCH($E318,#REF!,0))</f>
        <v>#REF!</v>
      </c>
      <c r="AE318" t="e">
        <f t="shared" si="15"/>
        <v>#REF!</v>
      </c>
    </row>
    <row r="319" spans="2:31" x14ac:dyDescent="0.25">
      <c r="B319" s="45" t="s">
        <v>2908</v>
      </c>
      <c r="C319" s="45" t="s">
        <v>2907</v>
      </c>
      <c r="D319" s="89" t="s">
        <v>3415</v>
      </c>
      <c r="E319" s="89">
        <v>110737</v>
      </c>
      <c r="F319" s="89">
        <v>1029</v>
      </c>
      <c r="G319" s="90">
        <v>11</v>
      </c>
      <c r="H319" s="90">
        <v>2</v>
      </c>
      <c r="I319" s="90" t="s">
        <v>120</v>
      </c>
      <c r="J319" s="90">
        <v>1000</v>
      </c>
      <c r="K319" s="90">
        <v>0</v>
      </c>
      <c r="L319" s="91"/>
      <c r="M319" s="92" t="s">
        <v>2878</v>
      </c>
      <c r="N319" s="93" t="s">
        <v>2902</v>
      </c>
      <c r="P319" s="21" t="s">
        <v>2999</v>
      </c>
      <c r="Q319" s="12"/>
      <c r="R319">
        <f t="shared" si="17"/>
        <v>1</v>
      </c>
      <c r="S319" s="21"/>
      <c r="T319" s="21"/>
      <c r="W319" t="e">
        <f>INDEX(#REF!,MATCH($E319,#REF!,0))</f>
        <v>#REF!</v>
      </c>
      <c r="X319" t="e">
        <f>INDEX(#REF!,MATCH($E319,#REF!,0))</f>
        <v>#REF!</v>
      </c>
      <c r="Y319" t="e">
        <f>INDEX(#REF!,MATCH($E319,#REF!,0))</f>
        <v>#REF!</v>
      </c>
      <c r="Z319" t="e">
        <f>INDEX(#REF!,MATCH($E319,#REF!,0))</f>
        <v>#REF!</v>
      </c>
      <c r="AA319" t="e">
        <f>INDEX(#REF!,MATCH($E319,#REF!,0))</f>
        <v>#REF!</v>
      </c>
      <c r="AB319" t="e">
        <f>INDEX(#REF!,MATCH($E319,#REF!,0))</f>
        <v>#REF!</v>
      </c>
      <c r="AC319" t="e">
        <f>INDEX(#REF!,MATCH($E319,#REF!,0))</f>
        <v>#REF!</v>
      </c>
      <c r="AD319" t="e">
        <f>INDEX(#REF!,MATCH($E319,#REF!,0))</f>
        <v>#REF!</v>
      </c>
      <c r="AE319" t="e">
        <f t="shared" si="15"/>
        <v>#REF!</v>
      </c>
    </row>
    <row r="320" spans="2:31" x14ac:dyDescent="0.25">
      <c r="B320" s="45" t="s">
        <v>1626</v>
      </c>
      <c r="C320" s="45" t="s">
        <v>488</v>
      </c>
      <c r="D320" s="89" t="s">
        <v>1109</v>
      </c>
      <c r="E320" s="89">
        <v>110806</v>
      </c>
      <c r="F320" s="89">
        <v>1172</v>
      </c>
      <c r="G320" s="90">
        <v>7</v>
      </c>
      <c r="H320" s="90">
        <v>31</v>
      </c>
      <c r="I320" s="90" t="s">
        <v>18</v>
      </c>
      <c r="J320" s="90">
        <v>1</v>
      </c>
      <c r="K320" s="90">
        <v>0</v>
      </c>
      <c r="L320" s="91"/>
      <c r="M320" s="92" t="s">
        <v>2316</v>
      </c>
      <c r="N320" s="93"/>
      <c r="P320" s="21"/>
      <c r="Q320" s="12"/>
      <c r="R320">
        <f t="shared" si="17"/>
        <v>1</v>
      </c>
      <c r="S320" s="21" t="s">
        <v>99</v>
      </c>
      <c r="T320" s="21" t="s">
        <v>99</v>
      </c>
      <c r="W320" t="e">
        <f>INDEX(#REF!,MATCH($E320,#REF!,0))</f>
        <v>#REF!</v>
      </c>
      <c r="X320" t="e">
        <f>INDEX(#REF!,MATCH($E320,#REF!,0))</f>
        <v>#REF!</v>
      </c>
      <c r="Y320" t="e">
        <f>INDEX(#REF!,MATCH($E320,#REF!,0))</f>
        <v>#REF!</v>
      </c>
      <c r="Z320" t="e">
        <f>INDEX(#REF!,MATCH($E320,#REF!,0))</f>
        <v>#REF!</v>
      </c>
      <c r="AA320" t="e">
        <f>INDEX(#REF!,MATCH($E320,#REF!,0))</f>
        <v>#REF!</v>
      </c>
      <c r="AB320" t="e">
        <f>INDEX(#REF!,MATCH($E320,#REF!,0))</f>
        <v>#REF!</v>
      </c>
      <c r="AC320" t="e">
        <f>INDEX(#REF!,MATCH($E320,#REF!,0))</f>
        <v>#REF!</v>
      </c>
      <c r="AD320" t="e">
        <f>INDEX(#REF!,MATCH($E320,#REF!,0))</f>
        <v>#REF!</v>
      </c>
      <c r="AE320" t="e">
        <f t="shared" si="15"/>
        <v>#REF!</v>
      </c>
    </row>
    <row r="321" spans="2:31" x14ac:dyDescent="0.25">
      <c r="B321" s="45" t="s">
        <v>1627</v>
      </c>
      <c r="C321" s="45" t="s">
        <v>490</v>
      </c>
      <c r="D321" s="89" t="s">
        <v>489</v>
      </c>
      <c r="E321" s="89">
        <v>110910</v>
      </c>
      <c r="F321" s="89">
        <v>1082</v>
      </c>
      <c r="G321" s="90">
        <v>5</v>
      </c>
      <c r="H321" s="90">
        <v>3</v>
      </c>
      <c r="I321" s="90" t="s">
        <v>175</v>
      </c>
      <c r="J321" s="90">
        <v>10000</v>
      </c>
      <c r="K321" s="90">
        <v>0</v>
      </c>
      <c r="L321" s="91"/>
      <c r="M321" s="92"/>
      <c r="N321" s="93"/>
      <c r="P321" s="21"/>
      <c r="Q321" s="12"/>
      <c r="R321">
        <f t="shared" si="17"/>
        <v>1</v>
      </c>
      <c r="S321" s="21" t="s">
        <v>99</v>
      </c>
      <c r="T321" s="21" t="s">
        <v>99</v>
      </c>
      <c r="W321" t="e">
        <f>INDEX(#REF!,MATCH($E321,#REF!,0))</f>
        <v>#REF!</v>
      </c>
      <c r="X321" t="e">
        <f>INDEX(#REF!,MATCH($E321,#REF!,0))</f>
        <v>#REF!</v>
      </c>
      <c r="Y321" t="e">
        <f>INDEX(#REF!,MATCH($E321,#REF!,0))</f>
        <v>#REF!</v>
      </c>
      <c r="Z321" t="e">
        <f>INDEX(#REF!,MATCH($E321,#REF!,0))</f>
        <v>#REF!</v>
      </c>
      <c r="AA321" t="e">
        <f>INDEX(#REF!,MATCH($E321,#REF!,0))</f>
        <v>#REF!</v>
      </c>
      <c r="AB321" t="e">
        <f>INDEX(#REF!,MATCH($E321,#REF!,0))</f>
        <v>#REF!</v>
      </c>
      <c r="AC321" t="e">
        <f>INDEX(#REF!,MATCH($E321,#REF!,0))</f>
        <v>#REF!</v>
      </c>
      <c r="AD321" t="e">
        <f>INDEX(#REF!,MATCH($E321,#REF!,0))</f>
        <v>#REF!</v>
      </c>
      <c r="AE321" t="e">
        <f t="shared" si="15"/>
        <v>#REF!</v>
      </c>
    </row>
    <row r="322" spans="2:31" ht="45" x14ac:dyDescent="0.25">
      <c r="B322" s="45" t="s">
        <v>1628</v>
      </c>
      <c r="C322" s="45" t="s">
        <v>492</v>
      </c>
      <c r="D322" s="89" t="s">
        <v>491</v>
      </c>
      <c r="E322" s="89">
        <v>112002</v>
      </c>
      <c r="F322" s="89">
        <v>1092</v>
      </c>
      <c r="G322" s="90">
        <v>24</v>
      </c>
      <c r="H322" s="90">
        <v>3</v>
      </c>
      <c r="I322" s="90" t="s">
        <v>21</v>
      </c>
      <c r="J322" s="90">
        <v>10</v>
      </c>
      <c r="K322" s="90">
        <v>0</v>
      </c>
      <c r="L322" s="91"/>
      <c r="M322" s="92" t="s">
        <v>2512</v>
      </c>
      <c r="N322" s="93"/>
      <c r="P322" s="21"/>
      <c r="Q322" s="12"/>
      <c r="R322">
        <f t="shared" si="17"/>
        <v>1</v>
      </c>
      <c r="S322" s="21" t="s">
        <v>99</v>
      </c>
      <c r="T322" s="21" t="s">
        <v>99</v>
      </c>
      <c r="W322" t="e">
        <f>INDEX(#REF!,MATCH($E322,#REF!,0))</f>
        <v>#REF!</v>
      </c>
      <c r="X322" t="e">
        <f>INDEX(#REF!,MATCH($E322,#REF!,0))</f>
        <v>#REF!</v>
      </c>
      <c r="Y322" t="e">
        <f>INDEX(#REF!,MATCH($E322,#REF!,0))</f>
        <v>#REF!</v>
      </c>
      <c r="Z322" t="e">
        <f>INDEX(#REF!,MATCH($E322,#REF!,0))</f>
        <v>#REF!</v>
      </c>
      <c r="AA322" t="e">
        <f>INDEX(#REF!,MATCH($E322,#REF!,0))</f>
        <v>#REF!</v>
      </c>
      <c r="AB322" t="e">
        <f>INDEX(#REF!,MATCH($E322,#REF!,0))</f>
        <v>#REF!</v>
      </c>
      <c r="AC322" t="e">
        <f>INDEX(#REF!,MATCH($E322,#REF!,0))</f>
        <v>#REF!</v>
      </c>
      <c r="AD322" t="e">
        <f>INDEX(#REF!,MATCH($E322,#REF!,0))</f>
        <v>#REF!</v>
      </c>
      <c r="AE322" t="e">
        <f t="shared" si="15"/>
        <v>#REF!</v>
      </c>
    </row>
    <row r="323" spans="2:31" x14ac:dyDescent="0.25">
      <c r="B323" s="45" t="s">
        <v>1629</v>
      </c>
      <c r="C323" s="45" t="s">
        <v>493</v>
      </c>
      <c r="D323" s="89" t="s">
        <v>1950</v>
      </c>
      <c r="E323" s="89">
        <v>112003</v>
      </c>
      <c r="F323" s="89">
        <v>1105</v>
      </c>
      <c r="G323" s="90">
        <v>0</v>
      </c>
      <c r="H323" s="90">
        <v>3</v>
      </c>
      <c r="I323" s="90" t="s">
        <v>26</v>
      </c>
      <c r="J323" s="90">
        <v>1</v>
      </c>
      <c r="K323" s="90" t="s">
        <v>2509</v>
      </c>
      <c r="L323" s="91" t="s">
        <v>2237</v>
      </c>
      <c r="M323" s="92" t="s">
        <v>2317</v>
      </c>
      <c r="N323" s="93"/>
      <c r="P323" s="21"/>
      <c r="Q323" s="12"/>
      <c r="R323">
        <f t="shared" si="17"/>
        <v>1</v>
      </c>
      <c r="S323" s="21" t="s">
        <v>99</v>
      </c>
      <c r="T323" s="21" t="s">
        <v>99</v>
      </c>
      <c r="W323" t="e">
        <f>INDEX(#REF!,MATCH($E323,#REF!,0))</f>
        <v>#REF!</v>
      </c>
      <c r="X323" t="e">
        <f>INDEX(#REF!,MATCH($E323,#REF!,0))</f>
        <v>#REF!</v>
      </c>
      <c r="Y323" t="e">
        <f>INDEX(#REF!,MATCH($E323,#REF!,0))</f>
        <v>#REF!</v>
      </c>
      <c r="Z323" t="e">
        <f>INDEX(#REF!,MATCH($E323,#REF!,0))</f>
        <v>#REF!</v>
      </c>
      <c r="AA323" t="e">
        <f>INDEX(#REF!,MATCH($E323,#REF!,0))</f>
        <v>#REF!</v>
      </c>
      <c r="AB323" t="e">
        <f>INDEX(#REF!,MATCH($E323,#REF!,0))</f>
        <v>#REF!</v>
      </c>
      <c r="AC323" t="e">
        <f>INDEX(#REF!,MATCH($E323,#REF!,0))</f>
        <v>#REF!</v>
      </c>
      <c r="AD323" t="e">
        <f>INDEX(#REF!,MATCH($E323,#REF!,0))</f>
        <v>#REF!</v>
      </c>
      <c r="AE323" t="e">
        <f t="shared" si="15"/>
        <v>#REF!</v>
      </c>
    </row>
    <row r="324" spans="2:31" x14ac:dyDescent="0.25">
      <c r="B324" s="45" t="s">
        <v>1630</v>
      </c>
      <c r="C324" s="45" t="s">
        <v>495</v>
      </c>
      <c r="D324" s="89" t="s">
        <v>494</v>
      </c>
      <c r="E324" s="89">
        <v>112026</v>
      </c>
      <c r="F324" s="89">
        <v>1105</v>
      </c>
      <c r="G324" s="90">
        <v>3</v>
      </c>
      <c r="H324" s="90">
        <v>3</v>
      </c>
      <c r="I324" s="90" t="s">
        <v>147</v>
      </c>
      <c r="J324" s="90">
        <v>100000</v>
      </c>
      <c r="K324" s="90">
        <v>0</v>
      </c>
      <c r="L324" s="91"/>
      <c r="M324" s="92" t="s">
        <v>1151</v>
      </c>
      <c r="N324" s="93"/>
      <c r="P324" s="21"/>
      <c r="Q324" s="12"/>
      <c r="R324">
        <f t="shared" si="17"/>
        <v>1</v>
      </c>
      <c r="S324" s="21" t="s">
        <v>99</v>
      </c>
      <c r="T324" s="21" t="s">
        <v>99</v>
      </c>
      <c r="W324" t="e">
        <f>INDEX(#REF!,MATCH($E324,#REF!,0))</f>
        <v>#REF!</v>
      </c>
      <c r="X324" t="e">
        <f>INDEX(#REF!,MATCH($E324,#REF!,0))</f>
        <v>#REF!</v>
      </c>
      <c r="Y324" t="e">
        <f>INDEX(#REF!,MATCH($E324,#REF!,0))</f>
        <v>#REF!</v>
      </c>
      <c r="Z324" t="e">
        <f>INDEX(#REF!,MATCH($E324,#REF!,0))</f>
        <v>#REF!</v>
      </c>
      <c r="AA324" t="e">
        <f>INDEX(#REF!,MATCH($E324,#REF!,0))</f>
        <v>#REF!</v>
      </c>
      <c r="AB324" t="e">
        <f>INDEX(#REF!,MATCH($E324,#REF!,0))</f>
        <v>#REF!</v>
      </c>
      <c r="AC324" t="e">
        <f>INDEX(#REF!,MATCH($E324,#REF!,0))</f>
        <v>#REF!</v>
      </c>
      <c r="AD324" t="e">
        <f>INDEX(#REF!,MATCH($E324,#REF!,0))</f>
        <v>#REF!</v>
      </c>
      <c r="AE324" t="e">
        <f t="shared" si="15"/>
        <v>#REF!</v>
      </c>
    </row>
    <row r="325" spans="2:31" ht="45" x14ac:dyDescent="0.25">
      <c r="B325" s="45" t="s">
        <v>1631</v>
      </c>
      <c r="C325" s="45" t="s">
        <v>497</v>
      </c>
      <c r="D325" s="89" t="s">
        <v>496</v>
      </c>
      <c r="E325" s="89">
        <v>112027</v>
      </c>
      <c r="F325" s="89">
        <v>1105</v>
      </c>
      <c r="G325" s="90">
        <v>4</v>
      </c>
      <c r="H325" s="90">
        <v>3</v>
      </c>
      <c r="I325" s="90" t="s">
        <v>147</v>
      </c>
      <c r="J325" s="90">
        <v>100000</v>
      </c>
      <c r="K325" s="90">
        <v>0</v>
      </c>
      <c r="L325" s="91"/>
      <c r="M325" s="92" t="s">
        <v>2513</v>
      </c>
      <c r="N325" s="93"/>
      <c r="P325" s="21"/>
      <c r="Q325" s="12"/>
      <c r="R325">
        <f t="shared" si="17"/>
        <v>1</v>
      </c>
      <c r="S325" s="21" t="s">
        <v>99</v>
      </c>
      <c r="T325" s="21" t="s">
        <v>99</v>
      </c>
      <c r="W325" t="e">
        <f>INDEX(#REF!,MATCH($E325,#REF!,0))</f>
        <v>#REF!</v>
      </c>
      <c r="X325" t="e">
        <f>INDEX(#REF!,MATCH($E325,#REF!,0))</f>
        <v>#REF!</v>
      </c>
      <c r="Y325" t="e">
        <f>INDEX(#REF!,MATCH($E325,#REF!,0))</f>
        <v>#REF!</v>
      </c>
      <c r="Z325" t="e">
        <f>INDEX(#REF!,MATCH($E325,#REF!,0))</f>
        <v>#REF!</v>
      </c>
      <c r="AA325" t="e">
        <f>INDEX(#REF!,MATCH($E325,#REF!,0))</f>
        <v>#REF!</v>
      </c>
      <c r="AB325" t="e">
        <f>INDEX(#REF!,MATCH($E325,#REF!,0))</f>
        <v>#REF!</v>
      </c>
      <c r="AC325" t="e">
        <f>INDEX(#REF!,MATCH($E325,#REF!,0))</f>
        <v>#REF!</v>
      </c>
      <c r="AD325" t="e">
        <f>INDEX(#REF!,MATCH($E325,#REF!,0))</f>
        <v>#REF!</v>
      </c>
      <c r="AE325" t="e">
        <f t="shared" si="15"/>
        <v>#REF!</v>
      </c>
    </row>
    <row r="326" spans="2:31" ht="45" x14ac:dyDescent="0.25">
      <c r="B326" s="45" t="s">
        <v>1632</v>
      </c>
      <c r="C326" s="45" t="s">
        <v>499</v>
      </c>
      <c r="D326" s="89" t="s">
        <v>498</v>
      </c>
      <c r="E326" s="89">
        <v>112028</v>
      </c>
      <c r="F326" s="89">
        <v>1105</v>
      </c>
      <c r="G326" s="90">
        <v>5</v>
      </c>
      <c r="H326" s="90">
        <v>3</v>
      </c>
      <c r="I326" s="90" t="s">
        <v>147</v>
      </c>
      <c r="J326" s="90">
        <v>100000</v>
      </c>
      <c r="K326" s="90">
        <v>0</v>
      </c>
      <c r="L326" s="91"/>
      <c r="M326" s="92" t="s">
        <v>2245</v>
      </c>
      <c r="N326" s="93"/>
      <c r="P326" s="21"/>
      <c r="Q326" s="12"/>
      <c r="R326">
        <f t="shared" si="17"/>
        <v>1</v>
      </c>
      <c r="S326" s="21" t="s">
        <v>99</v>
      </c>
      <c r="T326" s="21" t="s">
        <v>99</v>
      </c>
      <c r="W326" t="e">
        <f>INDEX(#REF!,MATCH($E326,#REF!,0))</f>
        <v>#REF!</v>
      </c>
      <c r="X326" t="e">
        <f>INDEX(#REF!,MATCH($E326,#REF!,0))</f>
        <v>#REF!</v>
      </c>
      <c r="Y326" t="e">
        <f>INDEX(#REF!,MATCH($E326,#REF!,0))</f>
        <v>#REF!</v>
      </c>
      <c r="Z326" t="e">
        <f>INDEX(#REF!,MATCH($E326,#REF!,0))</f>
        <v>#REF!</v>
      </c>
      <c r="AA326" t="e">
        <f>INDEX(#REF!,MATCH($E326,#REF!,0))</f>
        <v>#REF!</v>
      </c>
      <c r="AB326" t="e">
        <f>INDEX(#REF!,MATCH($E326,#REF!,0))</f>
        <v>#REF!</v>
      </c>
      <c r="AC326" t="e">
        <f>INDEX(#REF!,MATCH($E326,#REF!,0))</f>
        <v>#REF!</v>
      </c>
      <c r="AD326" t="e">
        <f>INDEX(#REF!,MATCH($E326,#REF!,0))</f>
        <v>#REF!</v>
      </c>
      <c r="AE326" t="e">
        <f t="shared" si="15"/>
        <v>#REF!</v>
      </c>
    </row>
    <row r="327" spans="2:31" x14ac:dyDescent="0.25">
      <c r="B327" s="45" t="s">
        <v>1633</v>
      </c>
      <c r="C327" s="45" t="s">
        <v>500</v>
      </c>
      <c r="D327" s="89" t="s">
        <v>1951</v>
      </c>
      <c r="E327" s="89">
        <v>112029</v>
      </c>
      <c r="F327" s="89">
        <v>1105</v>
      </c>
      <c r="G327" s="90">
        <v>6</v>
      </c>
      <c r="H327" s="90">
        <v>3</v>
      </c>
      <c r="I327" s="90" t="s">
        <v>26</v>
      </c>
      <c r="J327" s="90">
        <v>1</v>
      </c>
      <c r="K327" s="90" t="s">
        <v>2509</v>
      </c>
      <c r="L327" s="91">
        <v>6243</v>
      </c>
      <c r="M327" s="92" t="s">
        <v>2318</v>
      </c>
      <c r="N327" s="93"/>
      <c r="P327" s="21"/>
      <c r="Q327" s="12"/>
      <c r="R327">
        <f t="shared" si="17"/>
        <v>1</v>
      </c>
      <c r="S327" s="21" t="s">
        <v>99</v>
      </c>
      <c r="T327" s="21" t="s">
        <v>99</v>
      </c>
      <c r="W327" t="e">
        <f>INDEX(#REF!,MATCH($E327,#REF!,0))</f>
        <v>#REF!</v>
      </c>
      <c r="X327" t="e">
        <f>INDEX(#REF!,MATCH($E327,#REF!,0))</f>
        <v>#REF!</v>
      </c>
      <c r="Y327" t="e">
        <f>INDEX(#REF!,MATCH($E327,#REF!,0))</f>
        <v>#REF!</v>
      </c>
      <c r="Z327" t="e">
        <f>INDEX(#REF!,MATCH($E327,#REF!,0))</f>
        <v>#REF!</v>
      </c>
      <c r="AA327" t="e">
        <f>INDEX(#REF!,MATCH($E327,#REF!,0))</f>
        <v>#REF!</v>
      </c>
      <c r="AB327" t="e">
        <f>INDEX(#REF!,MATCH($E327,#REF!,0))</f>
        <v>#REF!</v>
      </c>
      <c r="AC327" t="e">
        <f>INDEX(#REF!,MATCH($E327,#REF!,0))</f>
        <v>#REF!</v>
      </c>
      <c r="AD327" t="e">
        <f>INDEX(#REF!,MATCH($E327,#REF!,0))</f>
        <v>#REF!</v>
      </c>
      <c r="AE327" t="e">
        <f t="shared" si="15"/>
        <v>#REF!</v>
      </c>
    </row>
    <row r="328" spans="2:31" x14ac:dyDescent="0.25">
      <c r="B328" s="45" t="s">
        <v>1634</v>
      </c>
      <c r="C328" s="45" t="s">
        <v>501</v>
      </c>
      <c r="D328" s="89" t="s">
        <v>1952</v>
      </c>
      <c r="E328" s="89">
        <v>112030</v>
      </c>
      <c r="F328" s="89">
        <v>1105</v>
      </c>
      <c r="G328" s="90">
        <v>7</v>
      </c>
      <c r="H328" s="90">
        <v>3</v>
      </c>
      <c r="I328" s="90" t="s">
        <v>26</v>
      </c>
      <c r="J328" s="90">
        <v>1</v>
      </c>
      <c r="K328" s="90" t="s">
        <v>2509</v>
      </c>
      <c r="L328" s="91">
        <v>6244</v>
      </c>
      <c r="M328" s="92" t="s">
        <v>2319</v>
      </c>
      <c r="N328" s="93"/>
      <c r="P328" s="21"/>
      <c r="Q328" s="12"/>
      <c r="R328">
        <f t="shared" si="17"/>
        <v>1</v>
      </c>
      <c r="S328" s="21" t="s">
        <v>99</v>
      </c>
      <c r="T328" s="21" t="s">
        <v>99</v>
      </c>
      <c r="W328" t="e">
        <f>INDEX(#REF!,MATCH($E328,#REF!,0))</f>
        <v>#REF!</v>
      </c>
      <c r="X328" t="e">
        <f>INDEX(#REF!,MATCH($E328,#REF!,0))</f>
        <v>#REF!</v>
      </c>
      <c r="Y328" t="e">
        <f>INDEX(#REF!,MATCH($E328,#REF!,0))</f>
        <v>#REF!</v>
      </c>
      <c r="Z328" t="e">
        <f>INDEX(#REF!,MATCH($E328,#REF!,0))</f>
        <v>#REF!</v>
      </c>
      <c r="AA328" t="e">
        <f>INDEX(#REF!,MATCH($E328,#REF!,0))</f>
        <v>#REF!</v>
      </c>
      <c r="AB328" t="e">
        <f>INDEX(#REF!,MATCH($E328,#REF!,0))</f>
        <v>#REF!</v>
      </c>
      <c r="AC328" t="e">
        <f>INDEX(#REF!,MATCH($E328,#REF!,0))</f>
        <v>#REF!</v>
      </c>
      <c r="AD328" t="e">
        <f>INDEX(#REF!,MATCH($E328,#REF!,0))</f>
        <v>#REF!</v>
      </c>
      <c r="AE328" t="e">
        <f t="shared" si="15"/>
        <v>#REF!</v>
      </c>
    </row>
    <row r="329" spans="2:31" x14ac:dyDescent="0.25">
      <c r="B329" s="45" t="s">
        <v>1635</v>
      </c>
      <c r="C329" s="45" t="s">
        <v>503</v>
      </c>
      <c r="D329" s="89" t="s">
        <v>502</v>
      </c>
      <c r="E329" s="89">
        <v>112068</v>
      </c>
      <c r="F329" s="89">
        <v>1105</v>
      </c>
      <c r="G329" s="90">
        <v>8</v>
      </c>
      <c r="H329" s="90">
        <v>3</v>
      </c>
      <c r="I329" s="90" t="s">
        <v>18</v>
      </c>
      <c r="J329" s="90">
        <v>1</v>
      </c>
      <c r="K329" s="90">
        <v>0</v>
      </c>
      <c r="L329" s="91"/>
      <c r="M329" s="92" t="s">
        <v>1164</v>
      </c>
      <c r="N329" s="93"/>
      <c r="P329" s="21"/>
      <c r="Q329" s="12"/>
      <c r="R329">
        <f t="shared" si="17"/>
        <v>1</v>
      </c>
      <c r="S329" s="21" t="s">
        <v>99</v>
      </c>
      <c r="T329" s="21" t="s">
        <v>99</v>
      </c>
      <c r="W329" t="e">
        <f>INDEX(#REF!,MATCH($E329,#REF!,0))</f>
        <v>#REF!</v>
      </c>
      <c r="X329" t="e">
        <f>INDEX(#REF!,MATCH($E329,#REF!,0))</f>
        <v>#REF!</v>
      </c>
      <c r="Y329" t="e">
        <f>INDEX(#REF!,MATCH($E329,#REF!,0))</f>
        <v>#REF!</v>
      </c>
      <c r="Z329" t="e">
        <f>INDEX(#REF!,MATCH($E329,#REF!,0))</f>
        <v>#REF!</v>
      </c>
      <c r="AA329" t="e">
        <f>INDEX(#REF!,MATCH($E329,#REF!,0))</f>
        <v>#REF!</v>
      </c>
      <c r="AB329" t="e">
        <f>INDEX(#REF!,MATCH($E329,#REF!,0))</f>
        <v>#REF!</v>
      </c>
      <c r="AC329" t="e">
        <f>INDEX(#REF!,MATCH($E329,#REF!,0))</f>
        <v>#REF!</v>
      </c>
      <c r="AD329" t="e">
        <f>INDEX(#REF!,MATCH($E329,#REF!,0))</f>
        <v>#REF!</v>
      </c>
      <c r="AE329" t="e">
        <f t="shared" si="15"/>
        <v>#REF!</v>
      </c>
    </row>
    <row r="330" spans="2:31" x14ac:dyDescent="0.25">
      <c r="B330" s="45" t="s">
        <v>1636</v>
      </c>
      <c r="C330" s="45" t="s">
        <v>504</v>
      </c>
      <c r="D330" s="89" t="s">
        <v>1127</v>
      </c>
      <c r="E330" s="89">
        <v>112077</v>
      </c>
      <c r="F330" s="89">
        <v>1082</v>
      </c>
      <c r="G330" s="90">
        <v>9</v>
      </c>
      <c r="H330" s="90">
        <v>3</v>
      </c>
      <c r="I330" s="90" t="s">
        <v>154</v>
      </c>
      <c r="J330" s="90">
        <v>100</v>
      </c>
      <c r="K330" s="90">
        <v>0</v>
      </c>
      <c r="L330" s="91"/>
      <c r="M330" s="92" t="s">
        <v>2320</v>
      </c>
      <c r="N330" s="93"/>
      <c r="P330" s="21"/>
      <c r="Q330" s="12"/>
      <c r="R330">
        <f t="shared" si="17"/>
        <v>1</v>
      </c>
      <c r="S330" s="21" t="s">
        <v>99</v>
      </c>
      <c r="T330" s="21">
        <v>398703</v>
      </c>
      <c r="W330" t="e">
        <f>INDEX(#REF!,MATCH($E330,#REF!,0))</f>
        <v>#REF!</v>
      </c>
      <c r="X330" t="e">
        <f>INDEX(#REF!,MATCH($E330,#REF!,0))</f>
        <v>#REF!</v>
      </c>
      <c r="Y330" t="e">
        <f>INDEX(#REF!,MATCH($E330,#REF!,0))</f>
        <v>#REF!</v>
      </c>
      <c r="Z330" t="e">
        <f>INDEX(#REF!,MATCH($E330,#REF!,0))</f>
        <v>#REF!</v>
      </c>
      <c r="AA330" t="e">
        <f>INDEX(#REF!,MATCH($E330,#REF!,0))</f>
        <v>#REF!</v>
      </c>
      <c r="AB330" t="e">
        <f>INDEX(#REF!,MATCH($E330,#REF!,0))</f>
        <v>#REF!</v>
      </c>
      <c r="AC330" t="e">
        <f>INDEX(#REF!,MATCH($E330,#REF!,0))</f>
        <v>#REF!</v>
      </c>
      <c r="AD330" t="e">
        <f>INDEX(#REF!,MATCH($E330,#REF!,0))</f>
        <v>#REF!</v>
      </c>
      <c r="AE330" t="e">
        <f t="shared" si="15"/>
        <v>#REF!</v>
      </c>
    </row>
    <row r="331" spans="2:31" x14ac:dyDescent="0.25">
      <c r="B331" s="45" t="s">
        <v>1637</v>
      </c>
      <c r="C331" s="45" t="s">
        <v>505</v>
      </c>
      <c r="D331" s="89" t="s">
        <v>1128</v>
      </c>
      <c r="E331" s="89">
        <v>112078</v>
      </c>
      <c r="F331" s="89">
        <v>1082</v>
      </c>
      <c r="G331" s="90">
        <v>10</v>
      </c>
      <c r="H331" s="90">
        <v>3</v>
      </c>
      <c r="I331" s="90" t="s">
        <v>154</v>
      </c>
      <c r="J331" s="90">
        <v>100</v>
      </c>
      <c r="K331" s="90">
        <v>0</v>
      </c>
      <c r="L331" s="91"/>
      <c r="M331" s="92" t="s">
        <v>2321</v>
      </c>
      <c r="N331" s="93"/>
      <c r="P331" s="21"/>
      <c r="Q331" s="12"/>
      <c r="R331">
        <f t="shared" si="17"/>
        <v>1</v>
      </c>
      <c r="S331" s="21" t="s">
        <v>99</v>
      </c>
      <c r="T331" s="21">
        <v>398703</v>
      </c>
      <c r="W331" t="e">
        <f>INDEX(#REF!,MATCH($E331,#REF!,0))</f>
        <v>#REF!</v>
      </c>
      <c r="X331" t="e">
        <f>INDEX(#REF!,MATCH($E331,#REF!,0))</f>
        <v>#REF!</v>
      </c>
      <c r="Y331" t="e">
        <f>INDEX(#REF!,MATCH($E331,#REF!,0))</f>
        <v>#REF!</v>
      </c>
      <c r="Z331" t="e">
        <f>INDEX(#REF!,MATCH($E331,#REF!,0))</f>
        <v>#REF!</v>
      </c>
      <c r="AA331" t="e">
        <f>INDEX(#REF!,MATCH($E331,#REF!,0))</f>
        <v>#REF!</v>
      </c>
      <c r="AB331" t="e">
        <f>INDEX(#REF!,MATCH($E331,#REF!,0))</f>
        <v>#REF!</v>
      </c>
      <c r="AC331" t="e">
        <f>INDEX(#REF!,MATCH($E331,#REF!,0))</f>
        <v>#REF!</v>
      </c>
      <c r="AD331" t="e">
        <f>INDEX(#REF!,MATCH($E331,#REF!,0))</f>
        <v>#REF!</v>
      </c>
      <c r="AE331" t="e">
        <f t="shared" si="15"/>
        <v>#REF!</v>
      </c>
    </row>
    <row r="332" spans="2:31" x14ac:dyDescent="0.25">
      <c r="B332" s="45" t="s">
        <v>1638</v>
      </c>
      <c r="C332" s="45" t="s">
        <v>506</v>
      </c>
      <c r="D332" s="89" t="s">
        <v>1129</v>
      </c>
      <c r="E332" s="89">
        <v>112079</v>
      </c>
      <c r="F332" s="89">
        <v>1082</v>
      </c>
      <c r="G332" s="90">
        <v>11</v>
      </c>
      <c r="H332" s="90">
        <v>3</v>
      </c>
      <c r="I332" s="90" t="s">
        <v>154</v>
      </c>
      <c r="J332" s="90">
        <v>100</v>
      </c>
      <c r="K332" s="90">
        <v>0</v>
      </c>
      <c r="L332" s="91"/>
      <c r="M332" s="92"/>
      <c r="N332" s="93"/>
      <c r="P332" s="21"/>
      <c r="Q332" s="12"/>
      <c r="R332">
        <f t="shared" si="17"/>
        <v>1</v>
      </c>
      <c r="S332" s="21" t="s">
        <v>99</v>
      </c>
      <c r="T332" s="21">
        <v>398703</v>
      </c>
      <c r="W332" t="e">
        <f>INDEX(#REF!,MATCH($E332,#REF!,0))</f>
        <v>#REF!</v>
      </c>
      <c r="X332" t="e">
        <f>INDEX(#REF!,MATCH($E332,#REF!,0))</f>
        <v>#REF!</v>
      </c>
      <c r="Y332" t="e">
        <f>INDEX(#REF!,MATCH($E332,#REF!,0))</f>
        <v>#REF!</v>
      </c>
      <c r="Z332" t="e">
        <f>INDEX(#REF!,MATCH($E332,#REF!,0))</f>
        <v>#REF!</v>
      </c>
      <c r="AA332" t="e">
        <f>INDEX(#REF!,MATCH($E332,#REF!,0))</f>
        <v>#REF!</v>
      </c>
      <c r="AB332" t="e">
        <f>INDEX(#REF!,MATCH($E332,#REF!,0))</f>
        <v>#REF!</v>
      </c>
      <c r="AC332" t="e">
        <f>INDEX(#REF!,MATCH($E332,#REF!,0))</f>
        <v>#REF!</v>
      </c>
      <c r="AD332" t="e">
        <f>INDEX(#REF!,MATCH($E332,#REF!,0))</f>
        <v>#REF!</v>
      </c>
      <c r="AE332" t="e">
        <f t="shared" si="15"/>
        <v>#REF!</v>
      </c>
    </row>
    <row r="333" spans="2:31" x14ac:dyDescent="0.25">
      <c r="B333" s="45" t="s">
        <v>1639</v>
      </c>
      <c r="C333" s="45" t="s">
        <v>507</v>
      </c>
      <c r="D333" s="89" t="s">
        <v>1130</v>
      </c>
      <c r="E333" s="89">
        <v>112087</v>
      </c>
      <c r="F333" s="89">
        <v>1082</v>
      </c>
      <c r="G333" s="90">
        <v>12</v>
      </c>
      <c r="H333" s="90">
        <v>3</v>
      </c>
      <c r="I333" s="90" t="s">
        <v>26</v>
      </c>
      <c r="J333" s="90">
        <v>1</v>
      </c>
      <c r="K333" s="90">
        <v>0</v>
      </c>
      <c r="L333" s="91"/>
      <c r="M333" s="92"/>
      <c r="N333" s="93"/>
      <c r="P333" s="21"/>
      <c r="Q333" s="12"/>
      <c r="R333">
        <f t="shared" si="17"/>
        <v>1</v>
      </c>
      <c r="S333" s="21" t="s">
        <v>99</v>
      </c>
      <c r="T333" s="21">
        <v>398703</v>
      </c>
      <c r="W333" t="e">
        <f>INDEX(#REF!,MATCH($E333,#REF!,0))</f>
        <v>#REF!</v>
      </c>
      <c r="X333" t="e">
        <f>INDEX(#REF!,MATCH($E333,#REF!,0))</f>
        <v>#REF!</v>
      </c>
      <c r="Y333" t="e">
        <f>INDEX(#REF!,MATCH($E333,#REF!,0))</f>
        <v>#REF!</v>
      </c>
      <c r="Z333" t="e">
        <f>INDEX(#REF!,MATCH($E333,#REF!,0))</f>
        <v>#REF!</v>
      </c>
      <c r="AA333" t="e">
        <f>INDEX(#REF!,MATCH($E333,#REF!,0))</f>
        <v>#REF!</v>
      </c>
      <c r="AB333" t="e">
        <f>INDEX(#REF!,MATCH($E333,#REF!,0))</f>
        <v>#REF!</v>
      </c>
      <c r="AC333" t="e">
        <f>INDEX(#REF!,MATCH($E333,#REF!,0))</f>
        <v>#REF!</v>
      </c>
      <c r="AD333" t="e">
        <f>INDEX(#REF!,MATCH($E333,#REF!,0))</f>
        <v>#REF!</v>
      </c>
      <c r="AE333" t="e">
        <f t="shared" si="15"/>
        <v>#REF!</v>
      </c>
    </row>
    <row r="334" spans="2:31" x14ac:dyDescent="0.25">
      <c r="B334" s="45" t="s">
        <v>1640</v>
      </c>
      <c r="C334" s="45" t="s">
        <v>508</v>
      </c>
      <c r="D334" s="89" t="s">
        <v>1412</v>
      </c>
      <c r="E334" s="89">
        <v>112088</v>
      </c>
      <c r="F334" s="89">
        <v>1082</v>
      </c>
      <c r="G334" s="90">
        <v>13</v>
      </c>
      <c r="H334" s="90">
        <v>3</v>
      </c>
      <c r="I334" s="90" t="s">
        <v>210</v>
      </c>
      <c r="J334" s="90">
        <v>100</v>
      </c>
      <c r="K334" s="90">
        <v>0</v>
      </c>
      <c r="L334" s="91"/>
      <c r="M334" s="92"/>
      <c r="N334" s="93"/>
      <c r="P334" s="21"/>
      <c r="Q334" s="12"/>
      <c r="R334">
        <f t="shared" si="17"/>
        <v>1</v>
      </c>
      <c r="S334" s="21" t="s">
        <v>99</v>
      </c>
      <c r="T334" s="21">
        <v>398703</v>
      </c>
      <c r="W334" t="e">
        <f>INDEX(#REF!,MATCH($E334,#REF!,0))</f>
        <v>#REF!</v>
      </c>
      <c r="X334" t="e">
        <f>INDEX(#REF!,MATCH($E334,#REF!,0))</f>
        <v>#REF!</v>
      </c>
      <c r="Y334" t="e">
        <f>INDEX(#REF!,MATCH($E334,#REF!,0))</f>
        <v>#REF!</v>
      </c>
      <c r="Z334" t="e">
        <f>INDEX(#REF!,MATCH($E334,#REF!,0))</f>
        <v>#REF!</v>
      </c>
      <c r="AA334" t="e">
        <f>INDEX(#REF!,MATCH($E334,#REF!,0))</f>
        <v>#REF!</v>
      </c>
      <c r="AB334" t="e">
        <f>INDEX(#REF!,MATCH($E334,#REF!,0))</f>
        <v>#REF!</v>
      </c>
      <c r="AC334" t="e">
        <f>INDEX(#REF!,MATCH($E334,#REF!,0))</f>
        <v>#REF!</v>
      </c>
      <c r="AD334" t="e">
        <f>INDEX(#REF!,MATCH($E334,#REF!,0))</f>
        <v>#REF!</v>
      </c>
      <c r="AE334" t="e">
        <f t="shared" si="15"/>
        <v>#REF!</v>
      </c>
    </row>
    <row r="335" spans="2:31" x14ac:dyDescent="0.25">
      <c r="B335" s="45" t="s">
        <v>1641</v>
      </c>
      <c r="C335" s="45" t="s">
        <v>509</v>
      </c>
      <c r="D335" s="89" t="s">
        <v>1413</v>
      </c>
      <c r="E335" s="89">
        <v>112089</v>
      </c>
      <c r="F335" s="89">
        <v>1082</v>
      </c>
      <c r="G335" s="90">
        <v>14</v>
      </c>
      <c r="H335" s="90">
        <v>3</v>
      </c>
      <c r="I335" s="90" t="s">
        <v>207</v>
      </c>
      <c r="J335" s="90">
        <v>1000</v>
      </c>
      <c r="K335" s="90">
        <v>0</v>
      </c>
      <c r="L335" s="91"/>
      <c r="M335" s="92" t="s">
        <v>2322</v>
      </c>
      <c r="N335" s="93"/>
      <c r="P335" s="21"/>
      <c r="Q335" s="12"/>
      <c r="R335">
        <f t="shared" si="17"/>
        <v>1</v>
      </c>
      <c r="S335" s="21" t="s">
        <v>99</v>
      </c>
      <c r="T335" s="21">
        <v>398703</v>
      </c>
      <c r="W335" t="e">
        <f>INDEX(#REF!,MATCH($E335,#REF!,0))</f>
        <v>#REF!</v>
      </c>
      <c r="X335" t="e">
        <f>INDEX(#REF!,MATCH($E335,#REF!,0))</f>
        <v>#REF!</v>
      </c>
      <c r="Y335" t="e">
        <f>INDEX(#REF!,MATCH($E335,#REF!,0))</f>
        <v>#REF!</v>
      </c>
      <c r="Z335" t="e">
        <f>INDEX(#REF!,MATCH($E335,#REF!,0))</f>
        <v>#REF!</v>
      </c>
      <c r="AA335" t="e">
        <f>INDEX(#REF!,MATCH($E335,#REF!,0))</f>
        <v>#REF!</v>
      </c>
      <c r="AB335" t="e">
        <f>INDEX(#REF!,MATCH($E335,#REF!,0))</f>
        <v>#REF!</v>
      </c>
      <c r="AC335" t="e">
        <f>INDEX(#REF!,MATCH($E335,#REF!,0))</f>
        <v>#REF!</v>
      </c>
      <c r="AD335" t="e">
        <f>INDEX(#REF!,MATCH($E335,#REF!,0))</f>
        <v>#REF!</v>
      </c>
      <c r="AE335" t="e">
        <f t="shared" si="15"/>
        <v>#REF!</v>
      </c>
    </row>
    <row r="336" spans="2:31" x14ac:dyDescent="0.25">
      <c r="B336" s="45" t="s">
        <v>947</v>
      </c>
      <c r="C336" s="45" t="s">
        <v>511</v>
      </c>
      <c r="D336" s="89" t="s">
        <v>510</v>
      </c>
      <c r="E336" s="89">
        <v>112112</v>
      </c>
      <c r="F336" s="89">
        <v>1082</v>
      </c>
      <c r="G336" s="90">
        <v>8</v>
      </c>
      <c r="H336" s="90">
        <v>3</v>
      </c>
      <c r="I336" s="90" t="s">
        <v>26</v>
      </c>
      <c r="J336" s="90">
        <v>1</v>
      </c>
      <c r="K336" s="90" t="s">
        <v>2511</v>
      </c>
      <c r="L336" s="91"/>
      <c r="M336" s="92" t="s">
        <v>2323</v>
      </c>
      <c r="N336" s="93"/>
      <c r="P336" s="21"/>
      <c r="Q336" s="12" t="s">
        <v>947</v>
      </c>
      <c r="R336">
        <f t="shared" si="17"/>
        <v>1</v>
      </c>
      <c r="S336" s="21" t="s">
        <v>99</v>
      </c>
      <c r="T336" s="21">
        <v>383280</v>
      </c>
      <c r="W336" t="e">
        <f>INDEX(#REF!,MATCH($E336,#REF!,0))</f>
        <v>#REF!</v>
      </c>
      <c r="X336" t="e">
        <f>INDEX(#REF!,MATCH($E336,#REF!,0))</f>
        <v>#REF!</v>
      </c>
      <c r="Y336" t="e">
        <f>INDEX(#REF!,MATCH($E336,#REF!,0))</f>
        <v>#REF!</v>
      </c>
      <c r="Z336" t="e">
        <f>INDEX(#REF!,MATCH($E336,#REF!,0))</f>
        <v>#REF!</v>
      </c>
      <c r="AA336" t="e">
        <f>INDEX(#REF!,MATCH($E336,#REF!,0))</f>
        <v>#REF!</v>
      </c>
      <c r="AB336" t="e">
        <f>INDEX(#REF!,MATCH($E336,#REF!,0))</f>
        <v>#REF!</v>
      </c>
      <c r="AC336" t="e">
        <f>INDEX(#REF!,MATCH($E336,#REF!,0))</f>
        <v>#REF!</v>
      </c>
      <c r="AD336" t="e">
        <f>INDEX(#REF!,MATCH($E336,#REF!,0))</f>
        <v>#REF!</v>
      </c>
      <c r="AE336" t="e">
        <f t="shared" si="15"/>
        <v>#REF!</v>
      </c>
    </row>
    <row r="337" spans="2:31" x14ac:dyDescent="0.25">
      <c r="B337" s="45" t="s">
        <v>1642</v>
      </c>
      <c r="C337" s="45" t="s">
        <v>513</v>
      </c>
      <c r="D337" s="89" t="s">
        <v>512</v>
      </c>
      <c r="E337" s="89">
        <v>112126</v>
      </c>
      <c r="F337" s="89">
        <v>1105</v>
      </c>
      <c r="G337" s="90">
        <v>10</v>
      </c>
      <c r="H337" s="90">
        <v>3</v>
      </c>
      <c r="I337" s="90" t="s">
        <v>210</v>
      </c>
      <c r="J337" s="90">
        <v>100</v>
      </c>
      <c r="K337" s="90">
        <v>0</v>
      </c>
      <c r="L337" s="91"/>
      <c r="M337" s="92" t="s">
        <v>1181</v>
      </c>
      <c r="N337" s="93"/>
      <c r="P337" s="21"/>
      <c r="Q337" s="12"/>
      <c r="R337">
        <f t="shared" si="17"/>
        <v>1</v>
      </c>
      <c r="S337" s="21" t="s">
        <v>99</v>
      </c>
      <c r="T337" s="21" t="s">
        <v>99</v>
      </c>
      <c r="W337" t="e">
        <f>INDEX(#REF!,MATCH($E337,#REF!,0))</f>
        <v>#REF!</v>
      </c>
      <c r="X337" t="e">
        <f>INDEX(#REF!,MATCH($E337,#REF!,0))</f>
        <v>#REF!</v>
      </c>
      <c r="Y337" t="e">
        <f>INDEX(#REF!,MATCH($E337,#REF!,0))</f>
        <v>#REF!</v>
      </c>
      <c r="Z337" t="e">
        <f>INDEX(#REF!,MATCH($E337,#REF!,0))</f>
        <v>#REF!</v>
      </c>
      <c r="AA337" t="e">
        <f>INDEX(#REF!,MATCH($E337,#REF!,0))</f>
        <v>#REF!</v>
      </c>
      <c r="AB337" t="e">
        <f>INDEX(#REF!,MATCH($E337,#REF!,0))</f>
        <v>#REF!</v>
      </c>
      <c r="AC337" t="e">
        <f>INDEX(#REF!,MATCH($E337,#REF!,0))</f>
        <v>#REF!</v>
      </c>
      <c r="AD337" t="e">
        <f>INDEX(#REF!,MATCH($E337,#REF!,0))</f>
        <v>#REF!</v>
      </c>
      <c r="AE337" t="e">
        <f t="shared" si="15"/>
        <v>#REF!</v>
      </c>
    </row>
    <row r="338" spans="2:31" ht="45" x14ac:dyDescent="0.25">
      <c r="B338" s="45" t="s">
        <v>1643</v>
      </c>
      <c r="C338" s="45" t="s">
        <v>515</v>
      </c>
      <c r="D338" s="89" t="s">
        <v>514</v>
      </c>
      <c r="E338" s="89">
        <v>112127</v>
      </c>
      <c r="F338" s="89">
        <v>1105</v>
      </c>
      <c r="G338" s="90">
        <v>11</v>
      </c>
      <c r="H338" s="90">
        <v>3</v>
      </c>
      <c r="I338" s="90" t="s">
        <v>210</v>
      </c>
      <c r="J338" s="90">
        <v>100</v>
      </c>
      <c r="K338" s="90">
        <v>0</v>
      </c>
      <c r="L338" s="91"/>
      <c r="M338" s="92" t="s">
        <v>2251</v>
      </c>
      <c r="N338" s="93"/>
      <c r="P338" s="21"/>
      <c r="Q338" s="12"/>
      <c r="R338">
        <f t="shared" si="17"/>
        <v>1</v>
      </c>
      <c r="S338" s="21" t="s">
        <v>99</v>
      </c>
      <c r="T338" s="21" t="s">
        <v>99</v>
      </c>
      <c r="W338" t="e">
        <f>INDEX(#REF!,MATCH($E338,#REF!,0))</f>
        <v>#REF!</v>
      </c>
      <c r="X338" t="e">
        <f>INDEX(#REF!,MATCH($E338,#REF!,0))</f>
        <v>#REF!</v>
      </c>
      <c r="Y338" t="e">
        <f>INDEX(#REF!,MATCH($E338,#REF!,0))</f>
        <v>#REF!</v>
      </c>
      <c r="Z338" t="e">
        <f>INDEX(#REF!,MATCH($E338,#REF!,0))</f>
        <v>#REF!</v>
      </c>
      <c r="AA338" t="e">
        <f>INDEX(#REF!,MATCH($E338,#REF!,0))</f>
        <v>#REF!</v>
      </c>
      <c r="AB338" t="e">
        <f>INDEX(#REF!,MATCH($E338,#REF!,0))</f>
        <v>#REF!</v>
      </c>
      <c r="AC338" t="e">
        <f>INDEX(#REF!,MATCH($E338,#REF!,0))</f>
        <v>#REF!</v>
      </c>
      <c r="AD338" t="e">
        <f>INDEX(#REF!,MATCH($E338,#REF!,0))</f>
        <v>#REF!</v>
      </c>
      <c r="AE338" t="e">
        <f t="shared" si="15"/>
        <v>#REF!</v>
      </c>
    </row>
    <row r="339" spans="2:31" ht="45" x14ac:dyDescent="0.25">
      <c r="B339" s="45" t="s">
        <v>1644</v>
      </c>
      <c r="C339" s="45" t="s">
        <v>517</v>
      </c>
      <c r="D339" s="89" t="s">
        <v>516</v>
      </c>
      <c r="E339" s="89">
        <v>112128</v>
      </c>
      <c r="F339" s="89">
        <v>1105</v>
      </c>
      <c r="G339" s="90">
        <v>12</v>
      </c>
      <c r="H339" s="90">
        <v>3</v>
      </c>
      <c r="I339" s="90" t="s">
        <v>210</v>
      </c>
      <c r="J339" s="90">
        <v>100</v>
      </c>
      <c r="K339" s="90">
        <v>0</v>
      </c>
      <c r="L339" s="91"/>
      <c r="M339" s="92" t="s">
        <v>2252</v>
      </c>
      <c r="N339" s="93"/>
      <c r="P339" s="21"/>
      <c r="Q339" s="12"/>
      <c r="R339">
        <f t="shared" si="17"/>
        <v>1</v>
      </c>
      <c r="S339" s="21" t="s">
        <v>99</v>
      </c>
      <c r="T339" s="21" t="s">
        <v>99</v>
      </c>
      <c r="W339" t="e">
        <f>INDEX(#REF!,MATCH($E339,#REF!,0))</f>
        <v>#REF!</v>
      </c>
      <c r="X339" t="e">
        <f>INDEX(#REF!,MATCH($E339,#REF!,0))</f>
        <v>#REF!</v>
      </c>
      <c r="Y339" t="e">
        <f>INDEX(#REF!,MATCH($E339,#REF!,0))</f>
        <v>#REF!</v>
      </c>
      <c r="Z339" t="e">
        <f>INDEX(#REF!,MATCH($E339,#REF!,0))</f>
        <v>#REF!</v>
      </c>
      <c r="AA339" t="e">
        <f>INDEX(#REF!,MATCH($E339,#REF!,0))</f>
        <v>#REF!</v>
      </c>
      <c r="AB339" t="e">
        <f>INDEX(#REF!,MATCH($E339,#REF!,0))</f>
        <v>#REF!</v>
      </c>
      <c r="AC339" t="e">
        <f>INDEX(#REF!,MATCH($E339,#REF!,0))</f>
        <v>#REF!</v>
      </c>
      <c r="AD339" t="e">
        <f>INDEX(#REF!,MATCH($E339,#REF!,0))</f>
        <v>#REF!</v>
      </c>
      <c r="AE339" t="e">
        <f t="shared" si="15"/>
        <v>#REF!</v>
      </c>
    </row>
    <row r="340" spans="2:31" x14ac:dyDescent="0.25">
      <c r="B340" s="45" t="s">
        <v>1645</v>
      </c>
      <c r="C340" s="45" t="s">
        <v>518</v>
      </c>
      <c r="D340" s="89" t="s">
        <v>1953</v>
      </c>
      <c r="E340" s="89">
        <v>112129</v>
      </c>
      <c r="F340" s="89">
        <v>1105</v>
      </c>
      <c r="G340" s="90">
        <v>13</v>
      </c>
      <c r="H340" s="90">
        <v>3</v>
      </c>
      <c r="I340" s="90" t="s">
        <v>26</v>
      </c>
      <c r="J340" s="90">
        <v>1</v>
      </c>
      <c r="K340" s="90" t="s">
        <v>2509</v>
      </c>
      <c r="L340" s="91">
        <v>6239</v>
      </c>
      <c r="M340" s="92" t="s">
        <v>2324</v>
      </c>
      <c r="N340" s="93"/>
      <c r="P340" s="21"/>
      <c r="Q340" s="12"/>
      <c r="R340">
        <f t="shared" si="17"/>
        <v>1</v>
      </c>
      <c r="S340" s="21" t="s">
        <v>99</v>
      </c>
      <c r="T340" s="21" t="s">
        <v>99</v>
      </c>
      <c r="W340" t="e">
        <f>INDEX(#REF!,MATCH($E340,#REF!,0))</f>
        <v>#REF!</v>
      </c>
      <c r="X340" t="e">
        <f>INDEX(#REF!,MATCH($E340,#REF!,0))</f>
        <v>#REF!</v>
      </c>
      <c r="Y340" t="e">
        <f>INDEX(#REF!,MATCH($E340,#REF!,0))</f>
        <v>#REF!</v>
      </c>
      <c r="Z340" t="e">
        <f>INDEX(#REF!,MATCH($E340,#REF!,0))</f>
        <v>#REF!</v>
      </c>
      <c r="AA340" t="e">
        <f>INDEX(#REF!,MATCH($E340,#REF!,0))</f>
        <v>#REF!</v>
      </c>
      <c r="AB340" t="e">
        <f>INDEX(#REF!,MATCH($E340,#REF!,0))</f>
        <v>#REF!</v>
      </c>
      <c r="AC340" t="e">
        <f>INDEX(#REF!,MATCH($E340,#REF!,0))</f>
        <v>#REF!</v>
      </c>
      <c r="AD340" t="e">
        <f>INDEX(#REF!,MATCH($E340,#REF!,0))</f>
        <v>#REF!</v>
      </c>
      <c r="AE340" t="e">
        <f t="shared" ref="AE340:AE403" si="18">AND(X340=F340,G340=Y340,AC340=J340,AD340=H340)</f>
        <v>#REF!</v>
      </c>
    </row>
    <row r="341" spans="2:31" x14ac:dyDescent="0.25">
      <c r="B341" s="45" t="s">
        <v>1646</v>
      </c>
      <c r="C341" s="45" t="s">
        <v>519</v>
      </c>
      <c r="D341" s="89" t="s">
        <v>1954</v>
      </c>
      <c r="E341" s="89">
        <v>112130</v>
      </c>
      <c r="F341" s="89">
        <v>1105</v>
      </c>
      <c r="G341" s="90">
        <v>14</v>
      </c>
      <c r="H341" s="90">
        <v>3</v>
      </c>
      <c r="I341" s="90" t="s">
        <v>26</v>
      </c>
      <c r="J341" s="90">
        <v>1</v>
      </c>
      <c r="K341" s="90" t="s">
        <v>2509</v>
      </c>
      <c r="L341" s="91">
        <v>6240</v>
      </c>
      <c r="M341" s="92" t="s">
        <v>2325</v>
      </c>
      <c r="N341" s="93"/>
      <c r="P341" s="21"/>
      <c r="Q341" s="12"/>
      <c r="R341">
        <f t="shared" si="17"/>
        <v>1</v>
      </c>
      <c r="S341" s="21" t="s">
        <v>99</v>
      </c>
      <c r="T341" s="21" t="s">
        <v>99</v>
      </c>
      <c r="W341" t="e">
        <f>INDEX(#REF!,MATCH($E341,#REF!,0))</f>
        <v>#REF!</v>
      </c>
      <c r="X341" t="e">
        <f>INDEX(#REF!,MATCH($E341,#REF!,0))</f>
        <v>#REF!</v>
      </c>
      <c r="Y341" t="e">
        <f>INDEX(#REF!,MATCH($E341,#REF!,0))</f>
        <v>#REF!</v>
      </c>
      <c r="Z341" t="e">
        <f>INDEX(#REF!,MATCH($E341,#REF!,0))</f>
        <v>#REF!</v>
      </c>
      <c r="AA341" t="e">
        <f>INDEX(#REF!,MATCH($E341,#REF!,0))</f>
        <v>#REF!</v>
      </c>
      <c r="AB341" t="e">
        <f>INDEX(#REF!,MATCH($E341,#REF!,0))</f>
        <v>#REF!</v>
      </c>
      <c r="AC341" t="e">
        <f>INDEX(#REF!,MATCH($E341,#REF!,0))</f>
        <v>#REF!</v>
      </c>
      <c r="AD341" t="e">
        <f>INDEX(#REF!,MATCH($E341,#REF!,0))</f>
        <v>#REF!</v>
      </c>
      <c r="AE341" t="e">
        <f t="shared" si="18"/>
        <v>#REF!</v>
      </c>
    </row>
    <row r="342" spans="2:31" x14ac:dyDescent="0.25">
      <c r="B342" s="45" t="s">
        <v>1647</v>
      </c>
      <c r="C342" s="45" t="s">
        <v>521</v>
      </c>
      <c r="D342" s="89" t="s">
        <v>520</v>
      </c>
      <c r="E342" s="89">
        <v>112162</v>
      </c>
      <c r="F342" s="89">
        <v>1091</v>
      </c>
      <c r="G342" s="90">
        <v>15</v>
      </c>
      <c r="H342" s="90">
        <v>3</v>
      </c>
      <c r="I342" s="90" t="s">
        <v>21</v>
      </c>
      <c r="J342" s="90">
        <v>10</v>
      </c>
      <c r="K342" s="90">
        <v>0</v>
      </c>
      <c r="L342" s="91"/>
      <c r="M342" s="92" t="s">
        <v>1190</v>
      </c>
      <c r="N342" s="93"/>
      <c r="P342" s="21"/>
      <c r="Q342" s="12"/>
      <c r="R342">
        <f t="shared" si="17"/>
        <v>1</v>
      </c>
      <c r="S342" s="21" t="s">
        <v>99</v>
      </c>
      <c r="T342" s="21" t="s">
        <v>99</v>
      </c>
      <c r="W342" t="e">
        <f>INDEX(#REF!,MATCH($E342,#REF!,0))</f>
        <v>#REF!</v>
      </c>
      <c r="X342" t="e">
        <f>INDEX(#REF!,MATCH($E342,#REF!,0))</f>
        <v>#REF!</v>
      </c>
      <c r="Y342" t="e">
        <f>INDEX(#REF!,MATCH($E342,#REF!,0))</f>
        <v>#REF!</v>
      </c>
      <c r="Z342" t="e">
        <f>INDEX(#REF!,MATCH($E342,#REF!,0))</f>
        <v>#REF!</v>
      </c>
      <c r="AA342" t="e">
        <f>INDEX(#REF!,MATCH($E342,#REF!,0))</f>
        <v>#REF!</v>
      </c>
      <c r="AB342" t="e">
        <f>INDEX(#REF!,MATCH($E342,#REF!,0))</f>
        <v>#REF!</v>
      </c>
      <c r="AC342" t="e">
        <f>INDEX(#REF!,MATCH($E342,#REF!,0))</f>
        <v>#REF!</v>
      </c>
      <c r="AD342" t="e">
        <f>INDEX(#REF!,MATCH($E342,#REF!,0))</f>
        <v>#REF!</v>
      </c>
      <c r="AE342" t="e">
        <f t="shared" si="18"/>
        <v>#REF!</v>
      </c>
    </row>
    <row r="343" spans="2:31" x14ac:dyDescent="0.25">
      <c r="B343" s="45" t="s">
        <v>1648</v>
      </c>
      <c r="C343" s="45" t="s">
        <v>522</v>
      </c>
      <c r="D343" s="89" t="s">
        <v>1955</v>
      </c>
      <c r="E343" s="89">
        <v>112181</v>
      </c>
      <c r="F343" s="89">
        <v>1091</v>
      </c>
      <c r="G343" s="90">
        <v>19</v>
      </c>
      <c r="H343" s="90">
        <v>3</v>
      </c>
      <c r="I343" s="90" t="s">
        <v>26</v>
      </c>
      <c r="J343" s="90">
        <v>1</v>
      </c>
      <c r="K343" s="87" t="s">
        <v>2509</v>
      </c>
      <c r="L343" s="91"/>
      <c r="M343" s="92" t="s">
        <v>2326</v>
      </c>
      <c r="N343" s="93"/>
      <c r="P343" s="21"/>
      <c r="Q343" s="12"/>
      <c r="R343">
        <f t="shared" si="17"/>
        <v>1</v>
      </c>
      <c r="S343" s="21" t="s">
        <v>99</v>
      </c>
      <c r="T343" s="21" t="s">
        <v>99</v>
      </c>
      <c r="W343" t="e">
        <f>INDEX(#REF!,MATCH($E343,#REF!,0))</f>
        <v>#REF!</v>
      </c>
      <c r="X343" t="e">
        <f>INDEX(#REF!,MATCH($E343,#REF!,0))</f>
        <v>#REF!</v>
      </c>
      <c r="Y343" t="e">
        <f>INDEX(#REF!,MATCH($E343,#REF!,0))</f>
        <v>#REF!</v>
      </c>
      <c r="Z343" t="e">
        <f>INDEX(#REF!,MATCH($E343,#REF!,0))</f>
        <v>#REF!</v>
      </c>
      <c r="AA343" t="e">
        <f>INDEX(#REF!,MATCH($E343,#REF!,0))</f>
        <v>#REF!</v>
      </c>
      <c r="AB343" t="e">
        <f>INDEX(#REF!,MATCH($E343,#REF!,0))</f>
        <v>#REF!</v>
      </c>
      <c r="AC343" t="e">
        <f>INDEX(#REF!,MATCH($E343,#REF!,0))</f>
        <v>#REF!</v>
      </c>
      <c r="AD343" t="e">
        <f>INDEX(#REF!,MATCH($E343,#REF!,0))</f>
        <v>#REF!</v>
      </c>
      <c r="AE343" t="e">
        <f t="shared" si="18"/>
        <v>#REF!</v>
      </c>
    </row>
    <row r="344" spans="2:31" x14ac:dyDescent="0.25">
      <c r="B344" s="45" t="s">
        <v>1649</v>
      </c>
      <c r="C344" s="45" t="s">
        <v>523</v>
      </c>
      <c r="D344" s="89" t="s">
        <v>1956</v>
      </c>
      <c r="E344" s="89">
        <v>112191</v>
      </c>
      <c r="F344" s="89">
        <v>1104</v>
      </c>
      <c r="G344" s="90">
        <v>4</v>
      </c>
      <c r="H344" s="90">
        <v>3</v>
      </c>
      <c r="I344" s="90" t="s">
        <v>26</v>
      </c>
      <c r="J344" s="90">
        <v>1</v>
      </c>
      <c r="K344" s="87" t="s">
        <v>2509</v>
      </c>
      <c r="L344" s="91" t="s">
        <v>2238</v>
      </c>
      <c r="M344" s="92"/>
      <c r="N344" s="93"/>
      <c r="P344" s="21"/>
      <c r="Q344" s="12"/>
      <c r="R344">
        <f t="shared" si="17"/>
        <v>1</v>
      </c>
      <c r="S344" s="21" t="s">
        <v>99</v>
      </c>
      <c r="T344" s="21" t="s">
        <v>99</v>
      </c>
      <c r="W344" t="e">
        <f>INDEX(#REF!,MATCH($E344,#REF!,0))</f>
        <v>#REF!</v>
      </c>
      <c r="X344" t="e">
        <f>INDEX(#REF!,MATCH($E344,#REF!,0))</f>
        <v>#REF!</v>
      </c>
      <c r="Y344" t="e">
        <f>INDEX(#REF!,MATCH($E344,#REF!,0))</f>
        <v>#REF!</v>
      </c>
      <c r="Z344" t="e">
        <f>INDEX(#REF!,MATCH($E344,#REF!,0))</f>
        <v>#REF!</v>
      </c>
      <c r="AA344" t="e">
        <f>INDEX(#REF!,MATCH($E344,#REF!,0))</f>
        <v>#REF!</v>
      </c>
      <c r="AB344" t="e">
        <f>INDEX(#REF!,MATCH($E344,#REF!,0))</f>
        <v>#REF!</v>
      </c>
      <c r="AC344" t="e">
        <f>INDEX(#REF!,MATCH($E344,#REF!,0))</f>
        <v>#REF!</v>
      </c>
      <c r="AD344" t="e">
        <f>INDEX(#REF!,MATCH($E344,#REF!,0))</f>
        <v>#REF!</v>
      </c>
      <c r="AE344" t="e">
        <f t="shared" si="18"/>
        <v>#REF!</v>
      </c>
    </row>
    <row r="345" spans="2:31" x14ac:dyDescent="0.25">
      <c r="B345" s="45" t="s">
        <v>1650</v>
      </c>
      <c r="C345" s="45" t="s">
        <v>525</v>
      </c>
      <c r="D345" s="89" t="s">
        <v>524</v>
      </c>
      <c r="E345" s="89">
        <v>112201</v>
      </c>
      <c r="F345" s="89">
        <v>1104</v>
      </c>
      <c r="G345" s="90">
        <v>8</v>
      </c>
      <c r="H345" s="90">
        <v>3</v>
      </c>
      <c r="I345" s="90" t="s">
        <v>210</v>
      </c>
      <c r="J345" s="90">
        <v>100</v>
      </c>
      <c r="K345" s="90">
        <v>0</v>
      </c>
      <c r="L345" s="91"/>
      <c r="M345" s="92"/>
      <c r="N345" s="93"/>
      <c r="P345" s="21"/>
      <c r="Q345" s="12"/>
      <c r="R345">
        <f t="shared" si="17"/>
        <v>1</v>
      </c>
      <c r="S345" s="21" t="s">
        <v>99</v>
      </c>
      <c r="T345" s="21" t="s">
        <v>99</v>
      </c>
      <c r="W345" t="e">
        <f>INDEX(#REF!,MATCH($E345,#REF!,0))</f>
        <v>#REF!</v>
      </c>
      <c r="X345" t="e">
        <f>INDEX(#REF!,MATCH($E345,#REF!,0))</f>
        <v>#REF!</v>
      </c>
      <c r="Y345" t="e">
        <f>INDEX(#REF!,MATCH($E345,#REF!,0))</f>
        <v>#REF!</v>
      </c>
      <c r="Z345" t="e">
        <f>INDEX(#REF!,MATCH($E345,#REF!,0))</f>
        <v>#REF!</v>
      </c>
      <c r="AA345" t="e">
        <f>INDEX(#REF!,MATCH($E345,#REF!,0))</f>
        <v>#REF!</v>
      </c>
      <c r="AB345" t="e">
        <f>INDEX(#REF!,MATCH($E345,#REF!,0))</f>
        <v>#REF!</v>
      </c>
      <c r="AC345" t="e">
        <f>INDEX(#REF!,MATCH($E345,#REF!,0))</f>
        <v>#REF!</v>
      </c>
      <c r="AD345" t="e">
        <f>INDEX(#REF!,MATCH($E345,#REF!,0))</f>
        <v>#REF!</v>
      </c>
      <c r="AE345" t="e">
        <f t="shared" si="18"/>
        <v>#REF!</v>
      </c>
    </row>
    <row r="346" spans="2:31" x14ac:dyDescent="0.25">
      <c r="B346" s="45" t="s">
        <v>1651</v>
      </c>
      <c r="C346" s="45" t="s">
        <v>527</v>
      </c>
      <c r="D346" s="89" t="s">
        <v>526</v>
      </c>
      <c r="E346" s="89">
        <v>112202</v>
      </c>
      <c r="F346" s="89">
        <v>1104</v>
      </c>
      <c r="G346" s="90">
        <v>9</v>
      </c>
      <c r="H346" s="90">
        <v>3</v>
      </c>
      <c r="I346" s="90" t="s">
        <v>210</v>
      </c>
      <c r="J346" s="90">
        <v>100</v>
      </c>
      <c r="K346" s="90">
        <v>0</v>
      </c>
      <c r="L346" s="91"/>
      <c r="M346" s="92"/>
      <c r="N346" s="93"/>
      <c r="P346" s="21"/>
      <c r="Q346" s="12"/>
      <c r="R346">
        <f t="shared" si="17"/>
        <v>1</v>
      </c>
      <c r="S346" s="21" t="s">
        <v>99</v>
      </c>
      <c r="T346" s="21" t="s">
        <v>99</v>
      </c>
      <c r="W346" t="e">
        <f>INDEX(#REF!,MATCH($E346,#REF!,0))</f>
        <v>#REF!</v>
      </c>
      <c r="X346" t="e">
        <f>INDEX(#REF!,MATCH($E346,#REF!,0))</f>
        <v>#REF!</v>
      </c>
      <c r="Y346" t="e">
        <f>INDEX(#REF!,MATCH($E346,#REF!,0))</f>
        <v>#REF!</v>
      </c>
      <c r="Z346" t="e">
        <f>INDEX(#REF!,MATCH($E346,#REF!,0))</f>
        <v>#REF!</v>
      </c>
      <c r="AA346" t="e">
        <f>INDEX(#REF!,MATCH($E346,#REF!,0))</f>
        <v>#REF!</v>
      </c>
      <c r="AB346" t="e">
        <f>INDEX(#REF!,MATCH($E346,#REF!,0))</f>
        <v>#REF!</v>
      </c>
      <c r="AC346" t="e">
        <f>INDEX(#REF!,MATCH($E346,#REF!,0))</f>
        <v>#REF!</v>
      </c>
      <c r="AD346" t="e">
        <f>INDEX(#REF!,MATCH($E346,#REF!,0))</f>
        <v>#REF!</v>
      </c>
      <c r="AE346" t="e">
        <f t="shared" si="18"/>
        <v>#REF!</v>
      </c>
    </row>
    <row r="347" spans="2:31" x14ac:dyDescent="0.25">
      <c r="B347" s="45" t="s">
        <v>1652</v>
      </c>
      <c r="C347" s="45" t="s">
        <v>529</v>
      </c>
      <c r="D347" s="89" t="s">
        <v>528</v>
      </c>
      <c r="E347" s="89">
        <v>112203</v>
      </c>
      <c r="F347" s="89">
        <v>1104</v>
      </c>
      <c r="G347" s="90">
        <v>10</v>
      </c>
      <c r="H347" s="90">
        <v>3</v>
      </c>
      <c r="I347" s="90" t="s">
        <v>210</v>
      </c>
      <c r="J347" s="90">
        <v>100</v>
      </c>
      <c r="K347" s="90">
        <v>0</v>
      </c>
      <c r="L347" s="91"/>
      <c r="M347" s="92"/>
      <c r="N347" s="93"/>
      <c r="P347" s="21"/>
      <c r="Q347" s="12"/>
      <c r="R347">
        <f t="shared" si="17"/>
        <v>1</v>
      </c>
      <c r="S347" s="21" t="s">
        <v>99</v>
      </c>
      <c r="T347" s="21" t="s">
        <v>99</v>
      </c>
      <c r="W347" t="e">
        <f>INDEX(#REF!,MATCH($E347,#REF!,0))</f>
        <v>#REF!</v>
      </c>
      <c r="X347" t="e">
        <f>INDEX(#REF!,MATCH($E347,#REF!,0))</f>
        <v>#REF!</v>
      </c>
      <c r="Y347" t="e">
        <f>INDEX(#REF!,MATCH($E347,#REF!,0))</f>
        <v>#REF!</v>
      </c>
      <c r="Z347" t="e">
        <f>INDEX(#REF!,MATCH($E347,#REF!,0))</f>
        <v>#REF!</v>
      </c>
      <c r="AA347" t="e">
        <f>INDEX(#REF!,MATCH($E347,#REF!,0))</f>
        <v>#REF!</v>
      </c>
      <c r="AB347" t="e">
        <f>INDEX(#REF!,MATCH($E347,#REF!,0))</f>
        <v>#REF!</v>
      </c>
      <c r="AC347" t="e">
        <f>INDEX(#REF!,MATCH($E347,#REF!,0))</f>
        <v>#REF!</v>
      </c>
      <c r="AD347" t="e">
        <f>INDEX(#REF!,MATCH($E347,#REF!,0))</f>
        <v>#REF!</v>
      </c>
      <c r="AE347" t="e">
        <f t="shared" si="18"/>
        <v>#REF!</v>
      </c>
    </row>
    <row r="348" spans="2:31" x14ac:dyDescent="0.25">
      <c r="B348" s="45" t="s">
        <v>1653</v>
      </c>
      <c r="C348" s="45" t="s">
        <v>531</v>
      </c>
      <c r="D348" s="89" t="s">
        <v>530</v>
      </c>
      <c r="E348" s="89">
        <v>112204</v>
      </c>
      <c r="F348" s="89">
        <v>1104</v>
      </c>
      <c r="G348" s="90">
        <v>11</v>
      </c>
      <c r="H348" s="90">
        <v>3</v>
      </c>
      <c r="I348" s="90" t="s">
        <v>210</v>
      </c>
      <c r="J348" s="90">
        <v>100</v>
      </c>
      <c r="K348" s="90">
        <v>0</v>
      </c>
      <c r="L348" s="91"/>
      <c r="M348" s="92"/>
      <c r="N348" s="93"/>
      <c r="P348" s="21"/>
      <c r="Q348" s="12"/>
      <c r="R348">
        <f t="shared" si="17"/>
        <v>1</v>
      </c>
      <c r="S348" s="21" t="s">
        <v>99</v>
      </c>
      <c r="T348" s="21" t="s">
        <v>99</v>
      </c>
      <c r="W348" t="e">
        <f>INDEX(#REF!,MATCH($E348,#REF!,0))</f>
        <v>#REF!</v>
      </c>
      <c r="X348" t="e">
        <f>INDEX(#REF!,MATCH($E348,#REF!,0))</f>
        <v>#REF!</v>
      </c>
      <c r="Y348" t="e">
        <f>INDEX(#REF!,MATCH($E348,#REF!,0))</f>
        <v>#REF!</v>
      </c>
      <c r="Z348" t="e">
        <f>INDEX(#REF!,MATCH($E348,#REF!,0))</f>
        <v>#REF!</v>
      </c>
      <c r="AA348" t="e">
        <f>INDEX(#REF!,MATCH($E348,#REF!,0))</f>
        <v>#REF!</v>
      </c>
      <c r="AB348" t="e">
        <f>INDEX(#REF!,MATCH($E348,#REF!,0))</f>
        <v>#REF!</v>
      </c>
      <c r="AC348" t="e">
        <f>INDEX(#REF!,MATCH($E348,#REF!,0))</f>
        <v>#REF!</v>
      </c>
      <c r="AD348" t="e">
        <f>INDEX(#REF!,MATCH($E348,#REF!,0))</f>
        <v>#REF!</v>
      </c>
      <c r="AE348" t="e">
        <f t="shared" si="18"/>
        <v>#REF!</v>
      </c>
    </row>
    <row r="349" spans="2:31" x14ac:dyDescent="0.25">
      <c r="B349" s="45" t="s">
        <v>1654</v>
      </c>
      <c r="C349" s="45" t="s">
        <v>533</v>
      </c>
      <c r="D349" s="89" t="s">
        <v>532</v>
      </c>
      <c r="E349" s="89">
        <v>112205</v>
      </c>
      <c r="F349" s="89">
        <v>1104</v>
      </c>
      <c r="G349" s="90">
        <v>12</v>
      </c>
      <c r="H349" s="90">
        <v>3</v>
      </c>
      <c r="I349" s="90" t="s">
        <v>210</v>
      </c>
      <c r="J349" s="90">
        <v>100</v>
      </c>
      <c r="K349" s="90">
        <v>0</v>
      </c>
      <c r="L349" s="91"/>
      <c r="M349" s="92" t="s">
        <v>1196</v>
      </c>
      <c r="N349" s="93"/>
      <c r="P349" s="21"/>
      <c r="Q349" s="12"/>
      <c r="R349">
        <f t="shared" si="17"/>
        <v>1</v>
      </c>
      <c r="S349" s="21" t="s">
        <v>99</v>
      </c>
      <c r="T349" s="21" t="s">
        <v>99</v>
      </c>
      <c r="W349" t="e">
        <f>INDEX(#REF!,MATCH($E349,#REF!,0))</f>
        <v>#REF!</v>
      </c>
      <c r="X349" t="e">
        <f>INDEX(#REF!,MATCH($E349,#REF!,0))</f>
        <v>#REF!</v>
      </c>
      <c r="Y349" t="e">
        <f>INDEX(#REF!,MATCH($E349,#REF!,0))</f>
        <v>#REF!</v>
      </c>
      <c r="Z349" t="e">
        <f>INDEX(#REF!,MATCH($E349,#REF!,0))</f>
        <v>#REF!</v>
      </c>
      <c r="AA349" t="e">
        <f>INDEX(#REF!,MATCH($E349,#REF!,0))</f>
        <v>#REF!</v>
      </c>
      <c r="AB349" t="e">
        <f>INDEX(#REF!,MATCH($E349,#REF!,0))</f>
        <v>#REF!</v>
      </c>
      <c r="AC349" t="e">
        <f>INDEX(#REF!,MATCH($E349,#REF!,0))</f>
        <v>#REF!</v>
      </c>
      <c r="AD349" t="e">
        <f>INDEX(#REF!,MATCH($E349,#REF!,0))</f>
        <v>#REF!</v>
      </c>
      <c r="AE349" t="e">
        <f t="shared" si="18"/>
        <v>#REF!</v>
      </c>
    </row>
    <row r="350" spans="2:31" x14ac:dyDescent="0.25">
      <c r="B350" s="45" t="s">
        <v>1655</v>
      </c>
      <c r="C350" s="45" t="s">
        <v>535</v>
      </c>
      <c r="D350" s="89" t="s">
        <v>534</v>
      </c>
      <c r="E350" s="89">
        <v>112206</v>
      </c>
      <c r="F350" s="89">
        <v>1104</v>
      </c>
      <c r="G350" s="90">
        <v>13</v>
      </c>
      <c r="H350" s="90">
        <v>3</v>
      </c>
      <c r="I350" s="90" t="s">
        <v>210</v>
      </c>
      <c r="J350" s="90">
        <v>100</v>
      </c>
      <c r="K350" s="90">
        <v>0</v>
      </c>
      <c r="L350" s="91"/>
      <c r="M350" s="92"/>
      <c r="N350" s="93"/>
      <c r="P350" s="21"/>
      <c r="Q350" s="12"/>
      <c r="R350">
        <f t="shared" si="17"/>
        <v>1</v>
      </c>
      <c r="S350" s="21" t="s">
        <v>99</v>
      </c>
      <c r="T350" s="21" t="s">
        <v>99</v>
      </c>
      <c r="W350" t="e">
        <f>INDEX(#REF!,MATCH($E350,#REF!,0))</f>
        <v>#REF!</v>
      </c>
      <c r="X350" t="e">
        <f>INDEX(#REF!,MATCH($E350,#REF!,0))</f>
        <v>#REF!</v>
      </c>
      <c r="Y350" t="e">
        <f>INDEX(#REF!,MATCH($E350,#REF!,0))</f>
        <v>#REF!</v>
      </c>
      <c r="Z350" t="e">
        <f>INDEX(#REF!,MATCH($E350,#REF!,0))</f>
        <v>#REF!</v>
      </c>
      <c r="AA350" t="e">
        <f>INDEX(#REF!,MATCH($E350,#REF!,0))</f>
        <v>#REF!</v>
      </c>
      <c r="AB350" t="e">
        <f>INDEX(#REF!,MATCH($E350,#REF!,0))</f>
        <v>#REF!</v>
      </c>
      <c r="AC350" t="e">
        <f>INDEX(#REF!,MATCH($E350,#REF!,0))</f>
        <v>#REF!</v>
      </c>
      <c r="AD350" t="e">
        <f>INDEX(#REF!,MATCH($E350,#REF!,0))</f>
        <v>#REF!</v>
      </c>
      <c r="AE350" t="e">
        <f t="shared" si="18"/>
        <v>#REF!</v>
      </c>
    </row>
    <row r="351" spans="2:31" x14ac:dyDescent="0.25">
      <c r="B351" s="45" t="s">
        <v>1656</v>
      </c>
      <c r="C351" s="45" t="s">
        <v>537</v>
      </c>
      <c r="D351" s="89" t="s">
        <v>536</v>
      </c>
      <c r="E351" s="89">
        <v>112207</v>
      </c>
      <c r="F351" s="89">
        <v>1104</v>
      </c>
      <c r="G351" s="90">
        <v>14</v>
      </c>
      <c r="H351" s="90">
        <v>3</v>
      </c>
      <c r="I351" s="90" t="s">
        <v>210</v>
      </c>
      <c r="J351" s="90">
        <v>100</v>
      </c>
      <c r="K351" s="90">
        <v>0</v>
      </c>
      <c r="L351" s="91"/>
      <c r="M351" s="92"/>
      <c r="N351" s="93"/>
      <c r="P351" s="21"/>
      <c r="Q351" s="12"/>
      <c r="R351">
        <f t="shared" si="17"/>
        <v>1</v>
      </c>
      <c r="S351" s="21" t="s">
        <v>99</v>
      </c>
      <c r="T351" s="21" t="s">
        <v>99</v>
      </c>
      <c r="W351" t="e">
        <f>INDEX(#REF!,MATCH($E351,#REF!,0))</f>
        <v>#REF!</v>
      </c>
      <c r="X351" t="e">
        <f>INDEX(#REF!,MATCH($E351,#REF!,0))</f>
        <v>#REF!</v>
      </c>
      <c r="Y351" t="e">
        <f>INDEX(#REF!,MATCH($E351,#REF!,0))</f>
        <v>#REF!</v>
      </c>
      <c r="Z351" t="e">
        <f>INDEX(#REF!,MATCH($E351,#REF!,0))</f>
        <v>#REF!</v>
      </c>
      <c r="AA351" t="e">
        <f>INDEX(#REF!,MATCH($E351,#REF!,0))</f>
        <v>#REF!</v>
      </c>
      <c r="AB351" t="e">
        <f>INDEX(#REF!,MATCH($E351,#REF!,0))</f>
        <v>#REF!</v>
      </c>
      <c r="AC351" t="e">
        <f>INDEX(#REF!,MATCH($E351,#REF!,0))</f>
        <v>#REF!</v>
      </c>
      <c r="AD351" t="e">
        <f>INDEX(#REF!,MATCH($E351,#REF!,0))</f>
        <v>#REF!</v>
      </c>
      <c r="AE351" t="e">
        <f t="shared" si="18"/>
        <v>#REF!</v>
      </c>
    </row>
    <row r="352" spans="2:31" x14ac:dyDescent="0.25">
      <c r="B352" s="45" t="s">
        <v>1657</v>
      </c>
      <c r="C352" s="45" t="s">
        <v>539</v>
      </c>
      <c r="D352" s="89" t="s">
        <v>538</v>
      </c>
      <c r="E352" s="89">
        <v>112208</v>
      </c>
      <c r="F352" s="89">
        <v>1090</v>
      </c>
      <c r="G352" s="90">
        <v>15</v>
      </c>
      <c r="H352" s="90">
        <v>3</v>
      </c>
      <c r="I352" s="90" t="s">
        <v>210</v>
      </c>
      <c r="J352" s="90">
        <v>100</v>
      </c>
      <c r="K352" s="90">
        <v>0</v>
      </c>
      <c r="L352" s="91"/>
      <c r="M352" s="92"/>
      <c r="N352" s="93"/>
      <c r="P352" s="21"/>
      <c r="Q352" s="12"/>
      <c r="R352">
        <f t="shared" si="17"/>
        <v>1</v>
      </c>
      <c r="S352" s="21" t="s">
        <v>99</v>
      </c>
      <c r="T352" s="21" t="s">
        <v>99</v>
      </c>
      <c r="W352" t="e">
        <f>INDEX(#REF!,MATCH($E352,#REF!,0))</f>
        <v>#REF!</v>
      </c>
      <c r="X352" t="e">
        <f>INDEX(#REF!,MATCH($E352,#REF!,0))</f>
        <v>#REF!</v>
      </c>
      <c r="Y352" t="e">
        <f>INDEX(#REF!,MATCH($E352,#REF!,0))</f>
        <v>#REF!</v>
      </c>
      <c r="Z352" t="e">
        <f>INDEX(#REF!,MATCH($E352,#REF!,0))</f>
        <v>#REF!</v>
      </c>
      <c r="AA352" t="e">
        <f>INDEX(#REF!,MATCH($E352,#REF!,0))</f>
        <v>#REF!</v>
      </c>
      <c r="AB352" t="e">
        <f>INDEX(#REF!,MATCH($E352,#REF!,0))</f>
        <v>#REF!</v>
      </c>
      <c r="AC352" t="e">
        <f>INDEX(#REF!,MATCH($E352,#REF!,0))</f>
        <v>#REF!</v>
      </c>
      <c r="AD352" t="e">
        <f>INDEX(#REF!,MATCH($E352,#REF!,0))</f>
        <v>#REF!</v>
      </c>
      <c r="AE352" t="e">
        <f t="shared" si="18"/>
        <v>#REF!</v>
      </c>
    </row>
    <row r="353" spans="2:31" x14ac:dyDescent="0.25">
      <c r="B353" s="45" t="s">
        <v>1658</v>
      </c>
      <c r="C353" s="45" t="s">
        <v>541</v>
      </c>
      <c r="D353" s="89" t="s">
        <v>540</v>
      </c>
      <c r="E353" s="89">
        <v>112209</v>
      </c>
      <c r="F353" s="89">
        <v>1090</v>
      </c>
      <c r="G353" s="90">
        <v>16</v>
      </c>
      <c r="H353" s="90">
        <v>3</v>
      </c>
      <c r="I353" s="90" t="s">
        <v>210</v>
      </c>
      <c r="J353" s="90">
        <v>100</v>
      </c>
      <c r="K353" s="90">
        <v>0</v>
      </c>
      <c r="L353" s="91"/>
      <c r="M353" s="92"/>
      <c r="N353" s="93"/>
      <c r="P353" s="21"/>
      <c r="Q353" s="12"/>
      <c r="R353">
        <f t="shared" si="17"/>
        <v>1</v>
      </c>
      <c r="S353" s="21" t="s">
        <v>99</v>
      </c>
      <c r="T353" s="21" t="s">
        <v>99</v>
      </c>
      <c r="W353" t="e">
        <f>INDEX(#REF!,MATCH($E353,#REF!,0))</f>
        <v>#REF!</v>
      </c>
      <c r="X353" t="e">
        <f>INDEX(#REF!,MATCH($E353,#REF!,0))</f>
        <v>#REF!</v>
      </c>
      <c r="Y353" t="e">
        <f>INDEX(#REF!,MATCH($E353,#REF!,0))</f>
        <v>#REF!</v>
      </c>
      <c r="Z353" t="e">
        <f>INDEX(#REF!,MATCH($E353,#REF!,0))</f>
        <v>#REF!</v>
      </c>
      <c r="AA353" t="e">
        <f>INDEX(#REF!,MATCH($E353,#REF!,0))</f>
        <v>#REF!</v>
      </c>
      <c r="AB353" t="e">
        <f>INDEX(#REF!,MATCH($E353,#REF!,0))</f>
        <v>#REF!</v>
      </c>
      <c r="AC353" t="e">
        <f>INDEX(#REF!,MATCH($E353,#REF!,0))</f>
        <v>#REF!</v>
      </c>
      <c r="AD353" t="e">
        <f>INDEX(#REF!,MATCH($E353,#REF!,0))</f>
        <v>#REF!</v>
      </c>
      <c r="AE353" t="e">
        <f t="shared" si="18"/>
        <v>#REF!</v>
      </c>
    </row>
    <row r="354" spans="2:31" x14ac:dyDescent="0.25">
      <c r="B354" s="45" t="s">
        <v>1659</v>
      </c>
      <c r="C354" s="45" t="s">
        <v>543</v>
      </c>
      <c r="D354" s="89" t="s">
        <v>542</v>
      </c>
      <c r="E354" s="89">
        <v>112210</v>
      </c>
      <c r="F354" s="89">
        <v>1090</v>
      </c>
      <c r="G354" s="90">
        <v>17</v>
      </c>
      <c r="H354" s="90">
        <v>3</v>
      </c>
      <c r="I354" s="90" t="s">
        <v>210</v>
      </c>
      <c r="J354" s="90">
        <v>100</v>
      </c>
      <c r="K354" s="90">
        <v>0</v>
      </c>
      <c r="L354" s="91"/>
      <c r="M354" s="92" t="s">
        <v>2327</v>
      </c>
      <c r="N354" s="93"/>
      <c r="P354" s="21"/>
      <c r="Q354" s="12"/>
      <c r="R354">
        <f t="shared" si="17"/>
        <v>1</v>
      </c>
      <c r="S354" s="21" t="s">
        <v>99</v>
      </c>
      <c r="T354" s="21" t="s">
        <v>99</v>
      </c>
      <c r="W354" t="e">
        <f>INDEX(#REF!,MATCH($E354,#REF!,0))</f>
        <v>#REF!</v>
      </c>
      <c r="X354" t="e">
        <f>INDEX(#REF!,MATCH($E354,#REF!,0))</f>
        <v>#REF!</v>
      </c>
      <c r="Y354" t="e">
        <f>INDEX(#REF!,MATCH($E354,#REF!,0))</f>
        <v>#REF!</v>
      </c>
      <c r="Z354" t="e">
        <f>INDEX(#REF!,MATCH($E354,#REF!,0))</f>
        <v>#REF!</v>
      </c>
      <c r="AA354" t="e">
        <f>INDEX(#REF!,MATCH($E354,#REF!,0))</f>
        <v>#REF!</v>
      </c>
      <c r="AB354" t="e">
        <f>INDEX(#REF!,MATCH($E354,#REF!,0))</f>
        <v>#REF!</v>
      </c>
      <c r="AC354" t="e">
        <f>INDEX(#REF!,MATCH($E354,#REF!,0))</f>
        <v>#REF!</v>
      </c>
      <c r="AD354" t="e">
        <f>INDEX(#REF!,MATCH($E354,#REF!,0))</f>
        <v>#REF!</v>
      </c>
      <c r="AE354" t="e">
        <f t="shared" si="18"/>
        <v>#REF!</v>
      </c>
    </row>
    <row r="355" spans="2:31" x14ac:dyDescent="0.25">
      <c r="B355" s="45" t="s">
        <v>1660</v>
      </c>
      <c r="C355" s="45" t="s">
        <v>545</v>
      </c>
      <c r="D355" s="89" t="s">
        <v>544</v>
      </c>
      <c r="E355" s="89">
        <v>112211</v>
      </c>
      <c r="F355" s="89">
        <v>1090</v>
      </c>
      <c r="G355" s="90">
        <v>18</v>
      </c>
      <c r="H355" s="90">
        <v>3</v>
      </c>
      <c r="I355" s="90" t="s">
        <v>210</v>
      </c>
      <c r="J355" s="90">
        <v>100</v>
      </c>
      <c r="K355" s="90">
        <v>0</v>
      </c>
      <c r="L355" s="91"/>
      <c r="M355" s="92" t="s">
        <v>2328</v>
      </c>
      <c r="N355" s="93"/>
      <c r="P355" s="21"/>
      <c r="Q355" s="12"/>
      <c r="R355">
        <f t="shared" si="17"/>
        <v>1</v>
      </c>
      <c r="S355" s="21" t="s">
        <v>99</v>
      </c>
      <c r="T355" s="21" t="s">
        <v>99</v>
      </c>
      <c r="W355" t="e">
        <f>INDEX(#REF!,MATCH($E355,#REF!,0))</f>
        <v>#REF!</v>
      </c>
      <c r="X355" t="e">
        <f>INDEX(#REF!,MATCH($E355,#REF!,0))</f>
        <v>#REF!</v>
      </c>
      <c r="Y355" t="e">
        <f>INDEX(#REF!,MATCH($E355,#REF!,0))</f>
        <v>#REF!</v>
      </c>
      <c r="Z355" t="e">
        <f>INDEX(#REF!,MATCH($E355,#REF!,0))</f>
        <v>#REF!</v>
      </c>
      <c r="AA355" t="e">
        <f>INDEX(#REF!,MATCH($E355,#REF!,0))</f>
        <v>#REF!</v>
      </c>
      <c r="AB355" t="e">
        <f>INDEX(#REF!,MATCH($E355,#REF!,0))</f>
        <v>#REF!</v>
      </c>
      <c r="AC355" t="e">
        <f>INDEX(#REF!,MATCH($E355,#REF!,0))</f>
        <v>#REF!</v>
      </c>
      <c r="AD355" t="e">
        <f>INDEX(#REF!,MATCH($E355,#REF!,0))</f>
        <v>#REF!</v>
      </c>
      <c r="AE355" t="e">
        <f t="shared" si="18"/>
        <v>#REF!</v>
      </c>
    </row>
    <row r="356" spans="2:31" x14ac:dyDescent="0.25">
      <c r="B356" s="45" t="s">
        <v>1661</v>
      </c>
      <c r="C356" s="45" t="s">
        <v>547</v>
      </c>
      <c r="D356" s="89" t="s">
        <v>546</v>
      </c>
      <c r="E356" s="89">
        <v>112212</v>
      </c>
      <c r="F356" s="89">
        <v>1090</v>
      </c>
      <c r="G356" s="90">
        <v>19</v>
      </c>
      <c r="H356" s="90">
        <v>3</v>
      </c>
      <c r="I356" s="90" t="s">
        <v>210</v>
      </c>
      <c r="J356" s="90">
        <v>100</v>
      </c>
      <c r="K356" s="90">
        <v>0</v>
      </c>
      <c r="L356" s="91"/>
      <c r="M356" s="92" t="s">
        <v>1197</v>
      </c>
      <c r="N356" s="93"/>
      <c r="P356" s="21"/>
      <c r="Q356" s="12"/>
      <c r="R356">
        <f t="shared" ref="R356:R419" si="19">COUNTIF(C:C,C356)</f>
        <v>1</v>
      </c>
      <c r="S356" s="21" t="s">
        <v>99</v>
      </c>
      <c r="T356" s="21" t="s">
        <v>99</v>
      </c>
      <c r="W356" t="e">
        <f>INDEX(#REF!,MATCH($E356,#REF!,0))</f>
        <v>#REF!</v>
      </c>
      <c r="X356" t="e">
        <f>INDEX(#REF!,MATCH($E356,#REF!,0))</f>
        <v>#REF!</v>
      </c>
      <c r="Y356" t="e">
        <f>INDEX(#REF!,MATCH($E356,#REF!,0))</f>
        <v>#REF!</v>
      </c>
      <c r="Z356" t="e">
        <f>INDEX(#REF!,MATCH($E356,#REF!,0))</f>
        <v>#REF!</v>
      </c>
      <c r="AA356" t="e">
        <f>INDEX(#REF!,MATCH($E356,#REF!,0))</f>
        <v>#REF!</v>
      </c>
      <c r="AB356" t="e">
        <f>INDEX(#REF!,MATCH($E356,#REF!,0))</f>
        <v>#REF!</v>
      </c>
      <c r="AC356" t="e">
        <f>INDEX(#REF!,MATCH($E356,#REF!,0))</f>
        <v>#REF!</v>
      </c>
      <c r="AD356" t="e">
        <f>INDEX(#REF!,MATCH($E356,#REF!,0))</f>
        <v>#REF!</v>
      </c>
      <c r="AE356" t="e">
        <f t="shared" si="18"/>
        <v>#REF!</v>
      </c>
    </row>
    <row r="357" spans="2:31" x14ac:dyDescent="0.25">
      <c r="B357" s="45" t="s">
        <v>1662</v>
      </c>
      <c r="C357" s="45" t="s">
        <v>549</v>
      </c>
      <c r="D357" s="89" t="s">
        <v>548</v>
      </c>
      <c r="E357" s="89">
        <v>112213</v>
      </c>
      <c r="F357" s="89">
        <v>1090</v>
      </c>
      <c r="G357" s="90">
        <v>20</v>
      </c>
      <c r="H357" s="90">
        <v>3</v>
      </c>
      <c r="I357" s="90" t="s">
        <v>210</v>
      </c>
      <c r="J357" s="90">
        <v>100</v>
      </c>
      <c r="K357" s="90">
        <v>0</v>
      </c>
      <c r="L357" s="91"/>
      <c r="M357" s="92" t="s">
        <v>2329</v>
      </c>
      <c r="N357" s="93"/>
      <c r="P357" s="21"/>
      <c r="Q357" s="12"/>
      <c r="R357">
        <f t="shared" si="19"/>
        <v>1</v>
      </c>
      <c r="S357" s="21" t="s">
        <v>99</v>
      </c>
      <c r="T357" s="21" t="s">
        <v>99</v>
      </c>
      <c r="W357" t="e">
        <f>INDEX(#REF!,MATCH($E357,#REF!,0))</f>
        <v>#REF!</v>
      </c>
      <c r="X357" t="e">
        <f>INDEX(#REF!,MATCH($E357,#REF!,0))</f>
        <v>#REF!</v>
      </c>
      <c r="Y357" t="e">
        <f>INDEX(#REF!,MATCH($E357,#REF!,0))</f>
        <v>#REF!</v>
      </c>
      <c r="Z357" t="e">
        <f>INDEX(#REF!,MATCH($E357,#REF!,0))</f>
        <v>#REF!</v>
      </c>
      <c r="AA357" t="e">
        <f>INDEX(#REF!,MATCH($E357,#REF!,0))</f>
        <v>#REF!</v>
      </c>
      <c r="AB357" t="e">
        <f>INDEX(#REF!,MATCH($E357,#REF!,0))</f>
        <v>#REF!</v>
      </c>
      <c r="AC357" t="e">
        <f>INDEX(#REF!,MATCH($E357,#REF!,0))</f>
        <v>#REF!</v>
      </c>
      <c r="AD357" t="e">
        <f>INDEX(#REF!,MATCH($E357,#REF!,0))</f>
        <v>#REF!</v>
      </c>
      <c r="AE357" t="e">
        <f t="shared" si="18"/>
        <v>#REF!</v>
      </c>
    </row>
    <row r="358" spans="2:31" x14ac:dyDescent="0.25">
      <c r="B358" s="45" t="s">
        <v>1663</v>
      </c>
      <c r="C358" s="45" t="s">
        <v>551</v>
      </c>
      <c r="D358" s="89" t="s">
        <v>550</v>
      </c>
      <c r="E358" s="89">
        <v>112214</v>
      </c>
      <c r="F358" s="89">
        <v>1090</v>
      </c>
      <c r="G358" s="90">
        <v>21</v>
      </c>
      <c r="H358" s="90">
        <v>3</v>
      </c>
      <c r="I358" s="90" t="s">
        <v>210</v>
      </c>
      <c r="J358" s="90">
        <v>100</v>
      </c>
      <c r="K358" s="90">
        <v>0</v>
      </c>
      <c r="L358" s="91"/>
      <c r="M358" s="92"/>
      <c r="N358" s="93"/>
      <c r="P358" s="21"/>
      <c r="Q358" s="12"/>
      <c r="R358">
        <f t="shared" si="19"/>
        <v>1</v>
      </c>
      <c r="S358" s="21" t="s">
        <v>99</v>
      </c>
      <c r="T358" s="21" t="s">
        <v>99</v>
      </c>
      <c r="W358" t="e">
        <f>INDEX(#REF!,MATCH($E358,#REF!,0))</f>
        <v>#REF!</v>
      </c>
      <c r="X358" t="e">
        <f>INDEX(#REF!,MATCH($E358,#REF!,0))</f>
        <v>#REF!</v>
      </c>
      <c r="Y358" t="e">
        <f>INDEX(#REF!,MATCH($E358,#REF!,0))</f>
        <v>#REF!</v>
      </c>
      <c r="Z358" t="e">
        <f>INDEX(#REF!,MATCH($E358,#REF!,0))</f>
        <v>#REF!</v>
      </c>
      <c r="AA358" t="e">
        <f>INDEX(#REF!,MATCH($E358,#REF!,0))</f>
        <v>#REF!</v>
      </c>
      <c r="AB358" t="e">
        <f>INDEX(#REF!,MATCH($E358,#REF!,0))</f>
        <v>#REF!</v>
      </c>
      <c r="AC358" t="e">
        <f>INDEX(#REF!,MATCH($E358,#REF!,0))</f>
        <v>#REF!</v>
      </c>
      <c r="AD358" t="e">
        <f>INDEX(#REF!,MATCH($E358,#REF!,0))</f>
        <v>#REF!</v>
      </c>
      <c r="AE358" t="e">
        <f t="shared" si="18"/>
        <v>#REF!</v>
      </c>
    </row>
    <row r="359" spans="2:31" x14ac:dyDescent="0.25">
      <c r="B359" s="45" t="s">
        <v>1664</v>
      </c>
      <c r="C359" s="45" t="s">
        <v>553</v>
      </c>
      <c r="D359" s="89" t="s">
        <v>552</v>
      </c>
      <c r="E359" s="89">
        <v>112215</v>
      </c>
      <c r="F359" s="89">
        <v>1090</v>
      </c>
      <c r="G359" s="90">
        <v>22</v>
      </c>
      <c r="H359" s="90">
        <v>3</v>
      </c>
      <c r="I359" s="90" t="s">
        <v>210</v>
      </c>
      <c r="J359" s="90">
        <v>100</v>
      </c>
      <c r="K359" s="90">
        <v>0</v>
      </c>
      <c r="L359" s="91"/>
      <c r="M359" s="92"/>
      <c r="N359" s="93"/>
      <c r="P359" s="21"/>
      <c r="Q359" s="12"/>
      <c r="R359">
        <f t="shared" si="19"/>
        <v>1</v>
      </c>
      <c r="S359" s="21" t="s">
        <v>99</v>
      </c>
      <c r="T359" s="21" t="s">
        <v>99</v>
      </c>
      <c r="W359" t="e">
        <f>INDEX(#REF!,MATCH($E359,#REF!,0))</f>
        <v>#REF!</v>
      </c>
      <c r="X359" t="e">
        <f>INDEX(#REF!,MATCH($E359,#REF!,0))</f>
        <v>#REF!</v>
      </c>
      <c r="Y359" t="e">
        <f>INDEX(#REF!,MATCH($E359,#REF!,0))</f>
        <v>#REF!</v>
      </c>
      <c r="Z359" t="e">
        <f>INDEX(#REF!,MATCH($E359,#REF!,0))</f>
        <v>#REF!</v>
      </c>
      <c r="AA359" t="e">
        <f>INDEX(#REF!,MATCH($E359,#REF!,0))</f>
        <v>#REF!</v>
      </c>
      <c r="AB359" t="e">
        <f>INDEX(#REF!,MATCH($E359,#REF!,0))</f>
        <v>#REF!</v>
      </c>
      <c r="AC359" t="e">
        <f>INDEX(#REF!,MATCH($E359,#REF!,0))</f>
        <v>#REF!</v>
      </c>
      <c r="AD359" t="e">
        <f>INDEX(#REF!,MATCH($E359,#REF!,0))</f>
        <v>#REF!</v>
      </c>
      <c r="AE359" t="e">
        <f t="shared" si="18"/>
        <v>#REF!</v>
      </c>
    </row>
    <row r="360" spans="2:31" x14ac:dyDescent="0.25">
      <c r="B360" s="45" t="s">
        <v>1665</v>
      </c>
      <c r="C360" s="45" t="s">
        <v>555</v>
      </c>
      <c r="D360" s="89" t="s">
        <v>554</v>
      </c>
      <c r="E360" s="89">
        <v>112216</v>
      </c>
      <c r="F360" s="89">
        <v>1090</v>
      </c>
      <c r="G360" s="90">
        <v>23</v>
      </c>
      <c r="H360" s="90">
        <v>3</v>
      </c>
      <c r="I360" s="90" t="s">
        <v>210</v>
      </c>
      <c r="J360" s="90">
        <v>100</v>
      </c>
      <c r="K360" s="90">
        <v>0</v>
      </c>
      <c r="L360" s="91"/>
      <c r="M360" s="92" t="s">
        <v>1198</v>
      </c>
      <c r="N360" s="93"/>
      <c r="P360" s="21"/>
      <c r="Q360" s="12"/>
      <c r="R360">
        <f t="shared" si="19"/>
        <v>1</v>
      </c>
      <c r="S360" s="21" t="s">
        <v>99</v>
      </c>
      <c r="T360" s="21" t="s">
        <v>99</v>
      </c>
      <c r="W360" t="e">
        <f>INDEX(#REF!,MATCH($E360,#REF!,0))</f>
        <v>#REF!</v>
      </c>
      <c r="X360" t="e">
        <f>INDEX(#REF!,MATCH($E360,#REF!,0))</f>
        <v>#REF!</v>
      </c>
      <c r="Y360" t="e">
        <f>INDEX(#REF!,MATCH($E360,#REF!,0))</f>
        <v>#REF!</v>
      </c>
      <c r="Z360" t="e">
        <f>INDEX(#REF!,MATCH($E360,#REF!,0))</f>
        <v>#REF!</v>
      </c>
      <c r="AA360" t="e">
        <f>INDEX(#REF!,MATCH($E360,#REF!,0))</f>
        <v>#REF!</v>
      </c>
      <c r="AB360" t="e">
        <f>INDEX(#REF!,MATCH($E360,#REF!,0))</f>
        <v>#REF!</v>
      </c>
      <c r="AC360" t="e">
        <f>INDEX(#REF!,MATCH($E360,#REF!,0))</f>
        <v>#REF!</v>
      </c>
      <c r="AD360" t="e">
        <f>INDEX(#REF!,MATCH($E360,#REF!,0))</f>
        <v>#REF!</v>
      </c>
      <c r="AE360" t="e">
        <f t="shared" si="18"/>
        <v>#REF!</v>
      </c>
    </row>
    <row r="361" spans="2:31" x14ac:dyDescent="0.25">
      <c r="B361" s="45" t="s">
        <v>1666</v>
      </c>
      <c r="C361" s="45" t="s">
        <v>557</v>
      </c>
      <c r="D361" s="89" t="s">
        <v>556</v>
      </c>
      <c r="E361" s="89">
        <v>112217</v>
      </c>
      <c r="F361" s="89">
        <v>1090</v>
      </c>
      <c r="G361" s="90">
        <v>24</v>
      </c>
      <c r="H361" s="90">
        <v>3</v>
      </c>
      <c r="I361" s="90" t="s">
        <v>210</v>
      </c>
      <c r="J361" s="90">
        <v>100</v>
      </c>
      <c r="K361" s="90">
        <v>0</v>
      </c>
      <c r="L361" s="91"/>
      <c r="M361" s="92" t="s">
        <v>1199</v>
      </c>
      <c r="N361" s="93"/>
      <c r="P361" s="21"/>
      <c r="Q361" s="12"/>
      <c r="R361">
        <f t="shared" si="19"/>
        <v>1</v>
      </c>
      <c r="S361" s="21" t="s">
        <v>99</v>
      </c>
      <c r="T361" s="21" t="s">
        <v>99</v>
      </c>
      <c r="W361" t="e">
        <f>INDEX(#REF!,MATCH($E361,#REF!,0))</f>
        <v>#REF!</v>
      </c>
      <c r="X361" t="e">
        <f>INDEX(#REF!,MATCH($E361,#REF!,0))</f>
        <v>#REF!</v>
      </c>
      <c r="Y361" t="e">
        <f>INDEX(#REF!,MATCH($E361,#REF!,0))</f>
        <v>#REF!</v>
      </c>
      <c r="Z361" t="e">
        <f>INDEX(#REF!,MATCH($E361,#REF!,0))</f>
        <v>#REF!</v>
      </c>
      <c r="AA361" t="e">
        <f>INDEX(#REF!,MATCH($E361,#REF!,0))</f>
        <v>#REF!</v>
      </c>
      <c r="AB361" t="e">
        <f>INDEX(#REF!,MATCH($E361,#REF!,0))</f>
        <v>#REF!</v>
      </c>
      <c r="AC361" t="e">
        <f>INDEX(#REF!,MATCH($E361,#REF!,0))</f>
        <v>#REF!</v>
      </c>
      <c r="AD361" t="e">
        <f>INDEX(#REF!,MATCH($E361,#REF!,0))</f>
        <v>#REF!</v>
      </c>
      <c r="AE361" t="e">
        <f t="shared" si="18"/>
        <v>#REF!</v>
      </c>
    </row>
    <row r="362" spans="2:31" x14ac:dyDescent="0.25">
      <c r="B362" s="45" t="s">
        <v>1667</v>
      </c>
      <c r="C362" s="45" t="s">
        <v>559</v>
      </c>
      <c r="D362" s="89" t="s">
        <v>558</v>
      </c>
      <c r="E362" s="89">
        <v>112218</v>
      </c>
      <c r="F362" s="89">
        <v>1103</v>
      </c>
      <c r="G362" s="90">
        <v>0</v>
      </c>
      <c r="H362" s="90">
        <v>3</v>
      </c>
      <c r="I362" s="90" t="s">
        <v>210</v>
      </c>
      <c r="J362" s="90">
        <v>100</v>
      </c>
      <c r="K362" s="90">
        <v>0</v>
      </c>
      <c r="L362" s="91"/>
      <c r="M362" s="92" t="s">
        <v>1200</v>
      </c>
      <c r="N362" s="93"/>
      <c r="P362" s="21"/>
      <c r="Q362" s="12"/>
      <c r="R362">
        <f t="shared" si="19"/>
        <v>1</v>
      </c>
      <c r="S362" s="21" t="s">
        <v>99</v>
      </c>
      <c r="T362" s="21" t="s">
        <v>99</v>
      </c>
      <c r="W362" t="e">
        <f>INDEX(#REF!,MATCH($E362,#REF!,0))</f>
        <v>#REF!</v>
      </c>
      <c r="X362" t="e">
        <f>INDEX(#REF!,MATCH($E362,#REF!,0))</f>
        <v>#REF!</v>
      </c>
      <c r="Y362" t="e">
        <f>INDEX(#REF!,MATCH($E362,#REF!,0))</f>
        <v>#REF!</v>
      </c>
      <c r="Z362" t="e">
        <f>INDEX(#REF!,MATCH($E362,#REF!,0))</f>
        <v>#REF!</v>
      </c>
      <c r="AA362" t="e">
        <f>INDEX(#REF!,MATCH($E362,#REF!,0))</f>
        <v>#REF!</v>
      </c>
      <c r="AB362" t="e">
        <f>INDEX(#REF!,MATCH($E362,#REF!,0))</f>
        <v>#REF!</v>
      </c>
      <c r="AC362" t="e">
        <f>INDEX(#REF!,MATCH($E362,#REF!,0))</f>
        <v>#REF!</v>
      </c>
      <c r="AD362" t="e">
        <f>INDEX(#REF!,MATCH($E362,#REF!,0))</f>
        <v>#REF!</v>
      </c>
      <c r="AE362" t="e">
        <f t="shared" si="18"/>
        <v>#REF!</v>
      </c>
    </row>
    <row r="363" spans="2:31" x14ac:dyDescent="0.25">
      <c r="B363" s="45" t="s">
        <v>1668</v>
      </c>
      <c r="C363" s="45" t="s">
        <v>561</v>
      </c>
      <c r="D363" s="89" t="s">
        <v>560</v>
      </c>
      <c r="E363" s="89">
        <v>112219</v>
      </c>
      <c r="F363" s="89">
        <v>1103</v>
      </c>
      <c r="G363" s="90">
        <v>1</v>
      </c>
      <c r="H363" s="90">
        <v>3</v>
      </c>
      <c r="I363" s="90" t="s">
        <v>210</v>
      </c>
      <c r="J363" s="90">
        <v>100</v>
      </c>
      <c r="K363" s="90">
        <v>0</v>
      </c>
      <c r="L363" s="91"/>
      <c r="M363" s="92" t="s">
        <v>1201</v>
      </c>
      <c r="N363" s="93"/>
      <c r="P363" s="21"/>
      <c r="Q363" s="12"/>
      <c r="R363">
        <f t="shared" si="19"/>
        <v>1</v>
      </c>
      <c r="S363" s="21" t="s">
        <v>99</v>
      </c>
      <c r="T363" s="21" t="s">
        <v>99</v>
      </c>
      <c r="W363" t="e">
        <f>INDEX(#REF!,MATCH($E363,#REF!,0))</f>
        <v>#REF!</v>
      </c>
      <c r="X363" t="e">
        <f>INDEX(#REF!,MATCH($E363,#REF!,0))</f>
        <v>#REF!</v>
      </c>
      <c r="Y363" t="e">
        <f>INDEX(#REF!,MATCH($E363,#REF!,0))</f>
        <v>#REF!</v>
      </c>
      <c r="Z363" t="e">
        <f>INDEX(#REF!,MATCH($E363,#REF!,0))</f>
        <v>#REF!</v>
      </c>
      <c r="AA363" t="e">
        <f>INDEX(#REF!,MATCH($E363,#REF!,0))</f>
        <v>#REF!</v>
      </c>
      <c r="AB363" t="e">
        <f>INDEX(#REF!,MATCH($E363,#REF!,0))</f>
        <v>#REF!</v>
      </c>
      <c r="AC363" t="e">
        <f>INDEX(#REF!,MATCH($E363,#REF!,0))</f>
        <v>#REF!</v>
      </c>
      <c r="AD363" t="e">
        <f>INDEX(#REF!,MATCH($E363,#REF!,0))</f>
        <v>#REF!</v>
      </c>
      <c r="AE363" t="e">
        <f t="shared" si="18"/>
        <v>#REF!</v>
      </c>
    </row>
    <row r="364" spans="2:31" x14ac:dyDescent="0.25">
      <c r="B364" s="45" t="s">
        <v>1669</v>
      </c>
      <c r="C364" s="45" t="s">
        <v>563</v>
      </c>
      <c r="D364" s="89" t="s">
        <v>562</v>
      </c>
      <c r="E364" s="89">
        <v>112220</v>
      </c>
      <c r="F364" s="89">
        <v>1103</v>
      </c>
      <c r="G364" s="90">
        <v>2</v>
      </c>
      <c r="H364" s="90">
        <v>3</v>
      </c>
      <c r="I364" s="90" t="s">
        <v>210</v>
      </c>
      <c r="J364" s="90">
        <v>100</v>
      </c>
      <c r="K364" s="90">
        <v>0</v>
      </c>
      <c r="L364" s="91"/>
      <c r="M364" s="92"/>
      <c r="N364" s="93"/>
      <c r="P364" s="21"/>
      <c r="Q364" s="12"/>
      <c r="R364">
        <f t="shared" si="19"/>
        <v>1</v>
      </c>
      <c r="S364" s="21" t="s">
        <v>99</v>
      </c>
      <c r="T364" s="21" t="s">
        <v>99</v>
      </c>
      <c r="W364" t="e">
        <f>INDEX(#REF!,MATCH($E364,#REF!,0))</f>
        <v>#REF!</v>
      </c>
      <c r="X364" t="e">
        <f>INDEX(#REF!,MATCH($E364,#REF!,0))</f>
        <v>#REF!</v>
      </c>
      <c r="Y364" t="e">
        <f>INDEX(#REF!,MATCH($E364,#REF!,0))</f>
        <v>#REF!</v>
      </c>
      <c r="Z364" t="e">
        <f>INDEX(#REF!,MATCH($E364,#REF!,0))</f>
        <v>#REF!</v>
      </c>
      <c r="AA364" t="e">
        <f>INDEX(#REF!,MATCH($E364,#REF!,0))</f>
        <v>#REF!</v>
      </c>
      <c r="AB364" t="e">
        <f>INDEX(#REF!,MATCH($E364,#REF!,0))</f>
        <v>#REF!</v>
      </c>
      <c r="AC364" t="e">
        <f>INDEX(#REF!,MATCH($E364,#REF!,0))</f>
        <v>#REF!</v>
      </c>
      <c r="AD364" t="e">
        <f>INDEX(#REF!,MATCH($E364,#REF!,0))</f>
        <v>#REF!</v>
      </c>
      <c r="AE364" t="e">
        <f t="shared" si="18"/>
        <v>#REF!</v>
      </c>
    </row>
    <row r="365" spans="2:31" x14ac:dyDescent="0.25">
      <c r="B365" s="45" t="s">
        <v>1670</v>
      </c>
      <c r="C365" s="45" t="s">
        <v>565</v>
      </c>
      <c r="D365" s="89" t="s">
        <v>564</v>
      </c>
      <c r="E365" s="89">
        <v>112221</v>
      </c>
      <c r="F365" s="89">
        <v>1103</v>
      </c>
      <c r="G365" s="90">
        <v>3</v>
      </c>
      <c r="H365" s="90">
        <v>3</v>
      </c>
      <c r="I365" s="90" t="s">
        <v>210</v>
      </c>
      <c r="J365" s="90">
        <v>100</v>
      </c>
      <c r="K365" s="90">
        <v>0</v>
      </c>
      <c r="L365" s="91"/>
      <c r="M365" s="92"/>
      <c r="N365" s="93"/>
      <c r="P365" s="21"/>
      <c r="Q365" s="12"/>
      <c r="R365">
        <f t="shared" si="19"/>
        <v>1</v>
      </c>
      <c r="S365" s="21" t="s">
        <v>99</v>
      </c>
      <c r="T365" s="21" t="s">
        <v>99</v>
      </c>
      <c r="W365" t="e">
        <f>INDEX(#REF!,MATCH($E365,#REF!,0))</f>
        <v>#REF!</v>
      </c>
      <c r="X365" t="e">
        <f>INDEX(#REF!,MATCH($E365,#REF!,0))</f>
        <v>#REF!</v>
      </c>
      <c r="Y365" t="e">
        <f>INDEX(#REF!,MATCH($E365,#REF!,0))</f>
        <v>#REF!</v>
      </c>
      <c r="Z365" t="e">
        <f>INDEX(#REF!,MATCH($E365,#REF!,0))</f>
        <v>#REF!</v>
      </c>
      <c r="AA365" t="e">
        <f>INDEX(#REF!,MATCH($E365,#REF!,0))</f>
        <v>#REF!</v>
      </c>
      <c r="AB365" t="e">
        <f>INDEX(#REF!,MATCH($E365,#REF!,0))</f>
        <v>#REF!</v>
      </c>
      <c r="AC365" t="e">
        <f>INDEX(#REF!,MATCH($E365,#REF!,0))</f>
        <v>#REF!</v>
      </c>
      <c r="AD365" t="e">
        <f>INDEX(#REF!,MATCH($E365,#REF!,0))</f>
        <v>#REF!</v>
      </c>
      <c r="AE365" t="e">
        <f t="shared" si="18"/>
        <v>#REF!</v>
      </c>
    </row>
    <row r="366" spans="2:31" x14ac:dyDescent="0.25">
      <c r="B366" s="45" t="s">
        <v>1671</v>
      </c>
      <c r="C366" s="45" t="s">
        <v>567</v>
      </c>
      <c r="D366" s="89" t="s">
        <v>566</v>
      </c>
      <c r="E366" s="89">
        <v>112222</v>
      </c>
      <c r="F366" s="89">
        <v>1103</v>
      </c>
      <c r="G366" s="90">
        <v>4</v>
      </c>
      <c r="H366" s="90">
        <v>3</v>
      </c>
      <c r="I366" s="90" t="s">
        <v>210</v>
      </c>
      <c r="J366" s="90">
        <v>100</v>
      </c>
      <c r="K366" s="90">
        <v>0</v>
      </c>
      <c r="L366" s="91"/>
      <c r="M366" s="92"/>
      <c r="N366" s="93"/>
      <c r="P366" s="21"/>
      <c r="Q366" s="12"/>
      <c r="R366">
        <f t="shared" si="19"/>
        <v>1</v>
      </c>
      <c r="S366" s="21" t="s">
        <v>99</v>
      </c>
      <c r="T366" s="21" t="s">
        <v>99</v>
      </c>
      <c r="W366" t="e">
        <f>INDEX(#REF!,MATCH($E366,#REF!,0))</f>
        <v>#REF!</v>
      </c>
      <c r="X366" t="e">
        <f>INDEX(#REF!,MATCH($E366,#REF!,0))</f>
        <v>#REF!</v>
      </c>
      <c r="Y366" t="e">
        <f>INDEX(#REF!,MATCH($E366,#REF!,0))</f>
        <v>#REF!</v>
      </c>
      <c r="Z366" t="e">
        <f>INDEX(#REF!,MATCH($E366,#REF!,0))</f>
        <v>#REF!</v>
      </c>
      <c r="AA366" t="e">
        <f>INDEX(#REF!,MATCH($E366,#REF!,0))</f>
        <v>#REF!</v>
      </c>
      <c r="AB366" t="e">
        <f>INDEX(#REF!,MATCH($E366,#REF!,0))</f>
        <v>#REF!</v>
      </c>
      <c r="AC366" t="e">
        <f>INDEX(#REF!,MATCH($E366,#REF!,0))</f>
        <v>#REF!</v>
      </c>
      <c r="AD366" t="e">
        <f>INDEX(#REF!,MATCH($E366,#REF!,0))</f>
        <v>#REF!</v>
      </c>
      <c r="AE366" t="e">
        <f t="shared" si="18"/>
        <v>#REF!</v>
      </c>
    </row>
    <row r="367" spans="2:31" x14ac:dyDescent="0.25">
      <c r="B367" s="45" t="s">
        <v>1672</v>
      </c>
      <c r="C367" s="45" t="s">
        <v>569</v>
      </c>
      <c r="D367" s="89" t="s">
        <v>568</v>
      </c>
      <c r="E367" s="89">
        <v>112223</v>
      </c>
      <c r="F367" s="89">
        <v>1103</v>
      </c>
      <c r="G367" s="90">
        <v>5</v>
      </c>
      <c r="H367" s="90">
        <v>3</v>
      </c>
      <c r="I367" s="90" t="s">
        <v>210</v>
      </c>
      <c r="J367" s="90">
        <v>100</v>
      </c>
      <c r="K367" s="90">
        <v>0</v>
      </c>
      <c r="L367" s="91"/>
      <c r="M367" s="92" t="s">
        <v>2330</v>
      </c>
      <c r="N367" s="93"/>
      <c r="P367" s="21"/>
      <c r="Q367" s="12"/>
      <c r="R367">
        <f t="shared" si="19"/>
        <v>1</v>
      </c>
      <c r="S367" s="21" t="s">
        <v>99</v>
      </c>
      <c r="T367" s="21" t="s">
        <v>99</v>
      </c>
      <c r="W367" t="e">
        <f>INDEX(#REF!,MATCH($E367,#REF!,0))</f>
        <v>#REF!</v>
      </c>
      <c r="X367" t="e">
        <f>INDEX(#REF!,MATCH($E367,#REF!,0))</f>
        <v>#REF!</v>
      </c>
      <c r="Y367" t="e">
        <f>INDEX(#REF!,MATCH($E367,#REF!,0))</f>
        <v>#REF!</v>
      </c>
      <c r="Z367" t="e">
        <f>INDEX(#REF!,MATCH($E367,#REF!,0))</f>
        <v>#REF!</v>
      </c>
      <c r="AA367" t="e">
        <f>INDEX(#REF!,MATCH($E367,#REF!,0))</f>
        <v>#REF!</v>
      </c>
      <c r="AB367" t="e">
        <f>INDEX(#REF!,MATCH($E367,#REF!,0))</f>
        <v>#REF!</v>
      </c>
      <c r="AC367" t="e">
        <f>INDEX(#REF!,MATCH($E367,#REF!,0))</f>
        <v>#REF!</v>
      </c>
      <c r="AD367" t="e">
        <f>INDEX(#REF!,MATCH($E367,#REF!,0))</f>
        <v>#REF!</v>
      </c>
      <c r="AE367" t="e">
        <f t="shared" si="18"/>
        <v>#REF!</v>
      </c>
    </row>
    <row r="368" spans="2:31" x14ac:dyDescent="0.25">
      <c r="B368" s="45" t="s">
        <v>1673</v>
      </c>
      <c r="C368" s="45" t="s">
        <v>571</v>
      </c>
      <c r="D368" s="89" t="s">
        <v>570</v>
      </c>
      <c r="E368" s="89">
        <v>112224</v>
      </c>
      <c r="F368" s="89">
        <v>1103</v>
      </c>
      <c r="G368" s="90">
        <v>6</v>
      </c>
      <c r="H368" s="90">
        <v>3</v>
      </c>
      <c r="I368" s="90" t="s">
        <v>210</v>
      </c>
      <c r="J368" s="90">
        <v>100</v>
      </c>
      <c r="K368" s="90">
        <v>0</v>
      </c>
      <c r="L368" s="91"/>
      <c r="M368" s="92" t="s">
        <v>2331</v>
      </c>
      <c r="N368" s="93"/>
      <c r="P368" s="21"/>
      <c r="Q368" s="12"/>
      <c r="R368">
        <f t="shared" si="19"/>
        <v>1</v>
      </c>
      <c r="S368" s="21" t="s">
        <v>99</v>
      </c>
      <c r="T368" s="21" t="s">
        <v>99</v>
      </c>
      <c r="W368" t="e">
        <f>INDEX(#REF!,MATCH($E368,#REF!,0))</f>
        <v>#REF!</v>
      </c>
      <c r="X368" t="e">
        <f>INDEX(#REF!,MATCH($E368,#REF!,0))</f>
        <v>#REF!</v>
      </c>
      <c r="Y368" t="e">
        <f>INDEX(#REF!,MATCH($E368,#REF!,0))</f>
        <v>#REF!</v>
      </c>
      <c r="Z368" t="e">
        <f>INDEX(#REF!,MATCH($E368,#REF!,0))</f>
        <v>#REF!</v>
      </c>
      <c r="AA368" t="e">
        <f>INDEX(#REF!,MATCH($E368,#REF!,0))</f>
        <v>#REF!</v>
      </c>
      <c r="AB368" t="e">
        <f>INDEX(#REF!,MATCH($E368,#REF!,0))</f>
        <v>#REF!</v>
      </c>
      <c r="AC368" t="e">
        <f>INDEX(#REF!,MATCH($E368,#REF!,0))</f>
        <v>#REF!</v>
      </c>
      <c r="AD368" t="e">
        <f>INDEX(#REF!,MATCH($E368,#REF!,0))</f>
        <v>#REF!</v>
      </c>
      <c r="AE368" t="e">
        <f t="shared" si="18"/>
        <v>#REF!</v>
      </c>
    </row>
    <row r="369" spans="2:31" x14ac:dyDescent="0.25">
      <c r="B369" s="45" t="s">
        <v>1674</v>
      </c>
      <c r="C369" s="45" t="s">
        <v>573</v>
      </c>
      <c r="D369" s="89" t="s">
        <v>572</v>
      </c>
      <c r="E369" s="89">
        <v>112225</v>
      </c>
      <c r="F369" s="89">
        <v>1103</v>
      </c>
      <c r="G369" s="90">
        <v>7</v>
      </c>
      <c r="H369" s="90">
        <v>3</v>
      </c>
      <c r="I369" s="90" t="s">
        <v>210</v>
      </c>
      <c r="J369" s="90">
        <v>100</v>
      </c>
      <c r="K369" s="90">
        <v>0</v>
      </c>
      <c r="L369" s="91"/>
      <c r="M369" s="92" t="s">
        <v>2332</v>
      </c>
      <c r="N369" s="93"/>
      <c r="P369" s="21"/>
      <c r="Q369" s="12"/>
      <c r="R369">
        <f t="shared" si="19"/>
        <v>1</v>
      </c>
      <c r="S369" s="21" t="s">
        <v>99</v>
      </c>
      <c r="T369" s="21" t="s">
        <v>99</v>
      </c>
      <c r="W369" t="e">
        <f>INDEX(#REF!,MATCH($E369,#REF!,0))</f>
        <v>#REF!</v>
      </c>
      <c r="X369" t="e">
        <f>INDEX(#REF!,MATCH($E369,#REF!,0))</f>
        <v>#REF!</v>
      </c>
      <c r="Y369" t="e">
        <f>INDEX(#REF!,MATCH($E369,#REF!,0))</f>
        <v>#REF!</v>
      </c>
      <c r="Z369" t="e">
        <f>INDEX(#REF!,MATCH($E369,#REF!,0))</f>
        <v>#REF!</v>
      </c>
      <c r="AA369" t="e">
        <f>INDEX(#REF!,MATCH($E369,#REF!,0))</f>
        <v>#REF!</v>
      </c>
      <c r="AB369" t="e">
        <f>INDEX(#REF!,MATCH($E369,#REF!,0))</f>
        <v>#REF!</v>
      </c>
      <c r="AC369" t="e">
        <f>INDEX(#REF!,MATCH($E369,#REF!,0))</f>
        <v>#REF!</v>
      </c>
      <c r="AD369" t="e">
        <f>INDEX(#REF!,MATCH($E369,#REF!,0))</f>
        <v>#REF!</v>
      </c>
      <c r="AE369" t="e">
        <f t="shared" si="18"/>
        <v>#REF!</v>
      </c>
    </row>
    <row r="370" spans="2:31" x14ac:dyDescent="0.25">
      <c r="B370" s="45" t="s">
        <v>1675</v>
      </c>
      <c r="C370" s="45" t="s">
        <v>575</v>
      </c>
      <c r="D370" s="89" t="s">
        <v>574</v>
      </c>
      <c r="E370" s="89">
        <v>112226</v>
      </c>
      <c r="F370" s="89">
        <v>1103</v>
      </c>
      <c r="G370" s="90">
        <v>8</v>
      </c>
      <c r="H370" s="90">
        <v>3</v>
      </c>
      <c r="I370" s="90" t="s">
        <v>210</v>
      </c>
      <c r="J370" s="90">
        <v>100</v>
      </c>
      <c r="K370" s="90">
        <v>0</v>
      </c>
      <c r="L370" s="91"/>
      <c r="M370" s="92" t="s">
        <v>2333</v>
      </c>
      <c r="N370" s="93"/>
      <c r="P370" s="21"/>
      <c r="Q370" s="12"/>
      <c r="R370">
        <f t="shared" si="19"/>
        <v>1</v>
      </c>
      <c r="S370" s="21" t="s">
        <v>99</v>
      </c>
      <c r="T370" s="21" t="s">
        <v>99</v>
      </c>
      <c r="W370" t="e">
        <f>INDEX(#REF!,MATCH($E370,#REF!,0))</f>
        <v>#REF!</v>
      </c>
      <c r="X370" t="e">
        <f>INDEX(#REF!,MATCH($E370,#REF!,0))</f>
        <v>#REF!</v>
      </c>
      <c r="Y370" t="e">
        <f>INDEX(#REF!,MATCH($E370,#REF!,0))</f>
        <v>#REF!</v>
      </c>
      <c r="Z370" t="e">
        <f>INDEX(#REF!,MATCH($E370,#REF!,0))</f>
        <v>#REF!</v>
      </c>
      <c r="AA370" t="e">
        <f>INDEX(#REF!,MATCH($E370,#REF!,0))</f>
        <v>#REF!</v>
      </c>
      <c r="AB370" t="e">
        <f>INDEX(#REF!,MATCH($E370,#REF!,0))</f>
        <v>#REF!</v>
      </c>
      <c r="AC370" t="e">
        <f>INDEX(#REF!,MATCH($E370,#REF!,0))</f>
        <v>#REF!</v>
      </c>
      <c r="AD370" t="e">
        <f>INDEX(#REF!,MATCH($E370,#REF!,0))</f>
        <v>#REF!</v>
      </c>
      <c r="AE370" t="e">
        <f t="shared" si="18"/>
        <v>#REF!</v>
      </c>
    </row>
    <row r="371" spans="2:31" x14ac:dyDescent="0.25">
      <c r="B371" s="45" t="s">
        <v>1676</v>
      </c>
      <c r="C371" s="45" t="s">
        <v>577</v>
      </c>
      <c r="D371" s="89" t="s">
        <v>576</v>
      </c>
      <c r="E371" s="89">
        <v>112227</v>
      </c>
      <c r="F371" s="89">
        <v>1103</v>
      </c>
      <c r="G371" s="90">
        <v>9</v>
      </c>
      <c r="H371" s="90">
        <v>3</v>
      </c>
      <c r="I371" s="90" t="s">
        <v>210</v>
      </c>
      <c r="J371" s="90">
        <v>100</v>
      </c>
      <c r="K371" s="90">
        <v>0</v>
      </c>
      <c r="L371" s="91"/>
      <c r="M371" s="92" t="s">
        <v>2334</v>
      </c>
      <c r="N371" s="93"/>
      <c r="P371" s="21"/>
      <c r="Q371" s="12"/>
      <c r="R371">
        <f t="shared" si="19"/>
        <v>1</v>
      </c>
      <c r="S371" s="21" t="s">
        <v>99</v>
      </c>
      <c r="T371" s="21" t="s">
        <v>99</v>
      </c>
      <c r="W371" t="e">
        <f>INDEX(#REF!,MATCH($E371,#REF!,0))</f>
        <v>#REF!</v>
      </c>
      <c r="X371" t="e">
        <f>INDEX(#REF!,MATCH($E371,#REF!,0))</f>
        <v>#REF!</v>
      </c>
      <c r="Y371" t="e">
        <f>INDEX(#REF!,MATCH($E371,#REF!,0))</f>
        <v>#REF!</v>
      </c>
      <c r="Z371" t="e">
        <f>INDEX(#REF!,MATCH($E371,#REF!,0))</f>
        <v>#REF!</v>
      </c>
      <c r="AA371" t="e">
        <f>INDEX(#REF!,MATCH($E371,#REF!,0))</f>
        <v>#REF!</v>
      </c>
      <c r="AB371" t="e">
        <f>INDEX(#REF!,MATCH($E371,#REF!,0))</f>
        <v>#REF!</v>
      </c>
      <c r="AC371" t="e">
        <f>INDEX(#REF!,MATCH($E371,#REF!,0))</f>
        <v>#REF!</v>
      </c>
      <c r="AD371" t="e">
        <f>INDEX(#REF!,MATCH($E371,#REF!,0))</f>
        <v>#REF!</v>
      </c>
      <c r="AE371" t="e">
        <f t="shared" si="18"/>
        <v>#REF!</v>
      </c>
    </row>
    <row r="372" spans="2:31" x14ac:dyDescent="0.25">
      <c r="B372" s="45" t="s">
        <v>1677</v>
      </c>
      <c r="C372" s="45" t="s">
        <v>578</v>
      </c>
      <c r="D372" s="89" t="s">
        <v>1103</v>
      </c>
      <c r="E372" s="89">
        <v>112237</v>
      </c>
      <c r="F372" s="89">
        <v>1103</v>
      </c>
      <c r="G372" s="90">
        <v>12</v>
      </c>
      <c r="H372" s="90">
        <v>3</v>
      </c>
      <c r="I372" s="90" t="s">
        <v>18</v>
      </c>
      <c r="J372" s="90">
        <v>1</v>
      </c>
      <c r="K372" s="90">
        <v>0</v>
      </c>
      <c r="L372" s="91"/>
      <c r="M372" s="92" t="s">
        <v>2335</v>
      </c>
      <c r="N372" s="93"/>
      <c r="P372" s="21"/>
      <c r="Q372" s="12"/>
      <c r="R372">
        <f t="shared" si="19"/>
        <v>1</v>
      </c>
      <c r="S372" s="21" t="s">
        <v>99</v>
      </c>
      <c r="T372" s="21">
        <v>383290</v>
      </c>
      <c r="W372" t="e">
        <f>INDEX(#REF!,MATCH($E372,#REF!,0))</f>
        <v>#REF!</v>
      </c>
      <c r="X372" t="e">
        <f>INDEX(#REF!,MATCH($E372,#REF!,0))</f>
        <v>#REF!</v>
      </c>
      <c r="Y372" t="e">
        <f>INDEX(#REF!,MATCH($E372,#REF!,0))</f>
        <v>#REF!</v>
      </c>
      <c r="Z372" t="e">
        <f>INDEX(#REF!,MATCH($E372,#REF!,0))</f>
        <v>#REF!</v>
      </c>
      <c r="AA372" t="e">
        <f>INDEX(#REF!,MATCH($E372,#REF!,0))</f>
        <v>#REF!</v>
      </c>
      <c r="AB372" t="e">
        <f>INDEX(#REF!,MATCH($E372,#REF!,0))</f>
        <v>#REF!</v>
      </c>
      <c r="AC372" t="e">
        <f>INDEX(#REF!,MATCH($E372,#REF!,0))</f>
        <v>#REF!</v>
      </c>
      <c r="AD372" t="e">
        <f>INDEX(#REF!,MATCH($E372,#REF!,0))</f>
        <v>#REF!</v>
      </c>
      <c r="AE372" t="e">
        <f t="shared" si="18"/>
        <v>#REF!</v>
      </c>
    </row>
    <row r="373" spans="2:31" x14ac:dyDescent="0.25">
      <c r="B373" s="45" t="s">
        <v>1678</v>
      </c>
      <c r="C373" s="45" t="s">
        <v>580</v>
      </c>
      <c r="D373" s="89" t="s">
        <v>579</v>
      </c>
      <c r="E373" s="89">
        <v>112251</v>
      </c>
      <c r="F373" s="89">
        <v>1103</v>
      </c>
      <c r="G373" s="90">
        <v>13</v>
      </c>
      <c r="H373" s="90">
        <v>3</v>
      </c>
      <c r="I373" s="90" t="s">
        <v>210</v>
      </c>
      <c r="J373" s="90">
        <v>100</v>
      </c>
      <c r="K373" s="90">
        <v>0</v>
      </c>
      <c r="L373" s="91"/>
      <c r="M373" s="92" t="s">
        <v>2326</v>
      </c>
      <c r="N373" s="93"/>
      <c r="P373" s="21"/>
      <c r="Q373" s="12"/>
      <c r="R373">
        <f t="shared" si="19"/>
        <v>1</v>
      </c>
      <c r="S373" s="21" t="s">
        <v>99</v>
      </c>
      <c r="T373" s="21" t="s">
        <v>99</v>
      </c>
      <c r="W373" t="e">
        <f>INDEX(#REF!,MATCH($E373,#REF!,0))</f>
        <v>#REF!</v>
      </c>
      <c r="X373" t="e">
        <f>INDEX(#REF!,MATCH($E373,#REF!,0))</f>
        <v>#REF!</v>
      </c>
      <c r="Y373" t="e">
        <f>INDEX(#REF!,MATCH($E373,#REF!,0))</f>
        <v>#REF!</v>
      </c>
      <c r="Z373" t="e">
        <f>INDEX(#REF!,MATCH($E373,#REF!,0))</f>
        <v>#REF!</v>
      </c>
      <c r="AA373" t="e">
        <f>INDEX(#REF!,MATCH($E373,#REF!,0))</f>
        <v>#REF!</v>
      </c>
      <c r="AB373" t="e">
        <f>INDEX(#REF!,MATCH($E373,#REF!,0))</f>
        <v>#REF!</v>
      </c>
      <c r="AC373" t="e">
        <f>INDEX(#REF!,MATCH($E373,#REF!,0))</f>
        <v>#REF!</v>
      </c>
      <c r="AD373" t="e">
        <f>INDEX(#REF!,MATCH($E373,#REF!,0))</f>
        <v>#REF!</v>
      </c>
      <c r="AE373" t="e">
        <f t="shared" si="18"/>
        <v>#REF!</v>
      </c>
    </row>
    <row r="374" spans="2:31" x14ac:dyDescent="0.25">
      <c r="B374" s="45" t="s">
        <v>1679</v>
      </c>
      <c r="C374" s="45" t="s">
        <v>582</v>
      </c>
      <c r="D374" s="89" t="s">
        <v>581</v>
      </c>
      <c r="E374" s="89">
        <v>112252</v>
      </c>
      <c r="F374" s="89">
        <v>1103</v>
      </c>
      <c r="G374" s="90">
        <v>14</v>
      </c>
      <c r="H374" s="90">
        <v>3</v>
      </c>
      <c r="I374" s="90" t="s">
        <v>210</v>
      </c>
      <c r="J374" s="90">
        <v>100</v>
      </c>
      <c r="K374" s="90">
        <v>0</v>
      </c>
      <c r="L374" s="91"/>
      <c r="M374" s="92" t="s">
        <v>2326</v>
      </c>
      <c r="N374" s="93"/>
      <c r="P374" s="21"/>
      <c r="Q374" s="12"/>
      <c r="R374">
        <f t="shared" si="19"/>
        <v>1</v>
      </c>
      <c r="S374" s="21" t="s">
        <v>99</v>
      </c>
      <c r="T374" s="21" t="s">
        <v>99</v>
      </c>
      <c r="W374" t="e">
        <f>INDEX(#REF!,MATCH($E374,#REF!,0))</f>
        <v>#REF!</v>
      </c>
      <c r="X374" t="e">
        <f>INDEX(#REF!,MATCH($E374,#REF!,0))</f>
        <v>#REF!</v>
      </c>
      <c r="Y374" t="e">
        <f>INDEX(#REF!,MATCH($E374,#REF!,0))</f>
        <v>#REF!</v>
      </c>
      <c r="Z374" t="e">
        <f>INDEX(#REF!,MATCH($E374,#REF!,0))</f>
        <v>#REF!</v>
      </c>
      <c r="AA374" t="e">
        <f>INDEX(#REF!,MATCH($E374,#REF!,0))</f>
        <v>#REF!</v>
      </c>
      <c r="AB374" t="e">
        <f>INDEX(#REF!,MATCH($E374,#REF!,0))</f>
        <v>#REF!</v>
      </c>
      <c r="AC374" t="e">
        <f>INDEX(#REF!,MATCH($E374,#REF!,0))</f>
        <v>#REF!</v>
      </c>
      <c r="AD374" t="e">
        <f>INDEX(#REF!,MATCH($E374,#REF!,0))</f>
        <v>#REF!</v>
      </c>
      <c r="AE374" t="e">
        <f t="shared" si="18"/>
        <v>#REF!</v>
      </c>
    </row>
    <row r="375" spans="2:31" x14ac:dyDescent="0.25">
      <c r="B375" s="45" t="s">
        <v>1680</v>
      </c>
      <c r="C375" s="45" t="s">
        <v>584</v>
      </c>
      <c r="D375" s="89" t="s">
        <v>583</v>
      </c>
      <c r="E375" s="89">
        <v>112253</v>
      </c>
      <c r="F375" s="89">
        <v>1089</v>
      </c>
      <c r="G375" s="90">
        <v>15</v>
      </c>
      <c r="H375" s="90">
        <v>3</v>
      </c>
      <c r="I375" s="90" t="s">
        <v>210</v>
      </c>
      <c r="J375" s="90">
        <v>100</v>
      </c>
      <c r="K375" s="90">
        <v>0</v>
      </c>
      <c r="L375" s="91"/>
      <c r="M375" s="92" t="s">
        <v>2326</v>
      </c>
      <c r="N375" s="93"/>
      <c r="P375" s="21"/>
      <c r="Q375" s="12"/>
      <c r="R375">
        <f t="shared" si="19"/>
        <v>1</v>
      </c>
      <c r="S375" s="21" t="s">
        <v>99</v>
      </c>
      <c r="T375" s="21" t="s">
        <v>99</v>
      </c>
      <c r="W375" t="e">
        <f>INDEX(#REF!,MATCH($E375,#REF!,0))</f>
        <v>#REF!</v>
      </c>
      <c r="X375" t="e">
        <f>INDEX(#REF!,MATCH($E375,#REF!,0))</f>
        <v>#REF!</v>
      </c>
      <c r="Y375" t="e">
        <f>INDEX(#REF!,MATCH($E375,#REF!,0))</f>
        <v>#REF!</v>
      </c>
      <c r="Z375" t="e">
        <f>INDEX(#REF!,MATCH($E375,#REF!,0))</f>
        <v>#REF!</v>
      </c>
      <c r="AA375" t="e">
        <f>INDEX(#REF!,MATCH($E375,#REF!,0))</f>
        <v>#REF!</v>
      </c>
      <c r="AB375" t="e">
        <f>INDEX(#REF!,MATCH($E375,#REF!,0))</f>
        <v>#REF!</v>
      </c>
      <c r="AC375" t="e">
        <f>INDEX(#REF!,MATCH($E375,#REF!,0))</f>
        <v>#REF!</v>
      </c>
      <c r="AD375" t="e">
        <f>INDEX(#REF!,MATCH($E375,#REF!,0))</f>
        <v>#REF!</v>
      </c>
      <c r="AE375" t="e">
        <f t="shared" si="18"/>
        <v>#REF!</v>
      </c>
    </row>
    <row r="376" spans="2:31" x14ac:dyDescent="0.25">
      <c r="B376" s="45" t="s">
        <v>1681</v>
      </c>
      <c r="C376" s="45" t="s">
        <v>586</v>
      </c>
      <c r="D376" s="89" t="s">
        <v>585</v>
      </c>
      <c r="E376" s="89">
        <v>112254</v>
      </c>
      <c r="F376" s="89">
        <v>1089</v>
      </c>
      <c r="G376" s="90">
        <v>16</v>
      </c>
      <c r="H376" s="90">
        <v>3</v>
      </c>
      <c r="I376" s="90" t="s">
        <v>210</v>
      </c>
      <c r="J376" s="90">
        <v>100</v>
      </c>
      <c r="K376" s="90">
        <v>0</v>
      </c>
      <c r="L376" s="91"/>
      <c r="M376" s="92" t="s">
        <v>2326</v>
      </c>
      <c r="N376" s="93"/>
      <c r="P376" s="21"/>
      <c r="Q376" s="12"/>
      <c r="R376">
        <f t="shared" si="19"/>
        <v>1</v>
      </c>
      <c r="S376" s="21" t="s">
        <v>99</v>
      </c>
      <c r="T376" s="21" t="s">
        <v>99</v>
      </c>
      <c r="W376" t="e">
        <f>INDEX(#REF!,MATCH($E376,#REF!,0))</f>
        <v>#REF!</v>
      </c>
      <c r="X376" t="e">
        <f>INDEX(#REF!,MATCH($E376,#REF!,0))</f>
        <v>#REF!</v>
      </c>
      <c r="Y376" t="e">
        <f>INDEX(#REF!,MATCH($E376,#REF!,0))</f>
        <v>#REF!</v>
      </c>
      <c r="Z376" t="e">
        <f>INDEX(#REF!,MATCH($E376,#REF!,0))</f>
        <v>#REF!</v>
      </c>
      <c r="AA376" t="e">
        <f>INDEX(#REF!,MATCH($E376,#REF!,0))</f>
        <v>#REF!</v>
      </c>
      <c r="AB376" t="e">
        <f>INDEX(#REF!,MATCH($E376,#REF!,0))</f>
        <v>#REF!</v>
      </c>
      <c r="AC376" t="e">
        <f>INDEX(#REF!,MATCH($E376,#REF!,0))</f>
        <v>#REF!</v>
      </c>
      <c r="AD376" t="e">
        <f>INDEX(#REF!,MATCH($E376,#REF!,0))</f>
        <v>#REF!</v>
      </c>
      <c r="AE376" t="e">
        <f t="shared" si="18"/>
        <v>#REF!</v>
      </c>
    </row>
    <row r="377" spans="2:31" x14ac:dyDescent="0.25">
      <c r="B377" s="45" t="s">
        <v>1682</v>
      </c>
      <c r="C377" s="45" t="s">
        <v>588</v>
      </c>
      <c r="D377" s="89" t="s">
        <v>587</v>
      </c>
      <c r="E377" s="89">
        <v>112255</v>
      </c>
      <c r="F377" s="89">
        <v>1089</v>
      </c>
      <c r="G377" s="90">
        <v>17</v>
      </c>
      <c r="H377" s="90">
        <v>3</v>
      </c>
      <c r="I377" s="90" t="s">
        <v>210</v>
      </c>
      <c r="J377" s="90">
        <v>100</v>
      </c>
      <c r="K377" s="90">
        <v>0</v>
      </c>
      <c r="L377" s="91"/>
      <c r="M377" s="92" t="s">
        <v>1203</v>
      </c>
      <c r="N377" s="93"/>
      <c r="P377" s="21"/>
      <c r="Q377" s="12"/>
      <c r="R377">
        <f t="shared" si="19"/>
        <v>1</v>
      </c>
      <c r="S377" s="21" t="s">
        <v>99</v>
      </c>
      <c r="T377" s="21" t="s">
        <v>99</v>
      </c>
      <c r="W377" t="e">
        <f>INDEX(#REF!,MATCH($E377,#REF!,0))</f>
        <v>#REF!</v>
      </c>
      <c r="X377" t="e">
        <f>INDEX(#REF!,MATCH($E377,#REF!,0))</f>
        <v>#REF!</v>
      </c>
      <c r="Y377" t="e">
        <f>INDEX(#REF!,MATCH($E377,#REF!,0))</f>
        <v>#REF!</v>
      </c>
      <c r="Z377" t="e">
        <f>INDEX(#REF!,MATCH($E377,#REF!,0))</f>
        <v>#REF!</v>
      </c>
      <c r="AA377" t="e">
        <f>INDEX(#REF!,MATCH($E377,#REF!,0))</f>
        <v>#REF!</v>
      </c>
      <c r="AB377" t="e">
        <f>INDEX(#REF!,MATCH($E377,#REF!,0))</f>
        <v>#REF!</v>
      </c>
      <c r="AC377" t="e">
        <f>INDEX(#REF!,MATCH($E377,#REF!,0))</f>
        <v>#REF!</v>
      </c>
      <c r="AD377" t="e">
        <f>INDEX(#REF!,MATCH($E377,#REF!,0))</f>
        <v>#REF!</v>
      </c>
      <c r="AE377" t="e">
        <f t="shared" si="18"/>
        <v>#REF!</v>
      </c>
    </row>
    <row r="378" spans="2:31" x14ac:dyDescent="0.25">
      <c r="B378" s="45" t="s">
        <v>1683</v>
      </c>
      <c r="C378" s="45" t="s">
        <v>590</v>
      </c>
      <c r="D378" s="89" t="s">
        <v>589</v>
      </c>
      <c r="E378" s="89">
        <v>112256</v>
      </c>
      <c r="F378" s="89">
        <v>1089</v>
      </c>
      <c r="G378" s="90">
        <v>18</v>
      </c>
      <c r="H378" s="90">
        <v>3</v>
      </c>
      <c r="I378" s="90" t="s">
        <v>210</v>
      </c>
      <c r="J378" s="90">
        <v>100</v>
      </c>
      <c r="K378" s="90">
        <v>0</v>
      </c>
      <c r="L378" s="91"/>
      <c r="M378" s="92" t="s">
        <v>2336</v>
      </c>
      <c r="N378" s="93"/>
      <c r="P378" s="21"/>
      <c r="Q378" s="12"/>
      <c r="R378">
        <f t="shared" si="19"/>
        <v>1</v>
      </c>
      <c r="S378" s="21" t="s">
        <v>99</v>
      </c>
      <c r="T378" s="21" t="s">
        <v>99</v>
      </c>
      <c r="W378" t="e">
        <f>INDEX(#REF!,MATCH($E378,#REF!,0))</f>
        <v>#REF!</v>
      </c>
      <c r="X378" t="e">
        <f>INDEX(#REF!,MATCH($E378,#REF!,0))</f>
        <v>#REF!</v>
      </c>
      <c r="Y378" t="e">
        <f>INDEX(#REF!,MATCH($E378,#REF!,0))</f>
        <v>#REF!</v>
      </c>
      <c r="Z378" t="e">
        <f>INDEX(#REF!,MATCH($E378,#REF!,0))</f>
        <v>#REF!</v>
      </c>
      <c r="AA378" t="e">
        <f>INDEX(#REF!,MATCH($E378,#REF!,0))</f>
        <v>#REF!</v>
      </c>
      <c r="AB378" t="e">
        <f>INDEX(#REF!,MATCH($E378,#REF!,0))</f>
        <v>#REF!</v>
      </c>
      <c r="AC378" t="e">
        <f>INDEX(#REF!,MATCH($E378,#REF!,0))</f>
        <v>#REF!</v>
      </c>
      <c r="AD378" t="e">
        <f>INDEX(#REF!,MATCH($E378,#REF!,0))</f>
        <v>#REF!</v>
      </c>
      <c r="AE378" t="e">
        <f t="shared" si="18"/>
        <v>#REF!</v>
      </c>
    </row>
    <row r="379" spans="2:31" x14ac:dyDescent="0.25">
      <c r="B379" s="45" t="s">
        <v>1684</v>
      </c>
      <c r="C379" s="45" t="s">
        <v>592</v>
      </c>
      <c r="D379" s="89" t="s">
        <v>591</v>
      </c>
      <c r="E379" s="89">
        <v>112257</v>
      </c>
      <c r="F379" s="89">
        <v>1089</v>
      </c>
      <c r="G379" s="90">
        <v>19</v>
      </c>
      <c r="H379" s="90">
        <v>3</v>
      </c>
      <c r="I379" s="90" t="s">
        <v>210</v>
      </c>
      <c r="J379" s="90">
        <v>100</v>
      </c>
      <c r="K379" s="90">
        <v>0</v>
      </c>
      <c r="L379" s="91"/>
      <c r="M379" s="92" t="s">
        <v>1204</v>
      </c>
      <c r="N379" s="93"/>
      <c r="P379" s="21"/>
      <c r="Q379" s="12"/>
      <c r="R379">
        <f t="shared" si="19"/>
        <v>1</v>
      </c>
      <c r="S379" s="21" t="s">
        <v>99</v>
      </c>
      <c r="T379" s="21" t="s">
        <v>99</v>
      </c>
      <c r="W379" t="e">
        <f>INDEX(#REF!,MATCH($E379,#REF!,0))</f>
        <v>#REF!</v>
      </c>
      <c r="X379" t="e">
        <f>INDEX(#REF!,MATCH($E379,#REF!,0))</f>
        <v>#REF!</v>
      </c>
      <c r="Y379" t="e">
        <f>INDEX(#REF!,MATCH($E379,#REF!,0))</f>
        <v>#REF!</v>
      </c>
      <c r="Z379" t="e">
        <f>INDEX(#REF!,MATCH($E379,#REF!,0))</f>
        <v>#REF!</v>
      </c>
      <c r="AA379" t="e">
        <f>INDEX(#REF!,MATCH($E379,#REF!,0))</f>
        <v>#REF!</v>
      </c>
      <c r="AB379" t="e">
        <f>INDEX(#REF!,MATCH($E379,#REF!,0))</f>
        <v>#REF!</v>
      </c>
      <c r="AC379" t="e">
        <f>INDEX(#REF!,MATCH($E379,#REF!,0))</f>
        <v>#REF!</v>
      </c>
      <c r="AD379" t="e">
        <f>INDEX(#REF!,MATCH($E379,#REF!,0))</f>
        <v>#REF!</v>
      </c>
      <c r="AE379" t="e">
        <f t="shared" si="18"/>
        <v>#REF!</v>
      </c>
    </row>
    <row r="380" spans="2:31" x14ac:dyDescent="0.25">
      <c r="B380" s="45" t="s">
        <v>1685</v>
      </c>
      <c r="C380" s="45" t="s">
        <v>594</v>
      </c>
      <c r="D380" s="89" t="s">
        <v>593</v>
      </c>
      <c r="E380" s="89">
        <v>112258</v>
      </c>
      <c r="F380" s="89">
        <v>1089</v>
      </c>
      <c r="G380" s="90">
        <v>20</v>
      </c>
      <c r="H380" s="90">
        <v>3</v>
      </c>
      <c r="I380" s="90" t="s">
        <v>210</v>
      </c>
      <c r="J380" s="90">
        <v>100</v>
      </c>
      <c r="K380" s="90">
        <v>0</v>
      </c>
      <c r="L380" s="91"/>
      <c r="M380" s="92" t="s">
        <v>1205</v>
      </c>
      <c r="N380" s="93"/>
      <c r="P380" s="21"/>
      <c r="Q380" s="12"/>
      <c r="R380">
        <f t="shared" si="19"/>
        <v>1</v>
      </c>
      <c r="S380" s="21" t="s">
        <v>99</v>
      </c>
      <c r="T380" s="21" t="s">
        <v>99</v>
      </c>
      <c r="W380" t="e">
        <f>INDEX(#REF!,MATCH($E380,#REF!,0))</f>
        <v>#REF!</v>
      </c>
      <c r="X380" t="e">
        <f>INDEX(#REF!,MATCH($E380,#REF!,0))</f>
        <v>#REF!</v>
      </c>
      <c r="Y380" t="e">
        <f>INDEX(#REF!,MATCH($E380,#REF!,0))</f>
        <v>#REF!</v>
      </c>
      <c r="Z380" t="e">
        <f>INDEX(#REF!,MATCH($E380,#REF!,0))</f>
        <v>#REF!</v>
      </c>
      <c r="AA380" t="e">
        <f>INDEX(#REF!,MATCH($E380,#REF!,0))</f>
        <v>#REF!</v>
      </c>
      <c r="AB380" t="e">
        <f>INDEX(#REF!,MATCH($E380,#REF!,0))</f>
        <v>#REF!</v>
      </c>
      <c r="AC380" t="e">
        <f>INDEX(#REF!,MATCH($E380,#REF!,0))</f>
        <v>#REF!</v>
      </c>
      <c r="AD380" t="e">
        <f>INDEX(#REF!,MATCH($E380,#REF!,0))</f>
        <v>#REF!</v>
      </c>
      <c r="AE380" t="e">
        <f t="shared" si="18"/>
        <v>#REF!</v>
      </c>
    </row>
    <row r="381" spans="2:31" x14ac:dyDescent="0.25">
      <c r="B381" s="45" t="s">
        <v>1686</v>
      </c>
      <c r="C381" s="45" t="s">
        <v>596</v>
      </c>
      <c r="D381" s="89" t="s">
        <v>595</v>
      </c>
      <c r="E381" s="89">
        <v>112259</v>
      </c>
      <c r="F381" s="89">
        <v>1089</v>
      </c>
      <c r="G381" s="90">
        <v>21</v>
      </c>
      <c r="H381" s="90">
        <v>3</v>
      </c>
      <c r="I381" s="90" t="s">
        <v>210</v>
      </c>
      <c r="J381" s="90">
        <v>100</v>
      </c>
      <c r="K381" s="90">
        <v>0</v>
      </c>
      <c r="L381" s="91"/>
      <c r="M381" s="92" t="s">
        <v>2273</v>
      </c>
      <c r="N381" s="93"/>
      <c r="P381" s="21"/>
      <c r="Q381" s="12"/>
      <c r="R381">
        <f t="shared" si="19"/>
        <v>1</v>
      </c>
      <c r="S381" s="21" t="s">
        <v>99</v>
      </c>
      <c r="T381" s="21" t="s">
        <v>99</v>
      </c>
      <c r="W381" t="e">
        <f>INDEX(#REF!,MATCH($E381,#REF!,0))</f>
        <v>#REF!</v>
      </c>
      <c r="X381" t="e">
        <f>INDEX(#REF!,MATCH($E381,#REF!,0))</f>
        <v>#REF!</v>
      </c>
      <c r="Y381" t="e">
        <f>INDEX(#REF!,MATCH($E381,#REF!,0))</f>
        <v>#REF!</v>
      </c>
      <c r="Z381" t="e">
        <f>INDEX(#REF!,MATCH($E381,#REF!,0))</f>
        <v>#REF!</v>
      </c>
      <c r="AA381" t="e">
        <f>INDEX(#REF!,MATCH($E381,#REF!,0))</f>
        <v>#REF!</v>
      </c>
      <c r="AB381" t="e">
        <f>INDEX(#REF!,MATCH($E381,#REF!,0))</f>
        <v>#REF!</v>
      </c>
      <c r="AC381" t="e">
        <f>INDEX(#REF!,MATCH($E381,#REF!,0))</f>
        <v>#REF!</v>
      </c>
      <c r="AD381" t="e">
        <f>INDEX(#REF!,MATCH($E381,#REF!,0))</f>
        <v>#REF!</v>
      </c>
      <c r="AE381" t="e">
        <f t="shared" si="18"/>
        <v>#REF!</v>
      </c>
    </row>
    <row r="382" spans="2:31" x14ac:dyDescent="0.25">
      <c r="B382" s="45" t="s">
        <v>1687</v>
      </c>
      <c r="C382" s="45" t="s">
        <v>598</v>
      </c>
      <c r="D382" s="89" t="s">
        <v>597</v>
      </c>
      <c r="E382" s="89">
        <v>112260</v>
      </c>
      <c r="F382" s="89">
        <v>1089</v>
      </c>
      <c r="G382" s="90">
        <v>22</v>
      </c>
      <c r="H382" s="90">
        <v>3</v>
      </c>
      <c r="I382" s="90" t="s">
        <v>210</v>
      </c>
      <c r="J382" s="90">
        <v>100</v>
      </c>
      <c r="K382" s="90">
        <v>0</v>
      </c>
      <c r="L382" s="91"/>
      <c r="M382" s="92" t="s">
        <v>1206</v>
      </c>
      <c r="N382" s="93"/>
      <c r="P382" s="21"/>
      <c r="Q382" s="12"/>
      <c r="R382">
        <f t="shared" si="19"/>
        <v>1</v>
      </c>
      <c r="S382" s="21" t="s">
        <v>99</v>
      </c>
      <c r="T382" s="21" t="s">
        <v>99</v>
      </c>
      <c r="W382" t="e">
        <f>INDEX(#REF!,MATCH($E382,#REF!,0))</f>
        <v>#REF!</v>
      </c>
      <c r="X382" t="e">
        <f>INDEX(#REF!,MATCH($E382,#REF!,0))</f>
        <v>#REF!</v>
      </c>
      <c r="Y382" t="e">
        <f>INDEX(#REF!,MATCH($E382,#REF!,0))</f>
        <v>#REF!</v>
      </c>
      <c r="Z382" t="e">
        <f>INDEX(#REF!,MATCH($E382,#REF!,0))</f>
        <v>#REF!</v>
      </c>
      <c r="AA382" t="e">
        <f>INDEX(#REF!,MATCH($E382,#REF!,0))</f>
        <v>#REF!</v>
      </c>
      <c r="AB382" t="e">
        <f>INDEX(#REF!,MATCH($E382,#REF!,0))</f>
        <v>#REF!</v>
      </c>
      <c r="AC382" t="e">
        <f>INDEX(#REF!,MATCH($E382,#REF!,0))</f>
        <v>#REF!</v>
      </c>
      <c r="AD382" t="e">
        <f>INDEX(#REF!,MATCH($E382,#REF!,0))</f>
        <v>#REF!</v>
      </c>
      <c r="AE382" t="e">
        <f t="shared" si="18"/>
        <v>#REF!</v>
      </c>
    </row>
    <row r="383" spans="2:31" ht="45" x14ac:dyDescent="0.25">
      <c r="B383" s="45" t="s">
        <v>1688</v>
      </c>
      <c r="C383" s="45" t="s">
        <v>600</v>
      </c>
      <c r="D383" s="89" t="s">
        <v>599</v>
      </c>
      <c r="E383" s="89">
        <v>112261</v>
      </c>
      <c r="F383" s="89">
        <v>1089</v>
      </c>
      <c r="G383" s="90">
        <v>23</v>
      </c>
      <c r="H383" s="90">
        <v>3</v>
      </c>
      <c r="I383" s="90" t="s">
        <v>210</v>
      </c>
      <c r="J383" s="90">
        <v>100</v>
      </c>
      <c r="K383" s="90">
        <v>0</v>
      </c>
      <c r="L383" s="91"/>
      <c r="M383" s="92" t="s">
        <v>2274</v>
      </c>
      <c r="N383" s="93"/>
      <c r="P383" s="21"/>
      <c r="Q383" s="12"/>
      <c r="R383">
        <f t="shared" si="19"/>
        <v>1</v>
      </c>
      <c r="S383" s="21" t="s">
        <v>99</v>
      </c>
      <c r="T383" s="21" t="s">
        <v>99</v>
      </c>
      <c r="W383" t="e">
        <f>INDEX(#REF!,MATCH($E383,#REF!,0))</f>
        <v>#REF!</v>
      </c>
      <c r="X383" t="e">
        <f>INDEX(#REF!,MATCH($E383,#REF!,0))</f>
        <v>#REF!</v>
      </c>
      <c r="Y383" t="e">
        <f>INDEX(#REF!,MATCH($E383,#REF!,0))</f>
        <v>#REF!</v>
      </c>
      <c r="Z383" t="e">
        <f>INDEX(#REF!,MATCH($E383,#REF!,0))</f>
        <v>#REF!</v>
      </c>
      <c r="AA383" t="e">
        <f>INDEX(#REF!,MATCH($E383,#REF!,0))</f>
        <v>#REF!</v>
      </c>
      <c r="AB383" t="e">
        <f>INDEX(#REF!,MATCH($E383,#REF!,0))</f>
        <v>#REF!</v>
      </c>
      <c r="AC383" t="e">
        <f>INDEX(#REF!,MATCH($E383,#REF!,0))</f>
        <v>#REF!</v>
      </c>
      <c r="AD383" t="e">
        <f>INDEX(#REF!,MATCH($E383,#REF!,0))</f>
        <v>#REF!</v>
      </c>
      <c r="AE383" t="e">
        <f t="shared" si="18"/>
        <v>#REF!</v>
      </c>
    </row>
    <row r="384" spans="2:31" x14ac:dyDescent="0.25">
      <c r="B384" s="45" t="s">
        <v>1689</v>
      </c>
      <c r="C384" s="45" t="s">
        <v>602</v>
      </c>
      <c r="D384" s="89" t="s">
        <v>601</v>
      </c>
      <c r="E384" s="89">
        <v>112270</v>
      </c>
      <c r="F384" s="89">
        <v>1089</v>
      </c>
      <c r="G384" s="90">
        <v>24</v>
      </c>
      <c r="H384" s="90">
        <v>3</v>
      </c>
      <c r="I384" s="90" t="s">
        <v>210</v>
      </c>
      <c r="J384" s="90">
        <v>100</v>
      </c>
      <c r="K384" s="90">
        <v>0</v>
      </c>
      <c r="L384" s="91"/>
      <c r="M384" s="92" t="s">
        <v>2337</v>
      </c>
      <c r="N384" s="93"/>
      <c r="P384" s="21"/>
      <c r="Q384" s="12"/>
      <c r="R384">
        <f t="shared" si="19"/>
        <v>1</v>
      </c>
      <c r="S384" s="21" t="s">
        <v>99</v>
      </c>
      <c r="T384" s="21" t="s">
        <v>99</v>
      </c>
      <c r="W384" t="e">
        <f>INDEX(#REF!,MATCH($E384,#REF!,0))</f>
        <v>#REF!</v>
      </c>
      <c r="X384" t="e">
        <f>INDEX(#REF!,MATCH($E384,#REF!,0))</f>
        <v>#REF!</v>
      </c>
      <c r="Y384" t="e">
        <f>INDEX(#REF!,MATCH($E384,#REF!,0))</f>
        <v>#REF!</v>
      </c>
      <c r="Z384" t="e">
        <f>INDEX(#REF!,MATCH($E384,#REF!,0))</f>
        <v>#REF!</v>
      </c>
      <c r="AA384" t="e">
        <f>INDEX(#REF!,MATCH($E384,#REF!,0))</f>
        <v>#REF!</v>
      </c>
      <c r="AB384" t="e">
        <f>INDEX(#REF!,MATCH($E384,#REF!,0))</f>
        <v>#REF!</v>
      </c>
      <c r="AC384" t="e">
        <f>INDEX(#REF!,MATCH($E384,#REF!,0))</f>
        <v>#REF!</v>
      </c>
      <c r="AD384" t="e">
        <f>INDEX(#REF!,MATCH($E384,#REF!,0))</f>
        <v>#REF!</v>
      </c>
      <c r="AE384" t="e">
        <f t="shared" si="18"/>
        <v>#REF!</v>
      </c>
    </row>
    <row r="385" spans="2:31" x14ac:dyDescent="0.25">
      <c r="B385" s="45" t="s">
        <v>1690</v>
      </c>
      <c r="C385" s="45" t="s">
        <v>604</v>
      </c>
      <c r="D385" s="89" t="s">
        <v>603</v>
      </c>
      <c r="E385" s="89">
        <v>112271</v>
      </c>
      <c r="F385" s="89">
        <v>1102</v>
      </c>
      <c r="G385" s="90">
        <v>0</v>
      </c>
      <c r="H385" s="90">
        <v>3</v>
      </c>
      <c r="I385" s="90" t="s">
        <v>210</v>
      </c>
      <c r="J385" s="90">
        <v>100</v>
      </c>
      <c r="K385" s="90">
        <v>0</v>
      </c>
      <c r="L385" s="91"/>
      <c r="M385" s="92" t="s">
        <v>2338</v>
      </c>
      <c r="N385" s="93"/>
      <c r="P385" s="21"/>
      <c r="Q385" s="12"/>
      <c r="R385">
        <f t="shared" si="19"/>
        <v>1</v>
      </c>
      <c r="S385" s="21" t="s">
        <v>99</v>
      </c>
      <c r="T385" s="21" t="s">
        <v>99</v>
      </c>
      <c r="W385" t="e">
        <f>INDEX(#REF!,MATCH($E385,#REF!,0))</f>
        <v>#REF!</v>
      </c>
      <c r="X385" t="e">
        <f>INDEX(#REF!,MATCH($E385,#REF!,0))</f>
        <v>#REF!</v>
      </c>
      <c r="Y385" t="e">
        <f>INDEX(#REF!,MATCH($E385,#REF!,0))</f>
        <v>#REF!</v>
      </c>
      <c r="Z385" t="e">
        <f>INDEX(#REF!,MATCH($E385,#REF!,0))</f>
        <v>#REF!</v>
      </c>
      <c r="AA385" t="e">
        <f>INDEX(#REF!,MATCH($E385,#REF!,0))</f>
        <v>#REF!</v>
      </c>
      <c r="AB385" t="e">
        <f>INDEX(#REF!,MATCH($E385,#REF!,0))</f>
        <v>#REF!</v>
      </c>
      <c r="AC385" t="e">
        <f>INDEX(#REF!,MATCH($E385,#REF!,0))</f>
        <v>#REF!</v>
      </c>
      <c r="AD385" t="e">
        <f>INDEX(#REF!,MATCH($E385,#REF!,0))</f>
        <v>#REF!</v>
      </c>
      <c r="AE385" t="e">
        <f t="shared" si="18"/>
        <v>#REF!</v>
      </c>
    </row>
    <row r="386" spans="2:31" x14ac:dyDescent="0.25">
      <c r="B386" s="45" t="s">
        <v>1691</v>
      </c>
      <c r="C386" s="45" t="s">
        <v>605</v>
      </c>
      <c r="D386" s="89" t="s">
        <v>1957</v>
      </c>
      <c r="E386" s="89">
        <v>112272</v>
      </c>
      <c r="F386" s="89">
        <v>1102</v>
      </c>
      <c r="G386" s="90">
        <v>1</v>
      </c>
      <c r="H386" s="90">
        <v>3</v>
      </c>
      <c r="I386" s="90" t="s">
        <v>26</v>
      </c>
      <c r="J386" s="90">
        <v>1</v>
      </c>
      <c r="K386" s="90" t="s">
        <v>2509</v>
      </c>
      <c r="L386" s="91">
        <v>6233</v>
      </c>
      <c r="M386" s="92" t="s">
        <v>2326</v>
      </c>
      <c r="N386" s="93"/>
      <c r="P386" s="21"/>
      <c r="Q386" s="12"/>
      <c r="R386">
        <f t="shared" si="19"/>
        <v>1</v>
      </c>
      <c r="S386" s="21" t="s">
        <v>99</v>
      </c>
      <c r="T386" s="21" t="s">
        <v>99</v>
      </c>
      <c r="W386" t="e">
        <f>INDEX(#REF!,MATCH($E386,#REF!,0))</f>
        <v>#REF!</v>
      </c>
      <c r="X386" t="e">
        <f>INDEX(#REF!,MATCH($E386,#REF!,0))</f>
        <v>#REF!</v>
      </c>
      <c r="Y386" t="e">
        <f>INDEX(#REF!,MATCH($E386,#REF!,0))</f>
        <v>#REF!</v>
      </c>
      <c r="Z386" t="e">
        <f>INDEX(#REF!,MATCH($E386,#REF!,0))</f>
        <v>#REF!</v>
      </c>
      <c r="AA386" t="e">
        <f>INDEX(#REF!,MATCH($E386,#REF!,0))</f>
        <v>#REF!</v>
      </c>
      <c r="AB386" t="e">
        <f>INDEX(#REF!,MATCH($E386,#REF!,0))</f>
        <v>#REF!</v>
      </c>
      <c r="AC386" t="e">
        <f>INDEX(#REF!,MATCH($E386,#REF!,0))</f>
        <v>#REF!</v>
      </c>
      <c r="AD386" t="e">
        <f>INDEX(#REF!,MATCH($E386,#REF!,0))</f>
        <v>#REF!</v>
      </c>
      <c r="AE386" t="e">
        <f t="shared" si="18"/>
        <v>#REF!</v>
      </c>
    </row>
    <row r="387" spans="2:31" x14ac:dyDescent="0.25">
      <c r="B387" s="45" t="s">
        <v>1692</v>
      </c>
      <c r="C387" s="45" t="s">
        <v>607</v>
      </c>
      <c r="D387" s="89" t="s">
        <v>606</v>
      </c>
      <c r="E387" s="89">
        <v>112274</v>
      </c>
      <c r="F387" s="89">
        <v>1102</v>
      </c>
      <c r="G387" s="90">
        <v>3</v>
      </c>
      <c r="H387" s="90">
        <v>3</v>
      </c>
      <c r="I387" s="90" t="s">
        <v>210</v>
      </c>
      <c r="J387" s="90">
        <v>100</v>
      </c>
      <c r="K387" s="90">
        <v>0</v>
      </c>
      <c r="L387" s="91"/>
      <c r="M387" s="92" t="s">
        <v>2326</v>
      </c>
      <c r="N387" s="93"/>
      <c r="P387" s="21"/>
      <c r="Q387" s="12"/>
      <c r="R387">
        <f t="shared" si="19"/>
        <v>1</v>
      </c>
      <c r="S387" s="21" t="s">
        <v>99</v>
      </c>
      <c r="T387" s="21" t="s">
        <v>99</v>
      </c>
      <c r="W387" t="e">
        <f>INDEX(#REF!,MATCH($E387,#REF!,0))</f>
        <v>#REF!</v>
      </c>
      <c r="X387" t="e">
        <f>INDEX(#REF!,MATCH($E387,#REF!,0))</f>
        <v>#REF!</v>
      </c>
      <c r="Y387" t="e">
        <f>INDEX(#REF!,MATCH($E387,#REF!,0))</f>
        <v>#REF!</v>
      </c>
      <c r="Z387" t="e">
        <f>INDEX(#REF!,MATCH($E387,#REF!,0))</f>
        <v>#REF!</v>
      </c>
      <c r="AA387" t="e">
        <f>INDEX(#REF!,MATCH($E387,#REF!,0))</f>
        <v>#REF!</v>
      </c>
      <c r="AB387" t="e">
        <f>INDEX(#REF!,MATCH($E387,#REF!,0))</f>
        <v>#REF!</v>
      </c>
      <c r="AC387" t="e">
        <f>INDEX(#REF!,MATCH($E387,#REF!,0))</f>
        <v>#REF!</v>
      </c>
      <c r="AD387" t="e">
        <f>INDEX(#REF!,MATCH($E387,#REF!,0))</f>
        <v>#REF!</v>
      </c>
      <c r="AE387" t="e">
        <f t="shared" si="18"/>
        <v>#REF!</v>
      </c>
    </row>
    <row r="388" spans="2:31" x14ac:dyDescent="0.25">
      <c r="B388" s="45" t="s">
        <v>1693</v>
      </c>
      <c r="C388" s="45" t="s">
        <v>609</v>
      </c>
      <c r="D388" s="89" t="s">
        <v>608</v>
      </c>
      <c r="E388" s="89">
        <v>112275</v>
      </c>
      <c r="F388" s="89">
        <v>1102</v>
      </c>
      <c r="G388" s="90">
        <v>4</v>
      </c>
      <c r="H388" s="90">
        <v>3</v>
      </c>
      <c r="I388" s="90" t="s">
        <v>210</v>
      </c>
      <c r="J388" s="90">
        <v>100</v>
      </c>
      <c r="K388" s="90">
        <v>0</v>
      </c>
      <c r="L388" s="91"/>
      <c r="M388" s="92" t="s">
        <v>2326</v>
      </c>
      <c r="N388" s="93"/>
      <c r="P388" s="21"/>
      <c r="Q388" s="12"/>
      <c r="R388">
        <f t="shared" si="19"/>
        <v>1</v>
      </c>
      <c r="S388" s="21" t="s">
        <v>99</v>
      </c>
      <c r="T388" s="21" t="s">
        <v>99</v>
      </c>
      <c r="W388" t="e">
        <f>INDEX(#REF!,MATCH($E388,#REF!,0))</f>
        <v>#REF!</v>
      </c>
      <c r="X388" t="e">
        <f>INDEX(#REF!,MATCH($E388,#REF!,0))</f>
        <v>#REF!</v>
      </c>
      <c r="Y388" t="e">
        <f>INDEX(#REF!,MATCH($E388,#REF!,0))</f>
        <v>#REF!</v>
      </c>
      <c r="Z388" t="e">
        <f>INDEX(#REF!,MATCH($E388,#REF!,0))</f>
        <v>#REF!</v>
      </c>
      <c r="AA388" t="e">
        <f>INDEX(#REF!,MATCH($E388,#REF!,0))</f>
        <v>#REF!</v>
      </c>
      <c r="AB388" t="e">
        <f>INDEX(#REF!,MATCH($E388,#REF!,0))</f>
        <v>#REF!</v>
      </c>
      <c r="AC388" t="e">
        <f>INDEX(#REF!,MATCH($E388,#REF!,0))</f>
        <v>#REF!</v>
      </c>
      <c r="AD388" t="e">
        <f>INDEX(#REF!,MATCH($E388,#REF!,0))</f>
        <v>#REF!</v>
      </c>
      <c r="AE388" t="e">
        <f t="shared" si="18"/>
        <v>#REF!</v>
      </c>
    </row>
    <row r="389" spans="2:31" x14ac:dyDescent="0.25">
      <c r="B389" s="45" t="s">
        <v>1694</v>
      </c>
      <c r="C389" s="45" t="s">
        <v>610</v>
      </c>
      <c r="D389" s="89" t="s">
        <v>1102</v>
      </c>
      <c r="E389" s="89">
        <v>112277</v>
      </c>
      <c r="F389" s="89">
        <v>1102</v>
      </c>
      <c r="G389" s="90">
        <v>6</v>
      </c>
      <c r="H389" s="90">
        <v>3</v>
      </c>
      <c r="I389" s="90" t="s">
        <v>18</v>
      </c>
      <c r="J389" s="90">
        <v>1</v>
      </c>
      <c r="K389" s="90">
        <v>0</v>
      </c>
      <c r="L389" s="91"/>
      <c r="M389" s="92" t="s">
        <v>2326</v>
      </c>
      <c r="N389" s="93"/>
      <c r="P389" s="21"/>
      <c r="Q389" s="12"/>
      <c r="R389">
        <f t="shared" si="19"/>
        <v>1</v>
      </c>
      <c r="S389" s="21" t="s">
        <v>99</v>
      </c>
      <c r="T389" s="21">
        <v>383292</v>
      </c>
      <c r="W389" t="e">
        <f>INDEX(#REF!,MATCH($E389,#REF!,0))</f>
        <v>#REF!</v>
      </c>
      <c r="X389" t="e">
        <f>INDEX(#REF!,MATCH($E389,#REF!,0))</f>
        <v>#REF!</v>
      </c>
      <c r="Y389" t="e">
        <f>INDEX(#REF!,MATCH($E389,#REF!,0))</f>
        <v>#REF!</v>
      </c>
      <c r="Z389" t="e">
        <f>INDEX(#REF!,MATCH($E389,#REF!,0))</f>
        <v>#REF!</v>
      </c>
      <c r="AA389" t="e">
        <f>INDEX(#REF!,MATCH($E389,#REF!,0))</f>
        <v>#REF!</v>
      </c>
      <c r="AB389" t="e">
        <f>INDEX(#REF!,MATCH($E389,#REF!,0))</f>
        <v>#REF!</v>
      </c>
      <c r="AC389" t="e">
        <f>INDEX(#REF!,MATCH($E389,#REF!,0))</f>
        <v>#REF!</v>
      </c>
      <c r="AD389" t="e">
        <f>INDEX(#REF!,MATCH($E389,#REF!,0))</f>
        <v>#REF!</v>
      </c>
      <c r="AE389" t="e">
        <f t="shared" si="18"/>
        <v>#REF!</v>
      </c>
    </row>
    <row r="390" spans="2:31" x14ac:dyDescent="0.25">
      <c r="B390" s="45" t="s">
        <v>1695</v>
      </c>
      <c r="C390" s="45" t="s">
        <v>611</v>
      </c>
      <c r="D390" s="89" t="s">
        <v>1958</v>
      </c>
      <c r="E390" s="89">
        <v>112301</v>
      </c>
      <c r="F390" s="89">
        <v>1102</v>
      </c>
      <c r="G390" s="90">
        <v>7</v>
      </c>
      <c r="H390" s="90">
        <v>3</v>
      </c>
      <c r="I390" s="90" t="s">
        <v>26</v>
      </c>
      <c r="J390" s="90">
        <v>1</v>
      </c>
      <c r="K390" s="90" t="s">
        <v>2509</v>
      </c>
      <c r="L390" s="91">
        <v>6140</v>
      </c>
      <c r="M390" s="92"/>
      <c r="N390" s="93"/>
      <c r="P390" s="21"/>
      <c r="Q390" s="12"/>
      <c r="R390">
        <f t="shared" si="19"/>
        <v>1</v>
      </c>
      <c r="S390" s="21" t="s">
        <v>99</v>
      </c>
      <c r="T390" s="21" t="s">
        <v>99</v>
      </c>
      <c r="W390" t="e">
        <f>INDEX(#REF!,MATCH($E390,#REF!,0))</f>
        <v>#REF!</v>
      </c>
      <c r="X390" t="e">
        <f>INDEX(#REF!,MATCH($E390,#REF!,0))</f>
        <v>#REF!</v>
      </c>
      <c r="Y390" t="e">
        <f>INDEX(#REF!,MATCH($E390,#REF!,0))</f>
        <v>#REF!</v>
      </c>
      <c r="Z390" t="e">
        <f>INDEX(#REF!,MATCH($E390,#REF!,0))</f>
        <v>#REF!</v>
      </c>
      <c r="AA390" t="e">
        <f>INDEX(#REF!,MATCH($E390,#REF!,0))</f>
        <v>#REF!</v>
      </c>
      <c r="AB390" t="e">
        <f>INDEX(#REF!,MATCH($E390,#REF!,0))</f>
        <v>#REF!</v>
      </c>
      <c r="AC390" t="e">
        <f>INDEX(#REF!,MATCH($E390,#REF!,0))</f>
        <v>#REF!</v>
      </c>
      <c r="AD390" t="e">
        <f>INDEX(#REF!,MATCH($E390,#REF!,0))</f>
        <v>#REF!</v>
      </c>
      <c r="AE390" t="e">
        <f t="shared" si="18"/>
        <v>#REF!</v>
      </c>
    </row>
    <row r="391" spans="2:31" x14ac:dyDescent="0.25">
      <c r="B391" s="45" t="s">
        <v>1696</v>
      </c>
      <c r="C391" s="45" t="s">
        <v>612</v>
      </c>
      <c r="D391" s="89" t="s">
        <v>1959</v>
      </c>
      <c r="E391" s="89">
        <v>112302</v>
      </c>
      <c r="F391" s="89">
        <v>1102</v>
      </c>
      <c r="G391" s="90">
        <v>8</v>
      </c>
      <c r="H391" s="90">
        <v>3</v>
      </c>
      <c r="I391" s="90" t="s">
        <v>26</v>
      </c>
      <c r="J391" s="90">
        <v>1</v>
      </c>
      <c r="K391" s="90" t="s">
        <v>2509</v>
      </c>
      <c r="L391" s="91">
        <v>6141</v>
      </c>
      <c r="M391" s="92"/>
      <c r="N391" s="93"/>
      <c r="P391" s="21"/>
      <c r="Q391" s="12"/>
      <c r="R391">
        <f t="shared" si="19"/>
        <v>1</v>
      </c>
      <c r="S391" s="21" t="s">
        <v>99</v>
      </c>
      <c r="T391" s="21" t="s">
        <v>99</v>
      </c>
      <c r="W391" t="e">
        <f>INDEX(#REF!,MATCH($E391,#REF!,0))</f>
        <v>#REF!</v>
      </c>
      <c r="X391" t="e">
        <f>INDEX(#REF!,MATCH($E391,#REF!,0))</f>
        <v>#REF!</v>
      </c>
      <c r="Y391" t="e">
        <f>INDEX(#REF!,MATCH($E391,#REF!,0))</f>
        <v>#REF!</v>
      </c>
      <c r="Z391" t="e">
        <f>INDEX(#REF!,MATCH($E391,#REF!,0))</f>
        <v>#REF!</v>
      </c>
      <c r="AA391" t="e">
        <f>INDEX(#REF!,MATCH($E391,#REF!,0))</f>
        <v>#REF!</v>
      </c>
      <c r="AB391" t="e">
        <f>INDEX(#REF!,MATCH($E391,#REF!,0))</f>
        <v>#REF!</v>
      </c>
      <c r="AC391" t="e">
        <f>INDEX(#REF!,MATCH($E391,#REF!,0))</f>
        <v>#REF!</v>
      </c>
      <c r="AD391" t="e">
        <f>INDEX(#REF!,MATCH($E391,#REF!,0))</f>
        <v>#REF!</v>
      </c>
      <c r="AE391" t="e">
        <f t="shared" si="18"/>
        <v>#REF!</v>
      </c>
    </row>
    <row r="392" spans="2:31" x14ac:dyDescent="0.25">
      <c r="B392" s="45" t="s">
        <v>1697</v>
      </c>
      <c r="C392" s="45" t="s">
        <v>613</v>
      </c>
      <c r="D392" s="89" t="s">
        <v>1960</v>
      </c>
      <c r="E392" s="89">
        <v>112303</v>
      </c>
      <c r="F392" s="89">
        <v>1102</v>
      </c>
      <c r="G392" s="90">
        <v>9</v>
      </c>
      <c r="H392" s="90">
        <v>3</v>
      </c>
      <c r="I392" s="90" t="s">
        <v>26</v>
      </c>
      <c r="J392" s="90">
        <v>1</v>
      </c>
      <c r="K392" s="90" t="s">
        <v>2509</v>
      </c>
      <c r="L392" s="91">
        <v>6142</v>
      </c>
      <c r="M392" s="92"/>
      <c r="N392" s="93"/>
      <c r="P392" s="21"/>
      <c r="Q392" s="12"/>
      <c r="R392">
        <f t="shared" si="19"/>
        <v>1</v>
      </c>
      <c r="S392" s="21" t="s">
        <v>99</v>
      </c>
      <c r="T392" s="21" t="s">
        <v>99</v>
      </c>
      <c r="W392" t="e">
        <f>INDEX(#REF!,MATCH($E392,#REF!,0))</f>
        <v>#REF!</v>
      </c>
      <c r="X392" t="e">
        <f>INDEX(#REF!,MATCH($E392,#REF!,0))</f>
        <v>#REF!</v>
      </c>
      <c r="Y392" t="e">
        <f>INDEX(#REF!,MATCH($E392,#REF!,0))</f>
        <v>#REF!</v>
      </c>
      <c r="Z392" t="e">
        <f>INDEX(#REF!,MATCH($E392,#REF!,0))</f>
        <v>#REF!</v>
      </c>
      <c r="AA392" t="e">
        <f>INDEX(#REF!,MATCH($E392,#REF!,0))</f>
        <v>#REF!</v>
      </c>
      <c r="AB392" t="e">
        <f>INDEX(#REF!,MATCH($E392,#REF!,0))</f>
        <v>#REF!</v>
      </c>
      <c r="AC392" t="e">
        <f>INDEX(#REF!,MATCH($E392,#REF!,0))</f>
        <v>#REF!</v>
      </c>
      <c r="AD392" t="e">
        <f>INDEX(#REF!,MATCH($E392,#REF!,0))</f>
        <v>#REF!</v>
      </c>
      <c r="AE392" t="e">
        <f t="shared" si="18"/>
        <v>#REF!</v>
      </c>
    </row>
    <row r="393" spans="2:31" x14ac:dyDescent="0.25">
      <c r="B393" s="45" t="s">
        <v>1698</v>
      </c>
      <c r="C393" s="45" t="s">
        <v>614</v>
      </c>
      <c r="D393" s="89" t="s">
        <v>1961</v>
      </c>
      <c r="E393" s="89">
        <v>112304</v>
      </c>
      <c r="F393" s="89">
        <v>1102</v>
      </c>
      <c r="G393" s="90">
        <v>10</v>
      </c>
      <c r="H393" s="90">
        <v>3</v>
      </c>
      <c r="I393" s="90" t="s">
        <v>26</v>
      </c>
      <c r="J393" s="90">
        <v>1</v>
      </c>
      <c r="K393" s="90" t="s">
        <v>2509</v>
      </c>
      <c r="L393" s="91">
        <v>6143</v>
      </c>
      <c r="M393" s="92"/>
      <c r="N393" s="93"/>
      <c r="P393" s="21"/>
      <c r="Q393" s="12"/>
      <c r="R393">
        <f t="shared" si="19"/>
        <v>1</v>
      </c>
      <c r="S393" s="21" t="s">
        <v>99</v>
      </c>
      <c r="T393" s="21" t="s">
        <v>99</v>
      </c>
      <c r="W393" t="e">
        <f>INDEX(#REF!,MATCH($E393,#REF!,0))</f>
        <v>#REF!</v>
      </c>
      <c r="X393" t="e">
        <f>INDEX(#REF!,MATCH($E393,#REF!,0))</f>
        <v>#REF!</v>
      </c>
      <c r="Y393" t="e">
        <f>INDEX(#REF!,MATCH($E393,#REF!,0))</f>
        <v>#REF!</v>
      </c>
      <c r="Z393" t="e">
        <f>INDEX(#REF!,MATCH($E393,#REF!,0))</f>
        <v>#REF!</v>
      </c>
      <c r="AA393" t="e">
        <f>INDEX(#REF!,MATCH($E393,#REF!,0))</f>
        <v>#REF!</v>
      </c>
      <c r="AB393" t="e">
        <f>INDEX(#REF!,MATCH($E393,#REF!,0))</f>
        <v>#REF!</v>
      </c>
      <c r="AC393" t="e">
        <f>INDEX(#REF!,MATCH($E393,#REF!,0))</f>
        <v>#REF!</v>
      </c>
      <c r="AD393" t="e">
        <f>INDEX(#REF!,MATCH($E393,#REF!,0))</f>
        <v>#REF!</v>
      </c>
      <c r="AE393" t="e">
        <f t="shared" si="18"/>
        <v>#REF!</v>
      </c>
    </row>
    <row r="394" spans="2:31" x14ac:dyDescent="0.25">
      <c r="B394" s="45" t="s">
        <v>1699</v>
      </c>
      <c r="C394" s="45" t="s">
        <v>615</v>
      </c>
      <c r="D394" s="89" t="s">
        <v>1962</v>
      </c>
      <c r="E394" s="89">
        <v>112305</v>
      </c>
      <c r="F394" s="89">
        <v>1102</v>
      </c>
      <c r="G394" s="90">
        <v>11</v>
      </c>
      <c r="H394" s="90">
        <v>3</v>
      </c>
      <c r="I394" s="90" t="s">
        <v>26</v>
      </c>
      <c r="J394" s="90">
        <v>1</v>
      </c>
      <c r="K394" s="90" t="s">
        <v>2509</v>
      </c>
      <c r="L394" s="91">
        <v>6144</v>
      </c>
      <c r="M394" s="92" t="s">
        <v>2339</v>
      </c>
      <c r="N394" s="93"/>
      <c r="P394" s="21"/>
      <c r="Q394" s="12"/>
      <c r="R394">
        <f t="shared" si="19"/>
        <v>1</v>
      </c>
      <c r="S394" s="21" t="s">
        <v>99</v>
      </c>
      <c r="T394" s="21" t="s">
        <v>99</v>
      </c>
      <c r="W394" t="e">
        <f>INDEX(#REF!,MATCH($E394,#REF!,0))</f>
        <v>#REF!</v>
      </c>
      <c r="X394" t="e">
        <f>INDEX(#REF!,MATCH($E394,#REF!,0))</f>
        <v>#REF!</v>
      </c>
      <c r="Y394" t="e">
        <f>INDEX(#REF!,MATCH($E394,#REF!,0))</f>
        <v>#REF!</v>
      </c>
      <c r="Z394" t="e">
        <f>INDEX(#REF!,MATCH($E394,#REF!,0))</f>
        <v>#REF!</v>
      </c>
      <c r="AA394" t="e">
        <f>INDEX(#REF!,MATCH($E394,#REF!,0))</f>
        <v>#REF!</v>
      </c>
      <c r="AB394" t="e">
        <f>INDEX(#REF!,MATCH($E394,#REF!,0))</f>
        <v>#REF!</v>
      </c>
      <c r="AC394" t="e">
        <f>INDEX(#REF!,MATCH($E394,#REF!,0))</f>
        <v>#REF!</v>
      </c>
      <c r="AD394" t="e">
        <f>INDEX(#REF!,MATCH($E394,#REF!,0))</f>
        <v>#REF!</v>
      </c>
      <c r="AE394" t="e">
        <f t="shared" si="18"/>
        <v>#REF!</v>
      </c>
    </row>
    <row r="395" spans="2:31" x14ac:dyDescent="0.25">
      <c r="B395" s="45" t="s">
        <v>1700</v>
      </c>
      <c r="C395" s="45" t="s">
        <v>616</v>
      </c>
      <c r="D395" s="89" t="s">
        <v>1963</v>
      </c>
      <c r="E395" s="89">
        <v>112306</v>
      </c>
      <c r="F395" s="89">
        <v>1102</v>
      </c>
      <c r="G395" s="90">
        <v>12</v>
      </c>
      <c r="H395" s="90">
        <v>3</v>
      </c>
      <c r="I395" s="90" t="s">
        <v>26</v>
      </c>
      <c r="J395" s="90">
        <v>1</v>
      </c>
      <c r="K395" s="90" t="s">
        <v>2509</v>
      </c>
      <c r="L395" s="91">
        <v>6145</v>
      </c>
      <c r="M395" s="92"/>
      <c r="N395" s="93"/>
      <c r="P395" s="21"/>
      <c r="Q395" s="12"/>
      <c r="R395">
        <f t="shared" si="19"/>
        <v>1</v>
      </c>
      <c r="S395" s="21" t="s">
        <v>99</v>
      </c>
      <c r="T395" s="21" t="s">
        <v>99</v>
      </c>
      <c r="W395" t="e">
        <f>INDEX(#REF!,MATCH($E395,#REF!,0))</f>
        <v>#REF!</v>
      </c>
      <c r="X395" t="e">
        <f>INDEX(#REF!,MATCH($E395,#REF!,0))</f>
        <v>#REF!</v>
      </c>
      <c r="Y395" t="e">
        <f>INDEX(#REF!,MATCH($E395,#REF!,0))</f>
        <v>#REF!</v>
      </c>
      <c r="Z395" t="e">
        <f>INDEX(#REF!,MATCH($E395,#REF!,0))</f>
        <v>#REF!</v>
      </c>
      <c r="AA395" t="e">
        <f>INDEX(#REF!,MATCH($E395,#REF!,0))</f>
        <v>#REF!</v>
      </c>
      <c r="AB395" t="e">
        <f>INDEX(#REF!,MATCH($E395,#REF!,0))</f>
        <v>#REF!</v>
      </c>
      <c r="AC395" t="e">
        <f>INDEX(#REF!,MATCH($E395,#REF!,0))</f>
        <v>#REF!</v>
      </c>
      <c r="AD395" t="e">
        <f>INDEX(#REF!,MATCH($E395,#REF!,0))</f>
        <v>#REF!</v>
      </c>
      <c r="AE395" t="e">
        <f t="shared" si="18"/>
        <v>#REF!</v>
      </c>
    </row>
    <row r="396" spans="2:31" x14ac:dyDescent="0.25">
      <c r="B396" s="45" t="s">
        <v>1701</v>
      </c>
      <c r="C396" s="45" t="s">
        <v>617</v>
      </c>
      <c r="D396" s="89" t="s">
        <v>1964</v>
      </c>
      <c r="E396" s="89">
        <v>112307</v>
      </c>
      <c r="F396" s="89">
        <v>1102</v>
      </c>
      <c r="G396" s="90">
        <v>13</v>
      </c>
      <c r="H396" s="90">
        <v>3</v>
      </c>
      <c r="I396" s="90" t="s">
        <v>26</v>
      </c>
      <c r="J396" s="90">
        <v>1</v>
      </c>
      <c r="K396" s="90" t="s">
        <v>2509</v>
      </c>
      <c r="L396" s="91">
        <v>6146</v>
      </c>
      <c r="M396" s="92"/>
      <c r="N396" s="93"/>
      <c r="P396" s="21"/>
      <c r="Q396" s="12"/>
      <c r="R396">
        <f t="shared" si="19"/>
        <v>1</v>
      </c>
      <c r="S396" s="21" t="s">
        <v>99</v>
      </c>
      <c r="T396" s="21" t="s">
        <v>99</v>
      </c>
      <c r="W396" t="e">
        <f>INDEX(#REF!,MATCH($E396,#REF!,0))</f>
        <v>#REF!</v>
      </c>
      <c r="X396" t="e">
        <f>INDEX(#REF!,MATCH($E396,#REF!,0))</f>
        <v>#REF!</v>
      </c>
      <c r="Y396" t="e">
        <f>INDEX(#REF!,MATCH($E396,#REF!,0))</f>
        <v>#REF!</v>
      </c>
      <c r="Z396" t="e">
        <f>INDEX(#REF!,MATCH($E396,#REF!,0))</f>
        <v>#REF!</v>
      </c>
      <c r="AA396" t="e">
        <f>INDEX(#REF!,MATCH($E396,#REF!,0))</f>
        <v>#REF!</v>
      </c>
      <c r="AB396" t="e">
        <f>INDEX(#REF!,MATCH($E396,#REF!,0))</f>
        <v>#REF!</v>
      </c>
      <c r="AC396" t="e">
        <f>INDEX(#REF!,MATCH($E396,#REF!,0))</f>
        <v>#REF!</v>
      </c>
      <c r="AD396" t="e">
        <f>INDEX(#REF!,MATCH($E396,#REF!,0))</f>
        <v>#REF!</v>
      </c>
      <c r="AE396" t="e">
        <f t="shared" si="18"/>
        <v>#REF!</v>
      </c>
    </row>
    <row r="397" spans="2:31" x14ac:dyDescent="0.25">
      <c r="B397" s="45" t="s">
        <v>1702</v>
      </c>
      <c r="C397" s="45" t="s">
        <v>618</v>
      </c>
      <c r="D397" s="89" t="s">
        <v>1965</v>
      </c>
      <c r="E397" s="89">
        <v>112308</v>
      </c>
      <c r="F397" s="89">
        <v>1102</v>
      </c>
      <c r="G397" s="90">
        <v>14</v>
      </c>
      <c r="H397" s="90">
        <v>3</v>
      </c>
      <c r="I397" s="90" t="s">
        <v>26</v>
      </c>
      <c r="J397" s="90">
        <v>1</v>
      </c>
      <c r="K397" s="90" t="s">
        <v>2509</v>
      </c>
      <c r="L397" s="91">
        <v>6147</v>
      </c>
      <c r="M397" s="92"/>
      <c r="N397" s="93"/>
      <c r="P397" s="21"/>
      <c r="Q397" s="12"/>
      <c r="R397">
        <f t="shared" si="19"/>
        <v>1</v>
      </c>
      <c r="S397" s="21" t="s">
        <v>99</v>
      </c>
      <c r="T397" s="21" t="s">
        <v>99</v>
      </c>
      <c r="W397" t="e">
        <f>INDEX(#REF!,MATCH($E397,#REF!,0))</f>
        <v>#REF!</v>
      </c>
      <c r="X397" t="e">
        <f>INDEX(#REF!,MATCH($E397,#REF!,0))</f>
        <v>#REF!</v>
      </c>
      <c r="Y397" t="e">
        <f>INDEX(#REF!,MATCH($E397,#REF!,0))</f>
        <v>#REF!</v>
      </c>
      <c r="Z397" t="e">
        <f>INDEX(#REF!,MATCH($E397,#REF!,0))</f>
        <v>#REF!</v>
      </c>
      <c r="AA397" t="e">
        <f>INDEX(#REF!,MATCH($E397,#REF!,0))</f>
        <v>#REF!</v>
      </c>
      <c r="AB397" t="e">
        <f>INDEX(#REF!,MATCH($E397,#REF!,0))</f>
        <v>#REF!</v>
      </c>
      <c r="AC397" t="e">
        <f>INDEX(#REF!,MATCH($E397,#REF!,0))</f>
        <v>#REF!</v>
      </c>
      <c r="AD397" t="e">
        <f>INDEX(#REF!,MATCH($E397,#REF!,0))</f>
        <v>#REF!</v>
      </c>
      <c r="AE397" t="e">
        <f t="shared" si="18"/>
        <v>#REF!</v>
      </c>
    </row>
    <row r="398" spans="2:31" x14ac:dyDescent="0.25">
      <c r="B398" s="45" t="s">
        <v>1703</v>
      </c>
      <c r="C398" s="45" t="s">
        <v>619</v>
      </c>
      <c r="D398" s="89" t="s">
        <v>1966</v>
      </c>
      <c r="E398" s="89">
        <v>112309</v>
      </c>
      <c r="F398" s="89">
        <v>1088</v>
      </c>
      <c r="G398" s="90">
        <v>15</v>
      </c>
      <c r="H398" s="90">
        <v>3</v>
      </c>
      <c r="I398" s="90" t="s">
        <v>26</v>
      </c>
      <c r="J398" s="90">
        <v>1</v>
      </c>
      <c r="K398" s="90" t="s">
        <v>2509</v>
      </c>
      <c r="L398" s="91">
        <v>6148</v>
      </c>
      <c r="M398" s="92"/>
      <c r="N398" s="93"/>
      <c r="P398" s="21"/>
      <c r="Q398" s="12"/>
      <c r="R398">
        <f t="shared" si="19"/>
        <v>1</v>
      </c>
      <c r="S398" s="21" t="s">
        <v>99</v>
      </c>
      <c r="T398" s="21" t="s">
        <v>99</v>
      </c>
      <c r="W398" t="e">
        <f>INDEX(#REF!,MATCH($E398,#REF!,0))</f>
        <v>#REF!</v>
      </c>
      <c r="X398" t="e">
        <f>INDEX(#REF!,MATCH($E398,#REF!,0))</f>
        <v>#REF!</v>
      </c>
      <c r="Y398" t="e">
        <f>INDEX(#REF!,MATCH($E398,#REF!,0))</f>
        <v>#REF!</v>
      </c>
      <c r="Z398" t="e">
        <f>INDEX(#REF!,MATCH($E398,#REF!,0))</f>
        <v>#REF!</v>
      </c>
      <c r="AA398" t="e">
        <f>INDEX(#REF!,MATCH($E398,#REF!,0))</f>
        <v>#REF!</v>
      </c>
      <c r="AB398" t="e">
        <f>INDEX(#REF!,MATCH($E398,#REF!,0))</f>
        <v>#REF!</v>
      </c>
      <c r="AC398" t="e">
        <f>INDEX(#REF!,MATCH($E398,#REF!,0))</f>
        <v>#REF!</v>
      </c>
      <c r="AD398" t="e">
        <f>INDEX(#REF!,MATCH($E398,#REF!,0))</f>
        <v>#REF!</v>
      </c>
      <c r="AE398" t="e">
        <f t="shared" si="18"/>
        <v>#REF!</v>
      </c>
    </row>
    <row r="399" spans="2:31" x14ac:dyDescent="0.25">
      <c r="B399" s="45" t="s">
        <v>1704</v>
      </c>
      <c r="C399" s="45" t="s">
        <v>620</v>
      </c>
      <c r="D399" s="89" t="s">
        <v>1967</v>
      </c>
      <c r="E399" s="89">
        <v>112310</v>
      </c>
      <c r="F399" s="89">
        <v>1088</v>
      </c>
      <c r="G399" s="90">
        <v>16</v>
      </c>
      <c r="H399" s="90">
        <v>3</v>
      </c>
      <c r="I399" s="90" t="s">
        <v>26</v>
      </c>
      <c r="J399" s="90">
        <v>1</v>
      </c>
      <c r="K399" s="90" t="s">
        <v>2509</v>
      </c>
      <c r="L399" s="91">
        <v>6149</v>
      </c>
      <c r="M399" s="92"/>
      <c r="N399" s="93"/>
      <c r="P399" s="21"/>
      <c r="Q399" s="12"/>
      <c r="R399">
        <f t="shared" si="19"/>
        <v>1</v>
      </c>
      <c r="S399" s="21" t="s">
        <v>99</v>
      </c>
      <c r="T399" s="21" t="s">
        <v>99</v>
      </c>
      <c r="W399" t="e">
        <f>INDEX(#REF!,MATCH($E399,#REF!,0))</f>
        <v>#REF!</v>
      </c>
      <c r="X399" t="e">
        <f>INDEX(#REF!,MATCH($E399,#REF!,0))</f>
        <v>#REF!</v>
      </c>
      <c r="Y399" t="e">
        <f>INDEX(#REF!,MATCH($E399,#REF!,0))</f>
        <v>#REF!</v>
      </c>
      <c r="Z399" t="e">
        <f>INDEX(#REF!,MATCH($E399,#REF!,0))</f>
        <v>#REF!</v>
      </c>
      <c r="AA399" t="e">
        <f>INDEX(#REF!,MATCH($E399,#REF!,0))</f>
        <v>#REF!</v>
      </c>
      <c r="AB399" t="e">
        <f>INDEX(#REF!,MATCH($E399,#REF!,0))</f>
        <v>#REF!</v>
      </c>
      <c r="AC399" t="e">
        <f>INDEX(#REF!,MATCH($E399,#REF!,0))</f>
        <v>#REF!</v>
      </c>
      <c r="AD399" t="e">
        <f>INDEX(#REF!,MATCH($E399,#REF!,0))</f>
        <v>#REF!</v>
      </c>
      <c r="AE399" t="e">
        <f t="shared" si="18"/>
        <v>#REF!</v>
      </c>
    </row>
    <row r="400" spans="2:31" x14ac:dyDescent="0.25">
      <c r="B400" s="45" t="s">
        <v>1705</v>
      </c>
      <c r="C400" s="45" t="s">
        <v>621</v>
      </c>
      <c r="D400" s="89" t="s">
        <v>1968</v>
      </c>
      <c r="E400" s="89">
        <v>112311</v>
      </c>
      <c r="F400" s="89">
        <v>1088</v>
      </c>
      <c r="G400" s="90">
        <v>17</v>
      </c>
      <c r="H400" s="90">
        <v>3</v>
      </c>
      <c r="I400" s="90" t="s">
        <v>26</v>
      </c>
      <c r="J400" s="90">
        <v>1</v>
      </c>
      <c r="K400" s="90" t="s">
        <v>2509</v>
      </c>
      <c r="L400" s="91">
        <v>6150</v>
      </c>
      <c r="M400" s="92" t="s">
        <v>2340</v>
      </c>
      <c r="N400" s="93"/>
      <c r="P400" s="21"/>
      <c r="Q400" s="12"/>
      <c r="R400">
        <f t="shared" si="19"/>
        <v>1</v>
      </c>
      <c r="S400" s="21" t="s">
        <v>99</v>
      </c>
      <c r="T400" s="21" t="s">
        <v>99</v>
      </c>
      <c r="W400" t="e">
        <f>INDEX(#REF!,MATCH($E400,#REF!,0))</f>
        <v>#REF!</v>
      </c>
      <c r="X400" t="e">
        <f>INDEX(#REF!,MATCH($E400,#REF!,0))</f>
        <v>#REF!</v>
      </c>
      <c r="Y400" t="e">
        <f>INDEX(#REF!,MATCH($E400,#REF!,0))</f>
        <v>#REF!</v>
      </c>
      <c r="Z400" t="e">
        <f>INDEX(#REF!,MATCH($E400,#REF!,0))</f>
        <v>#REF!</v>
      </c>
      <c r="AA400" t="e">
        <f>INDEX(#REF!,MATCH($E400,#REF!,0))</f>
        <v>#REF!</v>
      </c>
      <c r="AB400" t="e">
        <f>INDEX(#REF!,MATCH($E400,#REF!,0))</f>
        <v>#REF!</v>
      </c>
      <c r="AC400" t="e">
        <f>INDEX(#REF!,MATCH($E400,#REF!,0))</f>
        <v>#REF!</v>
      </c>
      <c r="AD400" t="e">
        <f>INDEX(#REF!,MATCH($E400,#REF!,0))</f>
        <v>#REF!</v>
      </c>
      <c r="AE400" t="e">
        <f t="shared" si="18"/>
        <v>#REF!</v>
      </c>
    </row>
    <row r="401" spans="2:31" x14ac:dyDescent="0.25">
      <c r="B401" s="45" t="s">
        <v>1706</v>
      </c>
      <c r="C401" s="45" t="s">
        <v>622</v>
      </c>
      <c r="D401" s="89" t="s">
        <v>1969</v>
      </c>
      <c r="E401" s="89">
        <v>112312</v>
      </c>
      <c r="F401" s="89">
        <v>1088</v>
      </c>
      <c r="G401" s="90">
        <v>18</v>
      </c>
      <c r="H401" s="90">
        <v>3</v>
      </c>
      <c r="I401" s="90" t="s">
        <v>26</v>
      </c>
      <c r="J401" s="90">
        <v>1</v>
      </c>
      <c r="K401" s="90" t="s">
        <v>2509</v>
      </c>
      <c r="L401" s="91">
        <v>6151</v>
      </c>
      <c r="M401" s="92" t="s">
        <v>2341</v>
      </c>
      <c r="N401" s="93"/>
      <c r="P401" s="21"/>
      <c r="Q401" s="12"/>
      <c r="R401">
        <f t="shared" si="19"/>
        <v>1</v>
      </c>
      <c r="S401" s="21" t="s">
        <v>99</v>
      </c>
      <c r="T401" s="21" t="s">
        <v>99</v>
      </c>
      <c r="W401" t="e">
        <f>INDEX(#REF!,MATCH($E401,#REF!,0))</f>
        <v>#REF!</v>
      </c>
      <c r="X401" t="e">
        <f>INDEX(#REF!,MATCH($E401,#REF!,0))</f>
        <v>#REF!</v>
      </c>
      <c r="Y401" t="e">
        <f>INDEX(#REF!,MATCH($E401,#REF!,0))</f>
        <v>#REF!</v>
      </c>
      <c r="Z401" t="e">
        <f>INDEX(#REF!,MATCH($E401,#REF!,0))</f>
        <v>#REF!</v>
      </c>
      <c r="AA401" t="e">
        <f>INDEX(#REF!,MATCH($E401,#REF!,0))</f>
        <v>#REF!</v>
      </c>
      <c r="AB401" t="e">
        <f>INDEX(#REF!,MATCH($E401,#REF!,0))</f>
        <v>#REF!</v>
      </c>
      <c r="AC401" t="e">
        <f>INDEX(#REF!,MATCH($E401,#REF!,0))</f>
        <v>#REF!</v>
      </c>
      <c r="AD401" t="e">
        <f>INDEX(#REF!,MATCH($E401,#REF!,0))</f>
        <v>#REF!</v>
      </c>
      <c r="AE401" t="e">
        <f t="shared" si="18"/>
        <v>#REF!</v>
      </c>
    </row>
    <row r="402" spans="2:31" x14ac:dyDescent="0.25">
      <c r="B402" s="45" t="s">
        <v>1707</v>
      </c>
      <c r="C402" s="45" t="s">
        <v>623</v>
      </c>
      <c r="D402" s="89" t="s">
        <v>1970</v>
      </c>
      <c r="E402" s="89">
        <v>112313</v>
      </c>
      <c r="F402" s="89">
        <v>1088</v>
      </c>
      <c r="G402" s="90">
        <v>19</v>
      </c>
      <c r="H402" s="90">
        <v>3</v>
      </c>
      <c r="I402" s="90" t="s">
        <v>26</v>
      </c>
      <c r="J402" s="90">
        <v>1</v>
      </c>
      <c r="K402" s="90" t="s">
        <v>2509</v>
      </c>
      <c r="L402" s="91">
        <v>6152</v>
      </c>
      <c r="M402" s="92" t="s">
        <v>2342</v>
      </c>
      <c r="N402" s="93"/>
      <c r="P402" s="21"/>
      <c r="Q402" s="12"/>
      <c r="R402">
        <f t="shared" si="19"/>
        <v>1</v>
      </c>
      <c r="S402" s="21" t="s">
        <v>99</v>
      </c>
      <c r="T402" s="21" t="s">
        <v>99</v>
      </c>
      <c r="W402" t="e">
        <f>INDEX(#REF!,MATCH($E402,#REF!,0))</f>
        <v>#REF!</v>
      </c>
      <c r="X402" t="e">
        <f>INDEX(#REF!,MATCH($E402,#REF!,0))</f>
        <v>#REF!</v>
      </c>
      <c r="Y402" t="e">
        <f>INDEX(#REF!,MATCH($E402,#REF!,0))</f>
        <v>#REF!</v>
      </c>
      <c r="Z402" t="e">
        <f>INDEX(#REF!,MATCH($E402,#REF!,0))</f>
        <v>#REF!</v>
      </c>
      <c r="AA402" t="e">
        <f>INDEX(#REF!,MATCH($E402,#REF!,0))</f>
        <v>#REF!</v>
      </c>
      <c r="AB402" t="e">
        <f>INDEX(#REF!,MATCH($E402,#REF!,0))</f>
        <v>#REF!</v>
      </c>
      <c r="AC402" t="e">
        <f>INDEX(#REF!,MATCH($E402,#REF!,0))</f>
        <v>#REF!</v>
      </c>
      <c r="AD402" t="e">
        <f>INDEX(#REF!,MATCH($E402,#REF!,0))</f>
        <v>#REF!</v>
      </c>
      <c r="AE402" t="e">
        <f t="shared" si="18"/>
        <v>#REF!</v>
      </c>
    </row>
    <row r="403" spans="2:31" x14ac:dyDescent="0.25">
      <c r="B403" s="45" t="s">
        <v>1708</v>
      </c>
      <c r="C403" s="45" t="s">
        <v>624</v>
      </c>
      <c r="D403" s="89" t="s">
        <v>1971</v>
      </c>
      <c r="E403" s="89">
        <v>112314</v>
      </c>
      <c r="F403" s="89">
        <v>1088</v>
      </c>
      <c r="G403" s="90">
        <v>20</v>
      </c>
      <c r="H403" s="90">
        <v>3</v>
      </c>
      <c r="I403" s="90" t="s">
        <v>26</v>
      </c>
      <c r="J403" s="90">
        <v>1</v>
      </c>
      <c r="K403" s="90" t="s">
        <v>2509</v>
      </c>
      <c r="L403" s="91">
        <v>6153</v>
      </c>
      <c r="M403" s="92" t="s">
        <v>2343</v>
      </c>
      <c r="N403" s="93"/>
      <c r="P403" s="21"/>
      <c r="Q403" s="12"/>
      <c r="R403">
        <f t="shared" si="19"/>
        <v>1</v>
      </c>
      <c r="S403" s="21" t="s">
        <v>99</v>
      </c>
      <c r="T403" s="21" t="s">
        <v>99</v>
      </c>
      <c r="W403" t="e">
        <f>INDEX(#REF!,MATCH($E403,#REF!,0))</f>
        <v>#REF!</v>
      </c>
      <c r="X403" t="e">
        <f>INDEX(#REF!,MATCH($E403,#REF!,0))</f>
        <v>#REF!</v>
      </c>
      <c r="Y403" t="e">
        <f>INDEX(#REF!,MATCH($E403,#REF!,0))</f>
        <v>#REF!</v>
      </c>
      <c r="Z403" t="e">
        <f>INDEX(#REF!,MATCH($E403,#REF!,0))</f>
        <v>#REF!</v>
      </c>
      <c r="AA403" t="e">
        <f>INDEX(#REF!,MATCH($E403,#REF!,0))</f>
        <v>#REF!</v>
      </c>
      <c r="AB403" t="e">
        <f>INDEX(#REF!,MATCH($E403,#REF!,0))</f>
        <v>#REF!</v>
      </c>
      <c r="AC403" t="e">
        <f>INDEX(#REF!,MATCH($E403,#REF!,0))</f>
        <v>#REF!</v>
      </c>
      <c r="AD403" t="e">
        <f>INDEX(#REF!,MATCH($E403,#REF!,0))</f>
        <v>#REF!</v>
      </c>
      <c r="AE403" t="e">
        <f t="shared" si="18"/>
        <v>#REF!</v>
      </c>
    </row>
    <row r="404" spans="2:31" x14ac:dyDescent="0.25">
      <c r="B404" s="45" t="s">
        <v>1709</v>
      </c>
      <c r="C404" s="45" t="s">
        <v>625</v>
      </c>
      <c r="D404" s="89" t="s">
        <v>1972</v>
      </c>
      <c r="E404" s="89">
        <v>112315</v>
      </c>
      <c r="F404" s="89">
        <v>1088</v>
      </c>
      <c r="G404" s="90">
        <v>21</v>
      </c>
      <c r="H404" s="90">
        <v>3</v>
      </c>
      <c r="I404" s="90" t="s">
        <v>26</v>
      </c>
      <c r="J404" s="90">
        <v>1</v>
      </c>
      <c r="K404" s="90" t="s">
        <v>2509</v>
      </c>
      <c r="L404" s="91">
        <v>6154</v>
      </c>
      <c r="M404" s="92" t="s">
        <v>2344</v>
      </c>
      <c r="N404" s="93"/>
      <c r="P404" s="21"/>
      <c r="Q404" s="12"/>
      <c r="R404">
        <f t="shared" si="19"/>
        <v>1</v>
      </c>
      <c r="S404" s="21" t="s">
        <v>99</v>
      </c>
      <c r="T404" s="21" t="s">
        <v>99</v>
      </c>
      <c r="W404" t="e">
        <f>INDEX(#REF!,MATCH($E404,#REF!,0))</f>
        <v>#REF!</v>
      </c>
      <c r="X404" t="e">
        <f>INDEX(#REF!,MATCH($E404,#REF!,0))</f>
        <v>#REF!</v>
      </c>
      <c r="Y404" t="e">
        <f>INDEX(#REF!,MATCH($E404,#REF!,0))</f>
        <v>#REF!</v>
      </c>
      <c r="Z404" t="e">
        <f>INDEX(#REF!,MATCH($E404,#REF!,0))</f>
        <v>#REF!</v>
      </c>
      <c r="AA404" t="e">
        <f>INDEX(#REF!,MATCH($E404,#REF!,0))</f>
        <v>#REF!</v>
      </c>
      <c r="AB404" t="e">
        <f>INDEX(#REF!,MATCH($E404,#REF!,0))</f>
        <v>#REF!</v>
      </c>
      <c r="AC404" t="e">
        <f>INDEX(#REF!,MATCH($E404,#REF!,0))</f>
        <v>#REF!</v>
      </c>
      <c r="AD404" t="e">
        <f>INDEX(#REF!,MATCH($E404,#REF!,0))</f>
        <v>#REF!</v>
      </c>
      <c r="AE404" t="e">
        <f t="shared" ref="AE404:AE467" si="20">AND(X404=F404,G404=Y404,AC404=J404,AD404=H404)</f>
        <v>#REF!</v>
      </c>
    </row>
    <row r="405" spans="2:31" x14ac:dyDescent="0.25">
      <c r="B405" s="45" t="s">
        <v>1710</v>
      </c>
      <c r="C405" s="45" t="s">
        <v>626</v>
      </c>
      <c r="D405" s="89" t="s">
        <v>1973</v>
      </c>
      <c r="E405" s="89">
        <v>112316</v>
      </c>
      <c r="F405" s="89">
        <v>1088</v>
      </c>
      <c r="G405" s="90">
        <v>22</v>
      </c>
      <c r="H405" s="90">
        <v>3</v>
      </c>
      <c r="I405" s="90" t="s">
        <v>26</v>
      </c>
      <c r="J405" s="90">
        <v>1</v>
      </c>
      <c r="K405" s="90" t="s">
        <v>2509</v>
      </c>
      <c r="L405" s="91">
        <v>6155</v>
      </c>
      <c r="M405" s="92" t="s">
        <v>2345</v>
      </c>
      <c r="N405" s="93"/>
      <c r="P405" s="21"/>
      <c r="Q405" s="12"/>
      <c r="R405">
        <f t="shared" si="19"/>
        <v>1</v>
      </c>
      <c r="S405" s="21" t="s">
        <v>99</v>
      </c>
      <c r="T405" s="21" t="s">
        <v>99</v>
      </c>
      <c r="W405" t="e">
        <f>INDEX(#REF!,MATCH($E405,#REF!,0))</f>
        <v>#REF!</v>
      </c>
      <c r="X405" t="e">
        <f>INDEX(#REF!,MATCH($E405,#REF!,0))</f>
        <v>#REF!</v>
      </c>
      <c r="Y405" t="e">
        <f>INDEX(#REF!,MATCH($E405,#REF!,0))</f>
        <v>#REF!</v>
      </c>
      <c r="Z405" t="e">
        <f>INDEX(#REF!,MATCH($E405,#REF!,0))</f>
        <v>#REF!</v>
      </c>
      <c r="AA405" t="e">
        <f>INDEX(#REF!,MATCH($E405,#REF!,0))</f>
        <v>#REF!</v>
      </c>
      <c r="AB405" t="e">
        <f>INDEX(#REF!,MATCH($E405,#REF!,0))</f>
        <v>#REF!</v>
      </c>
      <c r="AC405" t="e">
        <f>INDEX(#REF!,MATCH($E405,#REF!,0))</f>
        <v>#REF!</v>
      </c>
      <c r="AD405" t="e">
        <f>INDEX(#REF!,MATCH($E405,#REF!,0))</f>
        <v>#REF!</v>
      </c>
      <c r="AE405" t="e">
        <f t="shared" si="20"/>
        <v>#REF!</v>
      </c>
    </row>
    <row r="406" spans="2:31" x14ac:dyDescent="0.25">
      <c r="B406" s="45" t="s">
        <v>1711</v>
      </c>
      <c r="C406" s="45" t="s">
        <v>627</v>
      </c>
      <c r="D406" s="89" t="s">
        <v>1974</v>
      </c>
      <c r="E406" s="89">
        <v>112317</v>
      </c>
      <c r="F406" s="89">
        <v>1088</v>
      </c>
      <c r="G406" s="90">
        <v>23</v>
      </c>
      <c r="H406" s="90">
        <v>3</v>
      </c>
      <c r="I406" s="90" t="s">
        <v>26</v>
      </c>
      <c r="J406" s="90">
        <v>1</v>
      </c>
      <c r="K406" s="90" t="s">
        <v>2509</v>
      </c>
      <c r="L406" s="91">
        <v>6156</v>
      </c>
      <c r="M406" s="92" t="s">
        <v>2346</v>
      </c>
      <c r="N406" s="93"/>
      <c r="P406" s="21"/>
      <c r="Q406" s="12"/>
      <c r="R406">
        <f t="shared" si="19"/>
        <v>1</v>
      </c>
      <c r="S406" s="21" t="s">
        <v>99</v>
      </c>
      <c r="T406" s="21" t="s">
        <v>99</v>
      </c>
      <c r="W406" t="e">
        <f>INDEX(#REF!,MATCH($E406,#REF!,0))</f>
        <v>#REF!</v>
      </c>
      <c r="X406" t="e">
        <f>INDEX(#REF!,MATCH($E406,#REF!,0))</f>
        <v>#REF!</v>
      </c>
      <c r="Y406" t="e">
        <f>INDEX(#REF!,MATCH($E406,#REF!,0))</f>
        <v>#REF!</v>
      </c>
      <c r="Z406" t="e">
        <f>INDEX(#REF!,MATCH($E406,#REF!,0))</f>
        <v>#REF!</v>
      </c>
      <c r="AA406" t="e">
        <f>INDEX(#REF!,MATCH($E406,#REF!,0))</f>
        <v>#REF!</v>
      </c>
      <c r="AB406" t="e">
        <f>INDEX(#REF!,MATCH($E406,#REF!,0))</f>
        <v>#REF!</v>
      </c>
      <c r="AC406" t="e">
        <f>INDEX(#REF!,MATCH($E406,#REF!,0))</f>
        <v>#REF!</v>
      </c>
      <c r="AD406" t="e">
        <f>INDEX(#REF!,MATCH($E406,#REF!,0))</f>
        <v>#REF!</v>
      </c>
      <c r="AE406" t="e">
        <f t="shared" si="20"/>
        <v>#REF!</v>
      </c>
    </row>
    <row r="407" spans="2:31" x14ac:dyDescent="0.25">
      <c r="B407" s="45" t="s">
        <v>1712</v>
      </c>
      <c r="C407" s="45" t="s">
        <v>628</v>
      </c>
      <c r="D407" s="89" t="s">
        <v>1975</v>
      </c>
      <c r="E407" s="89">
        <v>112318</v>
      </c>
      <c r="F407" s="89">
        <v>1088</v>
      </c>
      <c r="G407" s="90">
        <v>24</v>
      </c>
      <c r="H407" s="90">
        <v>3</v>
      </c>
      <c r="I407" s="90" t="s">
        <v>26</v>
      </c>
      <c r="J407" s="90">
        <v>1</v>
      </c>
      <c r="K407" s="90" t="s">
        <v>2509</v>
      </c>
      <c r="L407" s="91">
        <v>6157</v>
      </c>
      <c r="M407" s="92" t="s">
        <v>1209</v>
      </c>
      <c r="N407" s="93"/>
      <c r="P407" s="21"/>
      <c r="Q407" s="12"/>
      <c r="R407">
        <f t="shared" si="19"/>
        <v>1</v>
      </c>
      <c r="S407" s="21" t="s">
        <v>99</v>
      </c>
      <c r="T407" s="21" t="s">
        <v>99</v>
      </c>
      <c r="W407" t="e">
        <f>INDEX(#REF!,MATCH($E407,#REF!,0))</f>
        <v>#REF!</v>
      </c>
      <c r="X407" t="e">
        <f>INDEX(#REF!,MATCH($E407,#REF!,0))</f>
        <v>#REF!</v>
      </c>
      <c r="Y407" t="e">
        <f>INDEX(#REF!,MATCH($E407,#REF!,0))</f>
        <v>#REF!</v>
      </c>
      <c r="Z407" t="e">
        <f>INDEX(#REF!,MATCH($E407,#REF!,0))</f>
        <v>#REF!</v>
      </c>
      <c r="AA407" t="e">
        <f>INDEX(#REF!,MATCH($E407,#REF!,0))</f>
        <v>#REF!</v>
      </c>
      <c r="AB407" t="e">
        <f>INDEX(#REF!,MATCH($E407,#REF!,0))</f>
        <v>#REF!</v>
      </c>
      <c r="AC407" t="e">
        <f>INDEX(#REF!,MATCH($E407,#REF!,0))</f>
        <v>#REF!</v>
      </c>
      <c r="AD407" t="e">
        <f>INDEX(#REF!,MATCH($E407,#REF!,0))</f>
        <v>#REF!</v>
      </c>
      <c r="AE407" t="e">
        <f t="shared" si="20"/>
        <v>#REF!</v>
      </c>
    </row>
    <row r="408" spans="2:31" x14ac:dyDescent="0.25">
      <c r="B408" s="45" t="s">
        <v>1713</v>
      </c>
      <c r="C408" s="45" t="s">
        <v>629</v>
      </c>
      <c r="D408" s="89" t="s">
        <v>1976</v>
      </c>
      <c r="E408" s="89">
        <v>112319</v>
      </c>
      <c r="F408" s="89">
        <v>1101</v>
      </c>
      <c r="G408" s="90">
        <v>0</v>
      </c>
      <c r="H408" s="90">
        <v>3</v>
      </c>
      <c r="I408" s="90" t="s">
        <v>26</v>
      </c>
      <c r="J408" s="90">
        <v>1</v>
      </c>
      <c r="K408" s="90" t="s">
        <v>2509</v>
      </c>
      <c r="L408" s="91">
        <v>6158</v>
      </c>
      <c r="M408" s="92" t="s">
        <v>1210</v>
      </c>
      <c r="N408" s="93"/>
      <c r="P408" s="21"/>
      <c r="Q408" s="12"/>
      <c r="R408">
        <f t="shared" si="19"/>
        <v>1</v>
      </c>
      <c r="S408" s="21" t="s">
        <v>99</v>
      </c>
      <c r="T408" s="21" t="s">
        <v>99</v>
      </c>
      <c r="W408" t="e">
        <f>INDEX(#REF!,MATCH($E408,#REF!,0))</f>
        <v>#REF!</v>
      </c>
      <c r="X408" t="e">
        <f>INDEX(#REF!,MATCH($E408,#REF!,0))</f>
        <v>#REF!</v>
      </c>
      <c r="Y408" t="e">
        <f>INDEX(#REF!,MATCH($E408,#REF!,0))</f>
        <v>#REF!</v>
      </c>
      <c r="Z408" t="e">
        <f>INDEX(#REF!,MATCH($E408,#REF!,0))</f>
        <v>#REF!</v>
      </c>
      <c r="AA408" t="e">
        <f>INDEX(#REF!,MATCH($E408,#REF!,0))</f>
        <v>#REF!</v>
      </c>
      <c r="AB408" t="e">
        <f>INDEX(#REF!,MATCH($E408,#REF!,0))</f>
        <v>#REF!</v>
      </c>
      <c r="AC408" t="e">
        <f>INDEX(#REF!,MATCH($E408,#REF!,0))</f>
        <v>#REF!</v>
      </c>
      <c r="AD408" t="e">
        <f>INDEX(#REF!,MATCH($E408,#REF!,0))</f>
        <v>#REF!</v>
      </c>
      <c r="AE408" t="e">
        <f t="shared" si="20"/>
        <v>#REF!</v>
      </c>
    </row>
    <row r="409" spans="2:31" x14ac:dyDescent="0.25">
      <c r="B409" s="45" t="s">
        <v>1714</v>
      </c>
      <c r="C409" s="45" t="s">
        <v>630</v>
      </c>
      <c r="D409" s="89" t="s">
        <v>1977</v>
      </c>
      <c r="E409" s="89">
        <v>112320</v>
      </c>
      <c r="F409" s="89">
        <v>1101</v>
      </c>
      <c r="G409" s="90">
        <v>1</v>
      </c>
      <c r="H409" s="90">
        <v>3</v>
      </c>
      <c r="I409" s="90" t="s">
        <v>26</v>
      </c>
      <c r="J409" s="90">
        <v>1</v>
      </c>
      <c r="K409" s="90" t="s">
        <v>2509</v>
      </c>
      <c r="L409" s="91">
        <v>6159</v>
      </c>
      <c r="M409" s="92" t="s">
        <v>1211</v>
      </c>
      <c r="N409" s="93"/>
      <c r="P409" s="21"/>
      <c r="Q409" s="12"/>
      <c r="R409">
        <f t="shared" si="19"/>
        <v>1</v>
      </c>
      <c r="S409" s="21" t="s">
        <v>99</v>
      </c>
      <c r="T409" s="21" t="s">
        <v>99</v>
      </c>
      <c r="W409" t="e">
        <f>INDEX(#REF!,MATCH($E409,#REF!,0))</f>
        <v>#REF!</v>
      </c>
      <c r="X409" t="e">
        <f>INDEX(#REF!,MATCH($E409,#REF!,0))</f>
        <v>#REF!</v>
      </c>
      <c r="Y409" t="e">
        <f>INDEX(#REF!,MATCH($E409,#REF!,0))</f>
        <v>#REF!</v>
      </c>
      <c r="Z409" t="e">
        <f>INDEX(#REF!,MATCH($E409,#REF!,0))</f>
        <v>#REF!</v>
      </c>
      <c r="AA409" t="e">
        <f>INDEX(#REF!,MATCH($E409,#REF!,0))</f>
        <v>#REF!</v>
      </c>
      <c r="AB409" t="e">
        <f>INDEX(#REF!,MATCH($E409,#REF!,0))</f>
        <v>#REF!</v>
      </c>
      <c r="AC409" t="e">
        <f>INDEX(#REF!,MATCH($E409,#REF!,0))</f>
        <v>#REF!</v>
      </c>
      <c r="AD409" t="e">
        <f>INDEX(#REF!,MATCH($E409,#REF!,0))</f>
        <v>#REF!</v>
      </c>
      <c r="AE409" t="e">
        <f t="shared" si="20"/>
        <v>#REF!</v>
      </c>
    </row>
    <row r="410" spans="2:31" x14ac:dyDescent="0.25">
      <c r="B410" s="45" t="s">
        <v>1715</v>
      </c>
      <c r="C410" s="45" t="s">
        <v>631</v>
      </c>
      <c r="D410" s="89" t="s">
        <v>1978</v>
      </c>
      <c r="E410" s="89">
        <v>112351</v>
      </c>
      <c r="F410" s="89">
        <v>1101</v>
      </c>
      <c r="G410" s="90">
        <v>2</v>
      </c>
      <c r="H410" s="90">
        <v>3</v>
      </c>
      <c r="I410" s="90" t="s">
        <v>26</v>
      </c>
      <c r="J410" s="90">
        <v>1</v>
      </c>
      <c r="K410" s="90" t="s">
        <v>2509</v>
      </c>
      <c r="L410" s="91">
        <v>6200</v>
      </c>
      <c r="M410" s="92"/>
      <c r="N410" s="93"/>
      <c r="P410" s="21"/>
      <c r="Q410" s="12"/>
      <c r="R410">
        <f t="shared" si="19"/>
        <v>1</v>
      </c>
      <c r="S410" s="21" t="s">
        <v>99</v>
      </c>
      <c r="T410" s="21" t="s">
        <v>99</v>
      </c>
      <c r="W410" t="e">
        <f>INDEX(#REF!,MATCH($E410,#REF!,0))</f>
        <v>#REF!</v>
      </c>
      <c r="X410" t="e">
        <f>INDEX(#REF!,MATCH($E410,#REF!,0))</f>
        <v>#REF!</v>
      </c>
      <c r="Y410" t="e">
        <f>INDEX(#REF!,MATCH($E410,#REF!,0))</f>
        <v>#REF!</v>
      </c>
      <c r="Z410" t="e">
        <f>INDEX(#REF!,MATCH($E410,#REF!,0))</f>
        <v>#REF!</v>
      </c>
      <c r="AA410" t="e">
        <f>INDEX(#REF!,MATCH($E410,#REF!,0))</f>
        <v>#REF!</v>
      </c>
      <c r="AB410" t="e">
        <f>INDEX(#REF!,MATCH($E410,#REF!,0))</f>
        <v>#REF!</v>
      </c>
      <c r="AC410" t="e">
        <f>INDEX(#REF!,MATCH($E410,#REF!,0))</f>
        <v>#REF!</v>
      </c>
      <c r="AD410" t="e">
        <f>INDEX(#REF!,MATCH($E410,#REF!,0))</f>
        <v>#REF!</v>
      </c>
      <c r="AE410" t="e">
        <f t="shared" si="20"/>
        <v>#REF!</v>
      </c>
    </row>
    <row r="411" spans="2:31" x14ac:dyDescent="0.25">
      <c r="B411" s="45" t="s">
        <v>1716</v>
      </c>
      <c r="C411" s="45" t="s">
        <v>632</v>
      </c>
      <c r="D411" s="89" t="s">
        <v>1979</v>
      </c>
      <c r="E411" s="89">
        <v>112352</v>
      </c>
      <c r="F411" s="89">
        <v>1101</v>
      </c>
      <c r="G411" s="90">
        <v>3</v>
      </c>
      <c r="H411" s="90">
        <v>3</v>
      </c>
      <c r="I411" s="90" t="s">
        <v>26</v>
      </c>
      <c r="J411" s="90">
        <v>1</v>
      </c>
      <c r="K411" s="90" t="s">
        <v>2509</v>
      </c>
      <c r="L411" s="91">
        <v>6201</v>
      </c>
      <c r="M411" s="92"/>
      <c r="N411" s="93"/>
      <c r="P411" s="21"/>
      <c r="Q411" s="12"/>
      <c r="R411">
        <f t="shared" si="19"/>
        <v>1</v>
      </c>
      <c r="S411" s="21" t="s">
        <v>99</v>
      </c>
      <c r="T411" s="21" t="s">
        <v>99</v>
      </c>
      <c r="W411" t="e">
        <f>INDEX(#REF!,MATCH($E411,#REF!,0))</f>
        <v>#REF!</v>
      </c>
      <c r="X411" t="e">
        <f>INDEX(#REF!,MATCH($E411,#REF!,0))</f>
        <v>#REF!</v>
      </c>
      <c r="Y411" t="e">
        <f>INDEX(#REF!,MATCH($E411,#REF!,0))</f>
        <v>#REF!</v>
      </c>
      <c r="Z411" t="e">
        <f>INDEX(#REF!,MATCH($E411,#REF!,0))</f>
        <v>#REF!</v>
      </c>
      <c r="AA411" t="e">
        <f>INDEX(#REF!,MATCH($E411,#REF!,0))</f>
        <v>#REF!</v>
      </c>
      <c r="AB411" t="e">
        <f>INDEX(#REF!,MATCH($E411,#REF!,0))</f>
        <v>#REF!</v>
      </c>
      <c r="AC411" t="e">
        <f>INDEX(#REF!,MATCH($E411,#REF!,0))</f>
        <v>#REF!</v>
      </c>
      <c r="AD411" t="e">
        <f>INDEX(#REF!,MATCH($E411,#REF!,0))</f>
        <v>#REF!</v>
      </c>
      <c r="AE411" t="e">
        <f t="shared" si="20"/>
        <v>#REF!</v>
      </c>
    </row>
    <row r="412" spans="2:31" x14ac:dyDescent="0.25">
      <c r="B412" s="45" t="s">
        <v>1717</v>
      </c>
      <c r="C412" s="45" t="s">
        <v>633</v>
      </c>
      <c r="D412" s="89" t="s">
        <v>1980</v>
      </c>
      <c r="E412" s="89">
        <v>112353</v>
      </c>
      <c r="F412" s="89">
        <v>1101</v>
      </c>
      <c r="G412" s="90">
        <v>4</v>
      </c>
      <c r="H412" s="90">
        <v>3</v>
      </c>
      <c r="I412" s="90" t="s">
        <v>26</v>
      </c>
      <c r="J412" s="90">
        <v>1</v>
      </c>
      <c r="K412" s="90" t="s">
        <v>2509</v>
      </c>
      <c r="L412" s="91">
        <v>6202</v>
      </c>
      <c r="M412" s="92"/>
      <c r="N412" s="93"/>
      <c r="P412" s="21"/>
      <c r="Q412" s="12"/>
      <c r="R412">
        <f t="shared" si="19"/>
        <v>1</v>
      </c>
      <c r="S412" s="21" t="s">
        <v>99</v>
      </c>
      <c r="T412" s="21" t="s">
        <v>99</v>
      </c>
      <c r="W412" t="e">
        <f>INDEX(#REF!,MATCH($E412,#REF!,0))</f>
        <v>#REF!</v>
      </c>
      <c r="X412" t="e">
        <f>INDEX(#REF!,MATCH($E412,#REF!,0))</f>
        <v>#REF!</v>
      </c>
      <c r="Y412" t="e">
        <f>INDEX(#REF!,MATCH($E412,#REF!,0))</f>
        <v>#REF!</v>
      </c>
      <c r="Z412" t="e">
        <f>INDEX(#REF!,MATCH($E412,#REF!,0))</f>
        <v>#REF!</v>
      </c>
      <c r="AA412" t="e">
        <f>INDEX(#REF!,MATCH($E412,#REF!,0))</f>
        <v>#REF!</v>
      </c>
      <c r="AB412" t="e">
        <f>INDEX(#REF!,MATCH($E412,#REF!,0))</f>
        <v>#REF!</v>
      </c>
      <c r="AC412" t="e">
        <f>INDEX(#REF!,MATCH($E412,#REF!,0))</f>
        <v>#REF!</v>
      </c>
      <c r="AD412" t="e">
        <f>INDEX(#REF!,MATCH($E412,#REF!,0))</f>
        <v>#REF!</v>
      </c>
      <c r="AE412" t="e">
        <f t="shared" si="20"/>
        <v>#REF!</v>
      </c>
    </row>
    <row r="413" spans="2:31" x14ac:dyDescent="0.25">
      <c r="B413" s="45" t="s">
        <v>1718</v>
      </c>
      <c r="C413" s="45" t="s">
        <v>634</v>
      </c>
      <c r="D413" s="89" t="s">
        <v>1981</v>
      </c>
      <c r="E413" s="89">
        <v>112354</v>
      </c>
      <c r="F413" s="89">
        <v>1101</v>
      </c>
      <c r="G413" s="90">
        <v>5</v>
      </c>
      <c r="H413" s="90">
        <v>3</v>
      </c>
      <c r="I413" s="90" t="s">
        <v>26</v>
      </c>
      <c r="J413" s="90">
        <v>1</v>
      </c>
      <c r="K413" s="90" t="s">
        <v>2509</v>
      </c>
      <c r="L413" s="91">
        <v>6203</v>
      </c>
      <c r="M413" s="92"/>
      <c r="N413" s="93"/>
      <c r="P413" s="21"/>
      <c r="Q413" s="12"/>
      <c r="R413">
        <f t="shared" si="19"/>
        <v>1</v>
      </c>
      <c r="S413" s="21" t="s">
        <v>99</v>
      </c>
      <c r="T413" s="21" t="s">
        <v>99</v>
      </c>
      <c r="W413" t="e">
        <f>INDEX(#REF!,MATCH($E413,#REF!,0))</f>
        <v>#REF!</v>
      </c>
      <c r="X413" t="e">
        <f>INDEX(#REF!,MATCH($E413,#REF!,0))</f>
        <v>#REF!</v>
      </c>
      <c r="Y413" t="e">
        <f>INDEX(#REF!,MATCH($E413,#REF!,0))</f>
        <v>#REF!</v>
      </c>
      <c r="Z413" t="e">
        <f>INDEX(#REF!,MATCH($E413,#REF!,0))</f>
        <v>#REF!</v>
      </c>
      <c r="AA413" t="e">
        <f>INDEX(#REF!,MATCH($E413,#REF!,0))</f>
        <v>#REF!</v>
      </c>
      <c r="AB413" t="e">
        <f>INDEX(#REF!,MATCH($E413,#REF!,0))</f>
        <v>#REF!</v>
      </c>
      <c r="AC413" t="e">
        <f>INDEX(#REF!,MATCH($E413,#REF!,0))</f>
        <v>#REF!</v>
      </c>
      <c r="AD413" t="e">
        <f>INDEX(#REF!,MATCH($E413,#REF!,0))</f>
        <v>#REF!</v>
      </c>
      <c r="AE413" t="e">
        <f t="shared" si="20"/>
        <v>#REF!</v>
      </c>
    </row>
    <row r="414" spans="2:31" x14ac:dyDescent="0.25">
      <c r="B414" s="45" t="s">
        <v>1719</v>
      </c>
      <c r="C414" s="45" t="s">
        <v>635</v>
      </c>
      <c r="D414" s="89" t="s">
        <v>1982</v>
      </c>
      <c r="E414" s="89">
        <v>112355</v>
      </c>
      <c r="F414" s="89">
        <v>1101</v>
      </c>
      <c r="G414" s="90">
        <v>6</v>
      </c>
      <c r="H414" s="90">
        <v>3</v>
      </c>
      <c r="I414" s="90" t="s">
        <v>26</v>
      </c>
      <c r="J414" s="90">
        <v>1</v>
      </c>
      <c r="K414" s="90" t="s">
        <v>2509</v>
      </c>
      <c r="L414" s="91">
        <v>6204</v>
      </c>
      <c r="M414" s="92"/>
      <c r="N414" s="93"/>
      <c r="P414" s="21"/>
      <c r="Q414" s="12"/>
      <c r="R414">
        <f t="shared" si="19"/>
        <v>1</v>
      </c>
      <c r="S414" s="21" t="s">
        <v>99</v>
      </c>
      <c r="T414" s="21" t="s">
        <v>99</v>
      </c>
      <c r="W414" t="e">
        <f>INDEX(#REF!,MATCH($E414,#REF!,0))</f>
        <v>#REF!</v>
      </c>
      <c r="X414" t="e">
        <f>INDEX(#REF!,MATCH($E414,#REF!,0))</f>
        <v>#REF!</v>
      </c>
      <c r="Y414" t="e">
        <f>INDEX(#REF!,MATCH($E414,#REF!,0))</f>
        <v>#REF!</v>
      </c>
      <c r="Z414" t="e">
        <f>INDEX(#REF!,MATCH($E414,#REF!,0))</f>
        <v>#REF!</v>
      </c>
      <c r="AA414" t="e">
        <f>INDEX(#REF!,MATCH($E414,#REF!,0))</f>
        <v>#REF!</v>
      </c>
      <c r="AB414" t="e">
        <f>INDEX(#REF!,MATCH($E414,#REF!,0))</f>
        <v>#REF!</v>
      </c>
      <c r="AC414" t="e">
        <f>INDEX(#REF!,MATCH($E414,#REF!,0))</f>
        <v>#REF!</v>
      </c>
      <c r="AD414" t="e">
        <f>INDEX(#REF!,MATCH($E414,#REF!,0))</f>
        <v>#REF!</v>
      </c>
      <c r="AE414" t="e">
        <f t="shared" si="20"/>
        <v>#REF!</v>
      </c>
    </row>
    <row r="415" spans="2:31" x14ac:dyDescent="0.25">
      <c r="B415" s="45" t="s">
        <v>1720</v>
      </c>
      <c r="C415" s="45" t="s">
        <v>636</v>
      </c>
      <c r="D415" s="89" t="s">
        <v>1983</v>
      </c>
      <c r="E415" s="89">
        <v>112356</v>
      </c>
      <c r="F415" s="89">
        <v>1101</v>
      </c>
      <c r="G415" s="90">
        <v>7</v>
      </c>
      <c r="H415" s="90">
        <v>3</v>
      </c>
      <c r="I415" s="90" t="s">
        <v>26</v>
      </c>
      <c r="J415" s="90">
        <v>1</v>
      </c>
      <c r="K415" s="90" t="s">
        <v>2509</v>
      </c>
      <c r="L415" s="91">
        <v>6205</v>
      </c>
      <c r="M415" s="92"/>
      <c r="N415" s="93"/>
      <c r="P415" s="21"/>
      <c r="Q415" s="12"/>
      <c r="R415">
        <f t="shared" si="19"/>
        <v>1</v>
      </c>
      <c r="S415" s="21" t="s">
        <v>99</v>
      </c>
      <c r="T415" s="21" t="s">
        <v>99</v>
      </c>
      <c r="W415" t="e">
        <f>INDEX(#REF!,MATCH($E415,#REF!,0))</f>
        <v>#REF!</v>
      </c>
      <c r="X415" t="e">
        <f>INDEX(#REF!,MATCH($E415,#REF!,0))</f>
        <v>#REF!</v>
      </c>
      <c r="Y415" t="e">
        <f>INDEX(#REF!,MATCH($E415,#REF!,0))</f>
        <v>#REF!</v>
      </c>
      <c r="Z415" t="e">
        <f>INDEX(#REF!,MATCH($E415,#REF!,0))</f>
        <v>#REF!</v>
      </c>
      <c r="AA415" t="e">
        <f>INDEX(#REF!,MATCH($E415,#REF!,0))</f>
        <v>#REF!</v>
      </c>
      <c r="AB415" t="e">
        <f>INDEX(#REF!,MATCH($E415,#REF!,0))</f>
        <v>#REF!</v>
      </c>
      <c r="AC415" t="e">
        <f>INDEX(#REF!,MATCH($E415,#REF!,0))</f>
        <v>#REF!</v>
      </c>
      <c r="AD415" t="e">
        <f>INDEX(#REF!,MATCH($E415,#REF!,0))</f>
        <v>#REF!</v>
      </c>
      <c r="AE415" t="e">
        <f t="shared" si="20"/>
        <v>#REF!</v>
      </c>
    </row>
    <row r="416" spans="2:31" x14ac:dyDescent="0.25">
      <c r="B416" s="45" t="s">
        <v>1721</v>
      </c>
      <c r="C416" s="45" t="s">
        <v>637</v>
      </c>
      <c r="D416" s="89" t="s">
        <v>1984</v>
      </c>
      <c r="E416" s="89">
        <v>112357</v>
      </c>
      <c r="F416" s="89">
        <v>1101</v>
      </c>
      <c r="G416" s="90">
        <v>8</v>
      </c>
      <c r="H416" s="90">
        <v>3</v>
      </c>
      <c r="I416" s="90" t="s">
        <v>26</v>
      </c>
      <c r="J416" s="90">
        <v>1</v>
      </c>
      <c r="K416" s="90" t="s">
        <v>2509</v>
      </c>
      <c r="L416" s="91">
        <v>6206</v>
      </c>
      <c r="M416" s="92" t="s">
        <v>2347</v>
      </c>
      <c r="N416" s="93"/>
      <c r="P416" s="21"/>
      <c r="Q416" s="12"/>
      <c r="R416">
        <f t="shared" si="19"/>
        <v>1</v>
      </c>
      <c r="S416" s="21" t="s">
        <v>99</v>
      </c>
      <c r="T416" s="21" t="s">
        <v>99</v>
      </c>
      <c r="W416" t="e">
        <f>INDEX(#REF!,MATCH($E416,#REF!,0))</f>
        <v>#REF!</v>
      </c>
      <c r="X416" t="e">
        <f>INDEX(#REF!,MATCH($E416,#REF!,0))</f>
        <v>#REF!</v>
      </c>
      <c r="Y416" t="e">
        <f>INDEX(#REF!,MATCH($E416,#REF!,0))</f>
        <v>#REF!</v>
      </c>
      <c r="Z416" t="e">
        <f>INDEX(#REF!,MATCH($E416,#REF!,0))</f>
        <v>#REF!</v>
      </c>
      <c r="AA416" t="e">
        <f>INDEX(#REF!,MATCH($E416,#REF!,0))</f>
        <v>#REF!</v>
      </c>
      <c r="AB416" t="e">
        <f>INDEX(#REF!,MATCH($E416,#REF!,0))</f>
        <v>#REF!</v>
      </c>
      <c r="AC416" t="e">
        <f>INDEX(#REF!,MATCH($E416,#REF!,0))</f>
        <v>#REF!</v>
      </c>
      <c r="AD416" t="e">
        <f>INDEX(#REF!,MATCH($E416,#REF!,0))</f>
        <v>#REF!</v>
      </c>
      <c r="AE416" t="e">
        <f t="shared" si="20"/>
        <v>#REF!</v>
      </c>
    </row>
    <row r="417" spans="2:31" x14ac:dyDescent="0.25">
      <c r="B417" s="45" t="s">
        <v>1722</v>
      </c>
      <c r="C417" s="45" t="s">
        <v>638</v>
      </c>
      <c r="D417" s="89" t="s">
        <v>1985</v>
      </c>
      <c r="E417" s="89">
        <v>112358</v>
      </c>
      <c r="F417" s="89">
        <v>1101</v>
      </c>
      <c r="G417" s="90">
        <v>9</v>
      </c>
      <c r="H417" s="90">
        <v>3</v>
      </c>
      <c r="I417" s="90" t="s">
        <v>26</v>
      </c>
      <c r="J417" s="90">
        <v>1</v>
      </c>
      <c r="K417" s="90" t="s">
        <v>2509</v>
      </c>
      <c r="L417" s="91">
        <v>6207</v>
      </c>
      <c r="M417" s="92" t="s">
        <v>2348</v>
      </c>
      <c r="N417" s="93"/>
      <c r="P417" s="21"/>
      <c r="Q417" s="12"/>
      <c r="R417">
        <f t="shared" si="19"/>
        <v>1</v>
      </c>
      <c r="S417" s="21" t="s">
        <v>99</v>
      </c>
      <c r="T417" s="21" t="s">
        <v>99</v>
      </c>
      <c r="W417" t="e">
        <f>INDEX(#REF!,MATCH($E417,#REF!,0))</f>
        <v>#REF!</v>
      </c>
      <c r="X417" t="e">
        <f>INDEX(#REF!,MATCH($E417,#REF!,0))</f>
        <v>#REF!</v>
      </c>
      <c r="Y417" t="e">
        <f>INDEX(#REF!,MATCH($E417,#REF!,0))</f>
        <v>#REF!</v>
      </c>
      <c r="Z417" t="e">
        <f>INDEX(#REF!,MATCH($E417,#REF!,0))</f>
        <v>#REF!</v>
      </c>
      <c r="AA417" t="e">
        <f>INDEX(#REF!,MATCH($E417,#REF!,0))</f>
        <v>#REF!</v>
      </c>
      <c r="AB417" t="e">
        <f>INDEX(#REF!,MATCH($E417,#REF!,0))</f>
        <v>#REF!</v>
      </c>
      <c r="AC417" t="e">
        <f>INDEX(#REF!,MATCH($E417,#REF!,0))</f>
        <v>#REF!</v>
      </c>
      <c r="AD417" t="e">
        <f>INDEX(#REF!,MATCH($E417,#REF!,0))</f>
        <v>#REF!</v>
      </c>
      <c r="AE417" t="e">
        <f t="shared" si="20"/>
        <v>#REF!</v>
      </c>
    </row>
    <row r="418" spans="2:31" x14ac:dyDescent="0.25">
      <c r="B418" s="45" t="s">
        <v>1723</v>
      </c>
      <c r="C418" s="45" t="s">
        <v>639</v>
      </c>
      <c r="D418" s="89" t="s">
        <v>1986</v>
      </c>
      <c r="E418" s="89">
        <v>112359</v>
      </c>
      <c r="F418" s="89">
        <v>1101</v>
      </c>
      <c r="G418" s="90">
        <v>10</v>
      </c>
      <c r="H418" s="90">
        <v>3</v>
      </c>
      <c r="I418" s="90" t="s">
        <v>26</v>
      </c>
      <c r="J418" s="90">
        <v>1</v>
      </c>
      <c r="K418" s="90" t="s">
        <v>2509</v>
      </c>
      <c r="L418" s="91">
        <v>6208</v>
      </c>
      <c r="M418" s="92"/>
      <c r="N418" s="93"/>
      <c r="P418" s="21"/>
      <c r="Q418" s="12"/>
      <c r="R418">
        <f t="shared" si="19"/>
        <v>1</v>
      </c>
      <c r="S418" s="21" t="s">
        <v>99</v>
      </c>
      <c r="T418" s="21" t="s">
        <v>99</v>
      </c>
      <c r="W418" t="e">
        <f>INDEX(#REF!,MATCH($E418,#REF!,0))</f>
        <v>#REF!</v>
      </c>
      <c r="X418" t="e">
        <f>INDEX(#REF!,MATCH($E418,#REF!,0))</f>
        <v>#REF!</v>
      </c>
      <c r="Y418" t="e">
        <f>INDEX(#REF!,MATCH($E418,#REF!,0))</f>
        <v>#REF!</v>
      </c>
      <c r="Z418" t="e">
        <f>INDEX(#REF!,MATCH($E418,#REF!,0))</f>
        <v>#REF!</v>
      </c>
      <c r="AA418" t="e">
        <f>INDEX(#REF!,MATCH($E418,#REF!,0))</f>
        <v>#REF!</v>
      </c>
      <c r="AB418" t="e">
        <f>INDEX(#REF!,MATCH($E418,#REF!,0))</f>
        <v>#REF!</v>
      </c>
      <c r="AC418" t="e">
        <f>INDEX(#REF!,MATCH($E418,#REF!,0))</f>
        <v>#REF!</v>
      </c>
      <c r="AD418" t="e">
        <f>INDEX(#REF!,MATCH($E418,#REF!,0))</f>
        <v>#REF!</v>
      </c>
      <c r="AE418" t="e">
        <f t="shared" si="20"/>
        <v>#REF!</v>
      </c>
    </row>
    <row r="419" spans="2:31" x14ac:dyDescent="0.25">
      <c r="B419" s="45" t="s">
        <v>1724</v>
      </c>
      <c r="C419" s="45" t="s">
        <v>640</v>
      </c>
      <c r="D419" s="89" t="s">
        <v>1987</v>
      </c>
      <c r="E419" s="89">
        <v>112360</v>
      </c>
      <c r="F419" s="89">
        <v>1101</v>
      </c>
      <c r="G419" s="90">
        <v>11</v>
      </c>
      <c r="H419" s="90">
        <v>3</v>
      </c>
      <c r="I419" s="90" t="s">
        <v>26</v>
      </c>
      <c r="J419" s="90">
        <v>1</v>
      </c>
      <c r="K419" s="90" t="s">
        <v>2509</v>
      </c>
      <c r="L419" s="91">
        <v>6209</v>
      </c>
      <c r="M419" s="92"/>
      <c r="N419" s="93"/>
      <c r="P419" s="21"/>
      <c r="Q419" s="12"/>
      <c r="R419">
        <f t="shared" si="19"/>
        <v>1</v>
      </c>
      <c r="S419" s="21" t="s">
        <v>99</v>
      </c>
      <c r="T419" s="21" t="s">
        <v>99</v>
      </c>
      <c r="W419" t="e">
        <f>INDEX(#REF!,MATCH($E419,#REF!,0))</f>
        <v>#REF!</v>
      </c>
      <c r="X419" t="e">
        <f>INDEX(#REF!,MATCH($E419,#REF!,0))</f>
        <v>#REF!</v>
      </c>
      <c r="Y419" t="e">
        <f>INDEX(#REF!,MATCH($E419,#REF!,0))</f>
        <v>#REF!</v>
      </c>
      <c r="Z419" t="e">
        <f>INDEX(#REF!,MATCH($E419,#REF!,0))</f>
        <v>#REF!</v>
      </c>
      <c r="AA419" t="e">
        <f>INDEX(#REF!,MATCH($E419,#REF!,0))</f>
        <v>#REF!</v>
      </c>
      <c r="AB419" t="e">
        <f>INDEX(#REF!,MATCH($E419,#REF!,0))</f>
        <v>#REF!</v>
      </c>
      <c r="AC419" t="e">
        <f>INDEX(#REF!,MATCH($E419,#REF!,0))</f>
        <v>#REF!</v>
      </c>
      <c r="AD419" t="e">
        <f>INDEX(#REF!,MATCH($E419,#REF!,0))</f>
        <v>#REF!</v>
      </c>
      <c r="AE419" t="e">
        <f t="shared" si="20"/>
        <v>#REF!</v>
      </c>
    </row>
    <row r="420" spans="2:31" x14ac:dyDescent="0.25">
      <c r="B420" s="45" t="s">
        <v>1725</v>
      </c>
      <c r="C420" s="45" t="s">
        <v>641</v>
      </c>
      <c r="D420" s="89" t="s">
        <v>1988</v>
      </c>
      <c r="E420" s="89">
        <v>112361</v>
      </c>
      <c r="F420" s="89">
        <v>1101</v>
      </c>
      <c r="G420" s="90">
        <v>12</v>
      </c>
      <c r="H420" s="90">
        <v>3</v>
      </c>
      <c r="I420" s="90" t="s">
        <v>26</v>
      </c>
      <c r="J420" s="90">
        <v>1</v>
      </c>
      <c r="K420" s="90" t="s">
        <v>2509</v>
      </c>
      <c r="L420" s="91">
        <v>6210</v>
      </c>
      <c r="M420" s="92"/>
      <c r="N420" s="93"/>
      <c r="P420" s="21"/>
      <c r="Q420" s="12"/>
      <c r="R420">
        <f t="shared" ref="R420:R483" si="21">COUNTIF(C:C,C420)</f>
        <v>1</v>
      </c>
      <c r="S420" s="21" t="s">
        <v>99</v>
      </c>
      <c r="T420" s="21" t="s">
        <v>99</v>
      </c>
      <c r="W420" t="e">
        <f>INDEX(#REF!,MATCH($E420,#REF!,0))</f>
        <v>#REF!</v>
      </c>
      <c r="X420" t="e">
        <f>INDEX(#REF!,MATCH($E420,#REF!,0))</f>
        <v>#REF!</v>
      </c>
      <c r="Y420" t="e">
        <f>INDEX(#REF!,MATCH($E420,#REF!,0))</f>
        <v>#REF!</v>
      </c>
      <c r="Z420" t="e">
        <f>INDEX(#REF!,MATCH($E420,#REF!,0))</f>
        <v>#REF!</v>
      </c>
      <c r="AA420" t="e">
        <f>INDEX(#REF!,MATCH($E420,#REF!,0))</f>
        <v>#REF!</v>
      </c>
      <c r="AB420" t="e">
        <f>INDEX(#REF!,MATCH($E420,#REF!,0))</f>
        <v>#REF!</v>
      </c>
      <c r="AC420" t="e">
        <f>INDEX(#REF!,MATCH($E420,#REF!,0))</f>
        <v>#REF!</v>
      </c>
      <c r="AD420" t="e">
        <f>INDEX(#REF!,MATCH($E420,#REF!,0))</f>
        <v>#REF!</v>
      </c>
      <c r="AE420" t="e">
        <f t="shared" si="20"/>
        <v>#REF!</v>
      </c>
    </row>
    <row r="421" spans="2:31" x14ac:dyDescent="0.25">
      <c r="B421" s="45" t="s">
        <v>1726</v>
      </c>
      <c r="C421" s="45" t="s">
        <v>642</v>
      </c>
      <c r="D421" s="89" t="s">
        <v>1989</v>
      </c>
      <c r="E421" s="89">
        <v>112371</v>
      </c>
      <c r="F421" s="89">
        <v>1101</v>
      </c>
      <c r="G421" s="90">
        <v>13</v>
      </c>
      <c r="H421" s="90">
        <v>3</v>
      </c>
      <c r="I421" s="90" t="s">
        <v>26</v>
      </c>
      <c r="J421" s="90">
        <v>1</v>
      </c>
      <c r="K421" s="90" t="s">
        <v>2509</v>
      </c>
      <c r="L421" s="91">
        <v>6211</v>
      </c>
      <c r="M421" s="92" t="s">
        <v>2349</v>
      </c>
      <c r="N421" s="93"/>
      <c r="P421" s="21"/>
      <c r="Q421" s="12"/>
      <c r="R421">
        <f t="shared" si="21"/>
        <v>1</v>
      </c>
      <c r="S421" s="21" t="s">
        <v>99</v>
      </c>
      <c r="T421" s="21" t="s">
        <v>99</v>
      </c>
      <c r="W421" t="e">
        <f>INDEX(#REF!,MATCH($E421,#REF!,0))</f>
        <v>#REF!</v>
      </c>
      <c r="X421" t="e">
        <f>INDEX(#REF!,MATCH($E421,#REF!,0))</f>
        <v>#REF!</v>
      </c>
      <c r="Y421" t="e">
        <f>INDEX(#REF!,MATCH($E421,#REF!,0))</f>
        <v>#REF!</v>
      </c>
      <c r="Z421" t="e">
        <f>INDEX(#REF!,MATCH($E421,#REF!,0))</f>
        <v>#REF!</v>
      </c>
      <c r="AA421" t="e">
        <f>INDEX(#REF!,MATCH($E421,#REF!,0))</f>
        <v>#REF!</v>
      </c>
      <c r="AB421" t="e">
        <f>INDEX(#REF!,MATCH($E421,#REF!,0))</f>
        <v>#REF!</v>
      </c>
      <c r="AC421" t="e">
        <f>INDEX(#REF!,MATCH($E421,#REF!,0))</f>
        <v>#REF!</v>
      </c>
      <c r="AD421" t="e">
        <f>INDEX(#REF!,MATCH($E421,#REF!,0))</f>
        <v>#REF!</v>
      </c>
      <c r="AE421" t="e">
        <f t="shared" si="20"/>
        <v>#REF!</v>
      </c>
    </row>
    <row r="422" spans="2:31" x14ac:dyDescent="0.25">
      <c r="B422" s="45" t="s">
        <v>1727</v>
      </c>
      <c r="C422" s="45" t="s">
        <v>643</v>
      </c>
      <c r="D422" s="89" t="s">
        <v>1990</v>
      </c>
      <c r="E422" s="89">
        <v>112372</v>
      </c>
      <c r="F422" s="89">
        <v>1101</v>
      </c>
      <c r="G422" s="90">
        <v>14</v>
      </c>
      <c r="H422" s="90">
        <v>3</v>
      </c>
      <c r="I422" s="90" t="s">
        <v>26</v>
      </c>
      <c r="J422" s="90">
        <v>1</v>
      </c>
      <c r="K422" s="90" t="s">
        <v>2509</v>
      </c>
      <c r="L422" s="91">
        <v>6212</v>
      </c>
      <c r="M422" s="92" t="s">
        <v>1222</v>
      </c>
      <c r="N422" s="93"/>
      <c r="P422" s="21"/>
      <c r="Q422" s="12"/>
      <c r="R422">
        <f t="shared" si="21"/>
        <v>1</v>
      </c>
      <c r="S422" s="21" t="s">
        <v>99</v>
      </c>
      <c r="T422" s="21" t="s">
        <v>99</v>
      </c>
      <c r="W422" t="e">
        <f>INDEX(#REF!,MATCH($E422,#REF!,0))</f>
        <v>#REF!</v>
      </c>
      <c r="X422" t="e">
        <f>INDEX(#REF!,MATCH($E422,#REF!,0))</f>
        <v>#REF!</v>
      </c>
      <c r="Y422" t="e">
        <f>INDEX(#REF!,MATCH($E422,#REF!,0))</f>
        <v>#REF!</v>
      </c>
      <c r="Z422" t="e">
        <f>INDEX(#REF!,MATCH($E422,#REF!,0))</f>
        <v>#REF!</v>
      </c>
      <c r="AA422" t="e">
        <f>INDEX(#REF!,MATCH($E422,#REF!,0))</f>
        <v>#REF!</v>
      </c>
      <c r="AB422" t="e">
        <f>INDEX(#REF!,MATCH($E422,#REF!,0))</f>
        <v>#REF!</v>
      </c>
      <c r="AC422" t="e">
        <f>INDEX(#REF!,MATCH($E422,#REF!,0))</f>
        <v>#REF!</v>
      </c>
      <c r="AD422" t="e">
        <f>INDEX(#REF!,MATCH($E422,#REF!,0))</f>
        <v>#REF!</v>
      </c>
      <c r="AE422" t="e">
        <f t="shared" si="20"/>
        <v>#REF!</v>
      </c>
    </row>
    <row r="423" spans="2:31" x14ac:dyDescent="0.25">
      <c r="B423" s="45" t="s">
        <v>1728</v>
      </c>
      <c r="C423" s="45" t="s">
        <v>644</v>
      </c>
      <c r="D423" s="89" t="s">
        <v>1991</v>
      </c>
      <c r="E423" s="89">
        <v>112373</v>
      </c>
      <c r="F423" s="89">
        <v>1087</v>
      </c>
      <c r="G423" s="90">
        <v>15</v>
      </c>
      <c r="H423" s="90">
        <v>3</v>
      </c>
      <c r="I423" s="90" t="s">
        <v>26</v>
      </c>
      <c r="J423" s="90">
        <v>1</v>
      </c>
      <c r="K423" s="90" t="s">
        <v>2509</v>
      </c>
      <c r="L423" s="91">
        <v>6213</v>
      </c>
      <c r="M423" s="92" t="s">
        <v>2350</v>
      </c>
      <c r="N423" s="93"/>
      <c r="P423" s="21"/>
      <c r="Q423" s="12"/>
      <c r="R423">
        <f t="shared" si="21"/>
        <v>1</v>
      </c>
      <c r="S423" s="21" t="s">
        <v>99</v>
      </c>
      <c r="T423" s="21" t="s">
        <v>99</v>
      </c>
      <c r="W423" t="e">
        <f>INDEX(#REF!,MATCH($E423,#REF!,0))</f>
        <v>#REF!</v>
      </c>
      <c r="X423" t="e">
        <f>INDEX(#REF!,MATCH($E423,#REF!,0))</f>
        <v>#REF!</v>
      </c>
      <c r="Y423" t="e">
        <f>INDEX(#REF!,MATCH($E423,#REF!,0))</f>
        <v>#REF!</v>
      </c>
      <c r="Z423" t="e">
        <f>INDEX(#REF!,MATCH($E423,#REF!,0))</f>
        <v>#REF!</v>
      </c>
      <c r="AA423" t="e">
        <f>INDEX(#REF!,MATCH($E423,#REF!,0))</f>
        <v>#REF!</v>
      </c>
      <c r="AB423" t="e">
        <f>INDEX(#REF!,MATCH($E423,#REF!,0))</f>
        <v>#REF!</v>
      </c>
      <c r="AC423" t="e">
        <f>INDEX(#REF!,MATCH($E423,#REF!,0))</f>
        <v>#REF!</v>
      </c>
      <c r="AD423" t="e">
        <f>INDEX(#REF!,MATCH($E423,#REF!,0))</f>
        <v>#REF!</v>
      </c>
      <c r="AE423" t="e">
        <f t="shared" si="20"/>
        <v>#REF!</v>
      </c>
    </row>
    <row r="424" spans="2:31" x14ac:dyDescent="0.25">
      <c r="B424" s="45" t="s">
        <v>1729</v>
      </c>
      <c r="C424" s="45" t="s">
        <v>645</v>
      </c>
      <c r="D424" s="89" t="s">
        <v>1992</v>
      </c>
      <c r="E424" s="89">
        <v>112374</v>
      </c>
      <c r="F424" s="89">
        <v>1087</v>
      </c>
      <c r="G424" s="90">
        <v>16</v>
      </c>
      <c r="H424" s="90">
        <v>3</v>
      </c>
      <c r="I424" s="90" t="s">
        <v>26</v>
      </c>
      <c r="J424" s="90">
        <v>1</v>
      </c>
      <c r="K424" s="90" t="s">
        <v>2509</v>
      </c>
      <c r="L424" s="91">
        <v>6214</v>
      </c>
      <c r="M424" s="92" t="s">
        <v>2351</v>
      </c>
      <c r="N424" s="93"/>
      <c r="P424" s="21"/>
      <c r="Q424" s="12"/>
      <c r="R424">
        <f t="shared" si="21"/>
        <v>1</v>
      </c>
      <c r="S424" s="21" t="s">
        <v>99</v>
      </c>
      <c r="T424" s="21" t="s">
        <v>99</v>
      </c>
      <c r="W424" t="e">
        <f>INDEX(#REF!,MATCH($E424,#REF!,0))</f>
        <v>#REF!</v>
      </c>
      <c r="X424" t="e">
        <f>INDEX(#REF!,MATCH($E424,#REF!,0))</f>
        <v>#REF!</v>
      </c>
      <c r="Y424" t="e">
        <f>INDEX(#REF!,MATCH($E424,#REF!,0))</f>
        <v>#REF!</v>
      </c>
      <c r="Z424" t="e">
        <f>INDEX(#REF!,MATCH($E424,#REF!,0))</f>
        <v>#REF!</v>
      </c>
      <c r="AA424" t="e">
        <f>INDEX(#REF!,MATCH($E424,#REF!,0))</f>
        <v>#REF!</v>
      </c>
      <c r="AB424" t="e">
        <f>INDEX(#REF!,MATCH($E424,#REF!,0))</f>
        <v>#REF!</v>
      </c>
      <c r="AC424" t="e">
        <f>INDEX(#REF!,MATCH($E424,#REF!,0))</f>
        <v>#REF!</v>
      </c>
      <c r="AD424" t="e">
        <f>INDEX(#REF!,MATCH($E424,#REF!,0))</f>
        <v>#REF!</v>
      </c>
      <c r="AE424" t="e">
        <f t="shared" si="20"/>
        <v>#REF!</v>
      </c>
    </row>
    <row r="425" spans="2:31" x14ac:dyDescent="0.25">
      <c r="B425" s="45" t="s">
        <v>1730</v>
      </c>
      <c r="C425" s="45" t="s">
        <v>646</v>
      </c>
      <c r="D425" s="89" t="s">
        <v>1993</v>
      </c>
      <c r="E425" s="89">
        <v>112375</v>
      </c>
      <c r="F425" s="89">
        <v>1087</v>
      </c>
      <c r="G425" s="90">
        <v>17</v>
      </c>
      <c r="H425" s="90">
        <v>3</v>
      </c>
      <c r="I425" s="90" t="s">
        <v>26</v>
      </c>
      <c r="J425" s="90">
        <v>1</v>
      </c>
      <c r="K425" s="90" t="s">
        <v>2509</v>
      </c>
      <c r="L425" s="91">
        <v>6215</v>
      </c>
      <c r="M425" s="92"/>
      <c r="N425" s="93"/>
      <c r="P425" s="21"/>
      <c r="Q425" s="12"/>
      <c r="R425">
        <f t="shared" si="21"/>
        <v>1</v>
      </c>
      <c r="S425" s="21" t="s">
        <v>99</v>
      </c>
      <c r="T425" s="21" t="s">
        <v>99</v>
      </c>
      <c r="W425" t="e">
        <f>INDEX(#REF!,MATCH($E425,#REF!,0))</f>
        <v>#REF!</v>
      </c>
      <c r="X425" t="e">
        <f>INDEX(#REF!,MATCH($E425,#REF!,0))</f>
        <v>#REF!</v>
      </c>
      <c r="Y425" t="e">
        <f>INDEX(#REF!,MATCH($E425,#REF!,0))</f>
        <v>#REF!</v>
      </c>
      <c r="Z425" t="e">
        <f>INDEX(#REF!,MATCH($E425,#REF!,0))</f>
        <v>#REF!</v>
      </c>
      <c r="AA425" t="e">
        <f>INDEX(#REF!,MATCH($E425,#REF!,0))</f>
        <v>#REF!</v>
      </c>
      <c r="AB425" t="e">
        <f>INDEX(#REF!,MATCH($E425,#REF!,0))</f>
        <v>#REF!</v>
      </c>
      <c r="AC425" t="e">
        <f>INDEX(#REF!,MATCH($E425,#REF!,0))</f>
        <v>#REF!</v>
      </c>
      <c r="AD425" t="e">
        <f>INDEX(#REF!,MATCH($E425,#REF!,0))</f>
        <v>#REF!</v>
      </c>
      <c r="AE425" t="e">
        <f t="shared" si="20"/>
        <v>#REF!</v>
      </c>
    </row>
    <row r="426" spans="2:31" x14ac:dyDescent="0.25">
      <c r="B426" s="45" t="s">
        <v>1731</v>
      </c>
      <c r="C426" s="45" t="s">
        <v>647</v>
      </c>
      <c r="D426" s="89" t="s">
        <v>1994</v>
      </c>
      <c r="E426" s="89">
        <v>112376</v>
      </c>
      <c r="F426" s="89">
        <v>1087</v>
      </c>
      <c r="G426" s="90">
        <v>18</v>
      </c>
      <c r="H426" s="90">
        <v>3</v>
      </c>
      <c r="I426" s="90" t="s">
        <v>26</v>
      </c>
      <c r="J426" s="90">
        <v>1</v>
      </c>
      <c r="K426" s="90" t="s">
        <v>2509</v>
      </c>
      <c r="L426" s="91">
        <v>6216</v>
      </c>
      <c r="M426" s="92"/>
      <c r="N426" s="93"/>
      <c r="P426" s="21"/>
      <c r="Q426" s="12"/>
      <c r="R426">
        <f t="shared" si="21"/>
        <v>1</v>
      </c>
      <c r="S426" s="21" t="s">
        <v>99</v>
      </c>
      <c r="T426" s="21" t="s">
        <v>99</v>
      </c>
      <c r="W426" t="e">
        <f>INDEX(#REF!,MATCH($E426,#REF!,0))</f>
        <v>#REF!</v>
      </c>
      <c r="X426" t="e">
        <f>INDEX(#REF!,MATCH($E426,#REF!,0))</f>
        <v>#REF!</v>
      </c>
      <c r="Y426" t="e">
        <f>INDEX(#REF!,MATCH($E426,#REF!,0))</f>
        <v>#REF!</v>
      </c>
      <c r="Z426" t="e">
        <f>INDEX(#REF!,MATCH($E426,#REF!,0))</f>
        <v>#REF!</v>
      </c>
      <c r="AA426" t="e">
        <f>INDEX(#REF!,MATCH($E426,#REF!,0))</f>
        <v>#REF!</v>
      </c>
      <c r="AB426" t="e">
        <f>INDEX(#REF!,MATCH($E426,#REF!,0))</f>
        <v>#REF!</v>
      </c>
      <c r="AC426" t="e">
        <f>INDEX(#REF!,MATCH($E426,#REF!,0))</f>
        <v>#REF!</v>
      </c>
      <c r="AD426" t="e">
        <f>INDEX(#REF!,MATCH($E426,#REF!,0))</f>
        <v>#REF!</v>
      </c>
      <c r="AE426" t="e">
        <f t="shared" si="20"/>
        <v>#REF!</v>
      </c>
    </row>
    <row r="427" spans="2:31" x14ac:dyDescent="0.25">
      <c r="B427" s="45" t="s">
        <v>1732</v>
      </c>
      <c r="C427" s="45" t="s">
        <v>648</v>
      </c>
      <c r="D427" s="89" t="s">
        <v>1995</v>
      </c>
      <c r="E427" s="89">
        <v>112377</v>
      </c>
      <c r="F427" s="89">
        <v>1087</v>
      </c>
      <c r="G427" s="90">
        <v>19</v>
      </c>
      <c r="H427" s="90">
        <v>3</v>
      </c>
      <c r="I427" s="90" t="s">
        <v>26</v>
      </c>
      <c r="J427" s="90">
        <v>1</v>
      </c>
      <c r="K427" s="90" t="s">
        <v>2509</v>
      </c>
      <c r="L427" s="91">
        <v>6217</v>
      </c>
      <c r="M427" s="92"/>
      <c r="N427" s="93"/>
      <c r="P427" s="21"/>
      <c r="Q427" s="12"/>
      <c r="R427">
        <f t="shared" si="21"/>
        <v>1</v>
      </c>
      <c r="S427" s="21" t="s">
        <v>99</v>
      </c>
      <c r="T427" s="21" t="s">
        <v>99</v>
      </c>
      <c r="W427" t="e">
        <f>INDEX(#REF!,MATCH($E427,#REF!,0))</f>
        <v>#REF!</v>
      </c>
      <c r="X427" t="e">
        <f>INDEX(#REF!,MATCH($E427,#REF!,0))</f>
        <v>#REF!</v>
      </c>
      <c r="Y427" t="e">
        <f>INDEX(#REF!,MATCH($E427,#REF!,0))</f>
        <v>#REF!</v>
      </c>
      <c r="Z427" t="e">
        <f>INDEX(#REF!,MATCH($E427,#REF!,0))</f>
        <v>#REF!</v>
      </c>
      <c r="AA427" t="e">
        <f>INDEX(#REF!,MATCH($E427,#REF!,0))</f>
        <v>#REF!</v>
      </c>
      <c r="AB427" t="e">
        <f>INDEX(#REF!,MATCH($E427,#REF!,0))</f>
        <v>#REF!</v>
      </c>
      <c r="AC427" t="e">
        <f>INDEX(#REF!,MATCH($E427,#REF!,0))</f>
        <v>#REF!</v>
      </c>
      <c r="AD427" t="e">
        <f>INDEX(#REF!,MATCH($E427,#REF!,0))</f>
        <v>#REF!</v>
      </c>
      <c r="AE427" t="e">
        <f t="shared" si="20"/>
        <v>#REF!</v>
      </c>
    </row>
    <row r="428" spans="2:31" x14ac:dyDescent="0.25">
      <c r="B428" s="45" t="s">
        <v>1733</v>
      </c>
      <c r="C428" s="45" t="s">
        <v>649</v>
      </c>
      <c r="D428" s="89" t="s">
        <v>1996</v>
      </c>
      <c r="E428" s="89">
        <v>112378</v>
      </c>
      <c r="F428" s="89">
        <v>1087</v>
      </c>
      <c r="G428" s="90">
        <v>20</v>
      </c>
      <c r="H428" s="90">
        <v>3</v>
      </c>
      <c r="I428" s="90" t="s">
        <v>26</v>
      </c>
      <c r="J428" s="90">
        <v>1</v>
      </c>
      <c r="K428" s="90" t="s">
        <v>2509</v>
      </c>
      <c r="L428" s="91">
        <v>6218</v>
      </c>
      <c r="M428" s="92"/>
      <c r="N428" s="93"/>
      <c r="P428" s="21"/>
      <c r="Q428" s="12"/>
      <c r="R428">
        <f t="shared" si="21"/>
        <v>1</v>
      </c>
      <c r="S428" s="21" t="s">
        <v>99</v>
      </c>
      <c r="T428" s="21" t="s">
        <v>99</v>
      </c>
      <c r="W428" t="e">
        <f>INDEX(#REF!,MATCH($E428,#REF!,0))</f>
        <v>#REF!</v>
      </c>
      <c r="X428" t="e">
        <f>INDEX(#REF!,MATCH($E428,#REF!,0))</f>
        <v>#REF!</v>
      </c>
      <c r="Y428" t="e">
        <f>INDEX(#REF!,MATCH($E428,#REF!,0))</f>
        <v>#REF!</v>
      </c>
      <c r="Z428" t="e">
        <f>INDEX(#REF!,MATCH($E428,#REF!,0))</f>
        <v>#REF!</v>
      </c>
      <c r="AA428" t="e">
        <f>INDEX(#REF!,MATCH($E428,#REF!,0))</f>
        <v>#REF!</v>
      </c>
      <c r="AB428" t="e">
        <f>INDEX(#REF!,MATCH($E428,#REF!,0))</f>
        <v>#REF!</v>
      </c>
      <c r="AC428" t="e">
        <f>INDEX(#REF!,MATCH($E428,#REF!,0))</f>
        <v>#REF!</v>
      </c>
      <c r="AD428" t="e">
        <f>INDEX(#REF!,MATCH($E428,#REF!,0))</f>
        <v>#REF!</v>
      </c>
      <c r="AE428" t="e">
        <f t="shared" si="20"/>
        <v>#REF!</v>
      </c>
    </row>
    <row r="429" spans="2:31" x14ac:dyDescent="0.25">
      <c r="B429" s="45" t="s">
        <v>1734</v>
      </c>
      <c r="C429" s="45" t="s">
        <v>650</v>
      </c>
      <c r="D429" s="89" t="s">
        <v>1997</v>
      </c>
      <c r="E429" s="89">
        <v>112379</v>
      </c>
      <c r="F429" s="89">
        <v>1087</v>
      </c>
      <c r="G429" s="90">
        <v>21</v>
      </c>
      <c r="H429" s="90">
        <v>3</v>
      </c>
      <c r="I429" s="90" t="s">
        <v>26</v>
      </c>
      <c r="J429" s="90">
        <v>1</v>
      </c>
      <c r="K429" s="90" t="s">
        <v>2509</v>
      </c>
      <c r="L429" s="91">
        <v>6219</v>
      </c>
      <c r="M429" s="92"/>
      <c r="N429" s="93"/>
      <c r="P429" s="21"/>
      <c r="Q429" s="12"/>
      <c r="R429">
        <f t="shared" si="21"/>
        <v>1</v>
      </c>
      <c r="S429" s="21" t="s">
        <v>99</v>
      </c>
      <c r="T429" s="21" t="s">
        <v>99</v>
      </c>
      <c r="W429" t="e">
        <f>INDEX(#REF!,MATCH($E429,#REF!,0))</f>
        <v>#REF!</v>
      </c>
      <c r="X429" t="e">
        <f>INDEX(#REF!,MATCH($E429,#REF!,0))</f>
        <v>#REF!</v>
      </c>
      <c r="Y429" t="e">
        <f>INDEX(#REF!,MATCH($E429,#REF!,0))</f>
        <v>#REF!</v>
      </c>
      <c r="Z429" t="e">
        <f>INDEX(#REF!,MATCH($E429,#REF!,0))</f>
        <v>#REF!</v>
      </c>
      <c r="AA429" t="e">
        <f>INDEX(#REF!,MATCH($E429,#REF!,0))</f>
        <v>#REF!</v>
      </c>
      <c r="AB429" t="e">
        <f>INDEX(#REF!,MATCH($E429,#REF!,0))</f>
        <v>#REF!</v>
      </c>
      <c r="AC429" t="e">
        <f>INDEX(#REF!,MATCH($E429,#REF!,0))</f>
        <v>#REF!</v>
      </c>
      <c r="AD429" t="e">
        <f>INDEX(#REF!,MATCH($E429,#REF!,0))</f>
        <v>#REF!</v>
      </c>
      <c r="AE429" t="e">
        <f t="shared" si="20"/>
        <v>#REF!</v>
      </c>
    </row>
    <row r="430" spans="2:31" x14ac:dyDescent="0.25">
      <c r="B430" s="45" t="s">
        <v>1735</v>
      </c>
      <c r="C430" s="45" t="s">
        <v>651</v>
      </c>
      <c r="D430" s="89" t="s">
        <v>1998</v>
      </c>
      <c r="E430" s="89">
        <v>112380</v>
      </c>
      <c r="F430" s="89">
        <v>1087</v>
      </c>
      <c r="G430" s="90">
        <v>22</v>
      </c>
      <c r="H430" s="90">
        <v>3</v>
      </c>
      <c r="I430" s="90" t="s">
        <v>26</v>
      </c>
      <c r="J430" s="90">
        <v>1</v>
      </c>
      <c r="K430" s="90" t="s">
        <v>2509</v>
      </c>
      <c r="L430" s="91">
        <v>6220</v>
      </c>
      <c r="M430" s="92"/>
      <c r="N430" s="93"/>
      <c r="P430" s="21"/>
      <c r="Q430" s="12"/>
      <c r="R430">
        <f t="shared" si="21"/>
        <v>1</v>
      </c>
      <c r="S430" s="21" t="s">
        <v>99</v>
      </c>
      <c r="T430" s="21" t="s">
        <v>99</v>
      </c>
      <c r="W430" t="e">
        <f>INDEX(#REF!,MATCH($E430,#REF!,0))</f>
        <v>#REF!</v>
      </c>
      <c r="X430" t="e">
        <f>INDEX(#REF!,MATCH($E430,#REF!,0))</f>
        <v>#REF!</v>
      </c>
      <c r="Y430" t="e">
        <f>INDEX(#REF!,MATCH($E430,#REF!,0))</f>
        <v>#REF!</v>
      </c>
      <c r="Z430" t="e">
        <f>INDEX(#REF!,MATCH($E430,#REF!,0))</f>
        <v>#REF!</v>
      </c>
      <c r="AA430" t="e">
        <f>INDEX(#REF!,MATCH($E430,#REF!,0))</f>
        <v>#REF!</v>
      </c>
      <c r="AB430" t="e">
        <f>INDEX(#REF!,MATCH($E430,#REF!,0))</f>
        <v>#REF!</v>
      </c>
      <c r="AC430" t="e">
        <f>INDEX(#REF!,MATCH($E430,#REF!,0))</f>
        <v>#REF!</v>
      </c>
      <c r="AD430" t="e">
        <f>INDEX(#REF!,MATCH($E430,#REF!,0))</f>
        <v>#REF!</v>
      </c>
      <c r="AE430" t="e">
        <f t="shared" si="20"/>
        <v>#REF!</v>
      </c>
    </row>
    <row r="431" spans="2:31" x14ac:dyDescent="0.25">
      <c r="B431" s="45" t="s">
        <v>1736</v>
      </c>
      <c r="C431" s="45" t="s">
        <v>652</v>
      </c>
      <c r="D431" s="89" t="s">
        <v>1999</v>
      </c>
      <c r="E431" s="89">
        <v>112381</v>
      </c>
      <c r="F431" s="89">
        <v>1087</v>
      </c>
      <c r="G431" s="90">
        <v>23</v>
      </c>
      <c r="H431" s="90">
        <v>3</v>
      </c>
      <c r="I431" s="90" t="s">
        <v>26</v>
      </c>
      <c r="J431" s="90">
        <v>1</v>
      </c>
      <c r="K431" s="90" t="s">
        <v>2509</v>
      </c>
      <c r="L431" s="91">
        <v>6221</v>
      </c>
      <c r="M431" s="92"/>
      <c r="N431" s="93"/>
      <c r="P431" s="21"/>
      <c r="Q431" s="12"/>
      <c r="R431">
        <f t="shared" si="21"/>
        <v>1</v>
      </c>
      <c r="S431" s="21" t="s">
        <v>99</v>
      </c>
      <c r="T431" s="21" t="s">
        <v>99</v>
      </c>
      <c r="W431" t="e">
        <f>INDEX(#REF!,MATCH($E431,#REF!,0))</f>
        <v>#REF!</v>
      </c>
      <c r="X431" t="e">
        <f>INDEX(#REF!,MATCH($E431,#REF!,0))</f>
        <v>#REF!</v>
      </c>
      <c r="Y431" t="e">
        <f>INDEX(#REF!,MATCH($E431,#REF!,0))</f>
        <v>#REF!</v>
      </c>
      <c r="Z431" t="e">
        <f>INDEX(#REF!,MATCH($E431,#REF!,0))</f>
        <v>#REF!</v>
      </c>
      <c r="AA431" t="e">
        <f>INDEX(#REF!,MATCH($E431,#REF!,0))</f>
        <v>#REF!</v>
      </c>
      <c r="AB431" t="e">
        <f>INDEX(#REF!,MATCH($E431,#REF!,0))</f>
        <v>#REF!</v>
      </c>
      <c r="AC431" t="e">
        <f>INDEX(#REF!,MATCH($E431,#REF!,0))</f>
        <v>#REF!</v>
      </c>
      <c r="AD431" t="e">
        <f>INDEX(#REF!,MATCH($E431,#REF!,0))</f>
        <v>#REF!</v>
      </c>
      <c r="AE431" t="e">
        <f t="shared" si="20"/>
        <v>#REF!</v>
      </c>
    </row>
    <row r="432" spans="2:31" x14ac:dyDescent="0.25">
      <c r="B432" s="45" t="s">
        <v>1737</v>
      </c>
      <c r="C432" s="45" t="s">
        <v>653</v>
      </c>
      <c r="D432" s="89" t="s">
        <v>2000</v>
      </c>
      <c r="E432" s="89">
        <v>112401</v>
      </c>
      <c r="F432" s="89">
        <v>1087</v>
      </c>
      <c r="G432" s="90">
        <v>24</v>
      </c>
      <c r="H432" s="90">
        <v>3</v>
      </c>
      <c r="I432" s="90" t="s">
        <v>26</v>
      </c>
      <c r="J432" s="90">
        <v>1</v>
      </c>
      <c r="K432" s="90" t="s">
        <v>2509</v>
      </c>
      <c r="L432" s="91">
        <v>6100</v>
      </c>
      <c r="M432" s="92" t="s">
        <v>2352</v>
      </c>
      <c r="N432" s="93"/>
      <c r="P432" s="21"/>
      <c r="Q432" s="12"/>
      <c r="R432">
        <f t="shared" si="21"/>
        <v>1</v>
      </c>
      <c r="S432" s="21" t="s">
        <v>99</v>
      </c>
      <c r="T432" s="21" t="s">
        <v>99</v>
      </c>
      <c r="W432" t="e">
        <f>INDEX(#REF!,MATCH($E432,#REF!,0))</f>
        <v>#REF!</v>
      </c>
      <c r="X432" t="e">
        <f>INDEX(#REF!,MATCH($E432,#REF!,0))</f>
        <v>#REF!</v>
      </c>
      <c r="Y432" t="e">
        <f>INDEX(#REF!,MATCH($E432,#REF!,0))</f>
        <v>#REF!</v>
      </c>
      <c r="Z432" t="e">
        <f>INDEX(#REF!,MATCH($E432,#REF!,0))</f>
        <v>#REF!</v>
      </c>
      <c r="AA432" t="e">
        <f>INDEX(#REF!,MATCH($E432,#REF!,0))</f>
        <v>#REF!</v>
      </c>
      <c r="AB432" t="e">
        <f>INDEX(#REF!,MATCH($E432,#REF!,0))</f>
        <v>#REF!</v>
      </c>
      <c r="AC432" t="e">
        <f>INDEX(#REF!,MATCH($E432,#REF!,0))</f>
        <v>#REF!</v>
      </c>
      <c r="AD432" t="e">
        <f>INDEX(#REF!,MATCH($E432,#REF!,0))</f>
        <v>#REF!</v>
      </c>
      <c r="AE432" t="e">
        <f t="shared" si="20"/>
        <v>#REF!</v>
      </c>
    </row>
    <row r="433" spans="2:31" x14ac:dyDescent="0.25">
      <c r="B433" s="45" t="s">
        <v>1738</v>
      </c>
      <c r="C433" s="45" t="s">
        <v>654</v>
      </c>
      <c r="D433" s="89" t="s">
        <v>2001</v>
      </c>
      <c r="E433" s="89">
        <v>112402</v>
      </c>
      <c r="F433" s="89">
        <v>1100</v>
      </c>
      <c r="G433" s="90">
        <v>0</v>
      </c>
      <c r="H433" s="90">
        <v>3</v>
      </c>
      <c r="I433" s="90" t="s">
        <v>26</v>
      </c>
      <c r="J433" s="90">
        <v>1</v>
      </c>
      <c r="K433" s="90" t="s">
        <v>2509</v>
      </c>
      <c r="L433" s="91">
        <v>6101</v>
      </c>
      <c r="M433" s="92" t="s">
        <v>2353</v>
      </c>
      <c r="N433" s="93"/>
      <c r="P433" s="21"/>
      <c r="Q433" s="12"/>
      <c r="R433">
        <f t="shared" si="21"/>
        <v>1</v>
      </c>
      <c r="S433" s="21" t="s">
        <v>99</v>
      </c>
      <c r="T433" s="21" t="s">
        <v>99</v>
      </c>
      <c r="W433" t="e">
        <f>INDEX(#REF!,MATCH($E433,#REF!,0))</f>
        <v>#REF!</v>
      </c>
      <c r="X433" t="e">
        <f>INDEX(#REF!,MATCH($E433,#REF!,0))</f>
        <v>#REF!</v>
      </c>
      <c r="Y433" t="e">
        <f>INDEX(#REF!,MATCH($E433,#REF!,0))</f>
        <v>#REF!</v>
      </c>
      <c r="Z433" t="e">
        <f>INDEX(#REF!,MATCH($E433,#REF!,0))</f>
        <v>#REF!</v>
      </c>
      <c r="AA433" t="e">
        <f>INDEX(#REF!,MATCH($E433,#REF!,0))</f>
        <v>#REF!</v>
      </c>
      <c r="AB433" t="e">
        <f>INDEX(#REF!,MATCH($E433,#REF!,0))</f>
        <v>#REF!</v>
      </c>
      <c r="AC433" t="e">
        <f>INDEX(#REF!,MATCH($E433,#REF!,0))</f>
        <v>#REF!</v>
      </c>
      <c r="AD433" t="e">
        <f>INDEX(#REF!,MATCH($E433,#REF!,0))</f>
        <v>#REF!</v>
      </c>
      <c r="AE433" t="e">
        <f t="shared" si="20"/>
        <v>#REF!</v>
      </c>
    </row>
    <row r="434" spans="2:31" x14ac:dyDescent="0.25">
      <c r="B434" s="45" t="s">
        <v>1739</v>
      </c>
      <c r="C434" s="45" t="s">
        <v>655</v>
      </c>
      <c r="D434" s="89" t="s">
        <v>2002</v>
      </c>
      <c r="E434" s="89">
        <v>112403</v>
      </c>
      <c r="F434" s="89">
        <v>1100</v>
      </c>
      <c r="G434" s="90">
        <v>1</v>
      </c>
      <c r="H434" s="90">
        <v>3</v>
      </c>
      <c r="I434" s="90" t="s">
        <v>26</v>
      </c>
      <c r="J434" s="90">
        <v>1</v>
      </c>
      <c r="K434" s="90" t="s">
        <v>2509</v>
      </c>
      <c r="L434" s="91">
        <v>6102</v>
      </c>
      <c r="M434" s="92" t="s">
        <v>2354</v>
      </c>
      <c r="N434" s="93"/>
      <c r="P434" s="21"/>
      <c r="Q434" s="12"/>
      <c r="R434">
        <f t="shared" si="21"/>
        <v>1</v>
      </c>
      <c r="S434" s="21" t="s">
        <v>99</v>
      </c>
      <c r="T434" s="21" t="s">
        <v>99</v>
      </c>
      <c r="W434" t="e">
        <f>INDEX(#REF!,MATCH($E434,#REF!,0))</f>
        <v>#REF!</v>
      </c>
      <c r="X434" t="e">
        <f>INDEX(#REF!,MATCH($E434,#REF!,0))</f>
        <v>#REF!</v>
      </c>
      <c r="Y434" t="e">
        <f>INDEX(#REF!,MATCH($E434,#REF!,0))</f>
        <v>#REF!</v>
      </c>
      <c r="Z434" t="e">
        <f>INDEX(#REF!,MATCH($E434,#REF!,0))</f>
        <v>#REF!</v>
      </c>
      <c r="AA434" t="e">
        <f>INDEX(#REF!,MATCH($E434,#REF!,0))</f>
        <v>#REF!</v>
      </c>
      <c r="AB434" t="e">
        <f>INDEX(#REF!,MATCH($E434,#REF!,0))</f>
        <v>#REF!</v>
      </c>
      <c r="AC434" t="e">
        <f>INDEX(#REF!,MATCH($E434,#REF!,0))</f>
        <v>#REF!</v>
      </c>
      <c r="AD434" t="e">
        <f>INDEX(#REF!,MATCH($E434,#REF!,0))</f>
        <v>#REF!</v>
      </c>
      <c r="AE434" t="e">
        <f t="shared" si="20"/>
        <v>#REF!</v>
      </c>
    </row>
    <row r="435" spans="2:31" x14ac:dyDescent="0.25">
      <c r="B435" s="45" t="s">
        <v>1740</v>
      </c>
      <c r="C435" s="45" t="s">
        <v>656</v>
      </c>
      <c r="D435" s="89" t="s">
        <v>2003</v>
      </c>
      <c r="E435" s="89">
        <v>112404</v>
      </c>
      <c r="F435" s="89">
        <v>1100</v>
      </c>
      <c r="G435" s="90">
        <v>2</v>
      </c>
      <c r="H435" s="90">
        <v>3</v>
      </c>
      <c r="I435" s="90" t="s">
        <v>26</v>
      </c>
      <c r="J435" s="90">
        <v>1</v>
      </c>
      <c r="K435" s="90" t="s">
        <v>2509</v>
      </c>
      <c r="L435" s="91">
        <v>6103</v>
      </c>
      <c r="M435" s="92" t="s">
        <v>2355</v>
      </c>
      <c r="N435" s="93"/>
      <c r="P435" s="21"/>
      <c r="Q435" s="12"/>
      <c r="R435">
        <f t="shared" si="21"/>
        <v>1</v>
      </c>
      <c r="S435" s="21" t="s">
        <v>99</v>
      </c>
      <c r="T435" s="21" t="s">
        <v>99</v>
      </c>
      <c r="W435" t="e">
        <f>INDEX(#REF!,MATCH($E435,#REF!,0))</f>
        <v>#REF!</v>
      </c>
      <c r="X435" t="e">
        <f>INDEX(#REF!,MATCH($E435,#REF!,0))</f>
        <v>#REF!</v>
      </c>
      <c r="Y435" t="e">
        <f>INDEX(#REF!,MATCH($E435,#REF!,0))</f>
        <v>#REF!</v>
      </c>
      <c r="Z435" t="e">
        <f>INDEX(#REF!,MATCH($E435,#REF!,0))</f>
        <v>#REF!</v>
      </c>
      <c r="AA435" t="e">
        <f>INDEX(#REF!,MATCH($E435,#REF!,0))</f>
        <v>#REF!</v>
      </c>
      <c r="AB435" t="e">
        <f>INDEX(#REF!,MATCH($E435,#REF!,0))</f>
        <v>#REF!</v>
      </c>
      <c r="AC435" t="e">
        <f>INDEX(#REF!,MATCH($E435,#REF!,0))</f>
        <v>#REF!</v>
      </c>
      <c r="AD435" t="e">
        <f>INDEX(#REF!,MATCH($E435,#REF!,0))</f>
        <v>#REF!</v>
      </c>
      <c r="AE435" t="e">
        <f t="shared" si="20"/>
        <v>#REF!</v>
      </c>
    </row>
    <row r="436" spans="2:31" x14ac:dyDescent="0.25">
      <c r="B436" s="45" t="s">
        <v>1741</v>
      </c>
      <c r="C436" s="45" t="s">
        <v>657</v>
      </c>
      <c r="D436" s="89" t="s">
        <v>2004</v>
      </c>
      <c r="E436" s="89">
        <v>112405</v>
      </c>
      <c r="F436" s="89">
        <v>1100</v>
      </c>
      <c r="G436" s="90">
        <v>3</v>
      </c>
      <c r="H436" s="90">
        <v>3</v>
      </c>
      <c r="I436" s="90" t="s">
        <v>26</v>
      </c>
      <c r="J436" s="90">
        <v>1</v>
      </c>
      <c r="K436" s="90" t="s">
        <v>2509</v>
      </c>
      <c r="L436" s="91">
        <v>6104</v>
      </c>
      <c r="M436" s="92" t="s">
        <v>2356</v>
      </c>
      <c r="N436" s="93"/>
      <c r="P436" s="21"/>
      <c r="Q436" s="12"/>
      <c r="R436">
        <f t="shared" si="21"/>
        <v>1</v>
      </c>
      <c r="S436" s="21" t="s">
        <v>99</v>
      </c>
      <c r="T436" s="21" t="s">
        <v>99</v>
      </c>
      <c r="W436" t="e">
        <f>INDEX(#REF!,MATCH($E436,#REF!,0))</f>
        <v>#REF!</v>
      </c>
      <c r="X436" t="e">
        <f>INDEX(#REF!,MATCH($E436,#REF!,0))</f>
        <v>#REF!</v>
      </c>
      <c r="Y436" t="e">
        <f>INDEX(#REF!,MATCH($E436,#REF!,0))</f>
        <v>#REF!</v>
      </c>
      <c r="Z436" t="e">
        <f>INDEX(#REF!,MATCH($E436,#REF!,0))</f>
        <v>#REF!</v>
      </c>
      <c r="AA436" t="e">
        <f>INDEX(#REF!,MATCH($E436,#REF!,0))</f>
        <v>#REF!</v>
      </c>
      <c r="AB436" t="e">
        <f>INDEX(#REF!,MATCH($E436,#REF!,0))</f>
        <v>#REF!</v>
      </c>
      <c r="AC436" t="e">
        <f>INDEX(#REF!,MATCH($E436,#REF!,0))</f>
        <v>#REF!</v>
      </c>
      <c r="AD436" t="e">
        <f>INDEX(#REF!,MATCH($E436,#REF!,0))</f>
        <v>#REF!</v>
      </c>
      <c r="AE436" t="e">
        <f t="shared" si="20"/>
        <v>#REF!</v>
      </c>
    </row>
    <row r="437" spans="2:31" x14ac:dyDescent="0.25">
      <c r="B437" s="45" t="s">
        <v>1742</v>
      </c>
      <c r="C437" s="45" t="s">
        <v>658</v>
      </c>
      <c r="D437" s="89" t="s">
        <v>2005</v>
      </c>
      <c r="E437" s="89">
        <v>112406</v>
      </c>
      <c r="F437" s="89">
        <v>1100</v>
      </c>
      <c r="G437" s="90">
        <v>4</v>
      </c>
      <c r="H437" s="90">
        <v>3</v>
      </c>
      <c r="I437" s="90" t="s">
        <v>26</v>
      </c>
      <c r="J437" s="90">
        <v>1</v>
      </c>
      <c r="K437" s="90" t="s">
        <v>2509</v>
      </c>
      <c r="L437" s="91">
        <v>6105</v>
      </c>
      <c r="M437" s="92" t="s">
        <v>2357</v>
      </c>
      <c r="N437" s="93"/>
      <c r="P437" s="21"/>
      <c r="Q437" s="12"/>
      <c r="R437">
        <f t="shared" si="21"/>
        <v>1</v>
      </c>
      <c r="S437" s="21" t="s">
        <v>99</v>
      </c>
      <c r="T437" s="21" t="s">
        <v>99</v>
      </c>
      <c r="W437" t="e">
        <f>INDEX(#REF!,MATCH($E437,#REF!,0))</f>
        <v>#REF!</v>
      </c>
      <c r="X437" t="e">
        <f>INDEX(#REF!,MATCH($E437,#REF!,0))</f>
        <v>#REF!</v>
      </c>
      <c r="Y437" t="e">
        <f>INDEX(#REF!,MATCH($E437,#REF!,0))</f>
        <v>#REF!</v>
      </c>
      <c r="Z437" t="e">
        <f>INDEX(#REF!,MATCH($E437,#REF!,0))</f>
        <v>#REF!</v>
      </c>
      <c r="AA437" t="e">
        <f>INDEX(#REF!,MATCH($E437,#REF!,0))</f>
        <v>#REF!</v>
      </c>
      <c r="AB437" t="e">
        <f>INDEX(#REF!,MATCH($E437,#REF!,0))</f>
        <v>#REF!</v>
      </c>
      <c r="AC437" t="e">
        <f>INDEX(#REF!,MATCH($E437,#REF!,0))</f>
        <v>#REF!</v>
      </c>
      <c r="AD437" t="e">
        <f>INDEX(#REF!,MATCH($E437,#REF!,0))</f>
        <v>#REF!</v>
      </c>
      <c r="AE437" t="e">
        <f t="shared" si="20"/>
        <v>#REF!</v>
      </c>
    </row>
    <row r="438" spans="2:31" x14ac:dyDescent="0.25">
      <c r="B438" s="45" t="s">
        <v>1743</v>
      </c>
      <c r="C438" s="45" t="s">
        <v>659</v>
      </c>
      <c r="D438" s="89" t="s">
        <v>2006</v>
      </c>
      <c r="E438" s="89">
        <v>112407</v>
      </c>
      <c r="F438" s="89">
        <v>1100</v>
      </c>
      <c r="G438" s="90">
        <v>5</v>
      </c>
      <c r="H438" s="90">
        <v>3</v>
      </c>
      <c r="I438" s="90" t="s">
        <v>26</v>
      </c>
      <c r="J438" s="90">
        <v>1</v>
      </c>
      <c r="K438" s="90" t="s">
        <v>2509</v>
      </c>
      <c r="L438" s="91">
        <v>6106</v>
      </c>
      <c r="M438" s="92" t="s">
        <v>2358</v>
      </c>
      <c r="N438" s="93"/>
      <c r="P438" s="21"/>
      <c r="Q438" s="12"/>
      <c r="R438">
        <f t="shared" si="21"/>
        <v>1</v>
      </c>
      <c r="S438" s="21" t="s">
        <v>99</v>
      </c>
      <c r="T438" s="21" t="s">
        <v>99</v>
      </c>
      <c r="W438" t="e">
        <f>INDEX(#REF!,MATCH($E438,#REF!,0))</f>
        <v>#REF!</v>
      </c>
      <c r="X438" t="e">
        <f>INDEX(#REF!,MATCH($E438,#REF!,0))</f>
        <v>#REF!</v>
      </c>
      <c r="Y438" t="e">
        <f>INDEX(#REF!,MATCH($E438,#REF!,0))</f>
        <v>#REF!</v>
      </c>
      <c r="Z438" t="e">
        <f>INDEX(#REF!,MATCH($E438,#REF!,0))</f>
        <v>#REF!</v>
      </c>
      <c r="AA438" t="e">
        <f>INDEX(#REF!,MATCH($E438,#REF!,0))</f>
        <v>#REF!</v>
      </c>
      <c r="AB438" t="e">
        <f>INDEX(#REF!,MATCH($E438,#REF!,0))</f>
        <v>#REF!</v>
      </c>
      <c r="AC438" t="e">
        <f>INDEX(#REF!,MATCH($E438,#REF!,0))</f>
        <v>#REF!</v>
      </c>
      <c r="AD438" t="e">
        <f>INDEX(#REF!,MATCH($E438,#REF!,0))</f>
        <v>#REF!</v>
      </c>
      <c r="AE438" t="e">
        <f t="shared" si="20"/>
        <v>#REF!</v>
      </c>
    </row>
    <row r="439" spans="2:31" x14ac:dyDescent="0.25">
      <c r="B439" s="45" t="s">
        <v>1744</v>
      </c>
      <c r="C439" s="45" t="s">
        <v>660</v>
      </c>
      <c r="D439" s="89" t="s">
        <v>2007</v>
      </c>
      <c r="E439" s="89">
        <v>112408</v>
      </c>
      <c r="F439" s="89">
        <v>1100</v>
      </c>
      <c r="G439" s="90">
        <v>6</v>
      </c>
      <c r="H439" s="90">
        <v>3</v>
      </c>
      <c r="I439" s="90" t="s">
        <v>26</v>
      </c>
      <c r="J439" s="90">
        <v>1</v>
      </c>
      <c r="K439" s="90" t="s">
        <v>2509</v>
      </c>
      <c r="L439" s="91">
        <v>6107</v>
      </c>
      <c r="M439" s="92" t="s">
        <v>2359</v>
      </c>
      <c r="N439" s="93"/>
      <c r="P439" s="21"/>
      <c r="Q439" s="12"/>
      <c r="R439">
        <f t="shared" si="21"/>
        <v>1</v>
      </c>
      <c r="S439" s="21" t="s">
        <v>99</v>
      </c>
      <c r="T439" s="21" t="s">
        <v>99</v>
      </c>
      <c r="W439" t="e">
        <f>INDEX(#REF!,MATCH($E439,#REF!,0))</f>
        <v>#REF!</v>
      </c>
      <c r="X439" t="e">
        <f>INDEX(#REF!,MATCH($E439,#REF!,0))</f>
        <v>#REF!</v>
      </c>
      <c r="Y439" t="e">
        <f>INDEX(#REF!,MATCH($E439,#REF!,0))</f>
        <v>#REF!</v>
      </c>
      <c r="Z439" t="e">
        <f>INDEX(#REF!,MATCH($E439,#REF!,0))</f>
        <v>#REF!</v>
      </c>
      <c r="AA439" t="e">
        <f>INDEX(#REF!,MATCH($E439,#REF!,0))</f>
        <v>#REF!</v>
      </c>
      <c r="AB439" t="e">
        <f>INDEX(#REF!,MATCH($E439,#REF!,0))</f>
        <v>#REF!</v>
      </c>
      <c r="AC439" t="e">
        <f>INDEX(#REF!,MATCH($E439,#REF!,0))</f>
        <v>#REF!</v>
      </c>
      <c r="AD439" t="e">
        <f>INDEX(#REF!,MATCH($E439,#REF!,0))</f>
        <v>#REF!</v>
      </c>
      <c r="AE439" t="e">
        <f t="shared" si="20"/>
        <v>#REF!</v>
      </c>
    </row>
    <row r="440" spans="2:31" x14ac:dyDescent="0.25">
      <c r="B440" s="45" t="s">
        <v>1745</v>
      </c>
      <c r="C440" s="45" t="s">
        <v>661</v>
      </c>
      <c r="D440" s="89" t="s">
        <v>2008</v>
      </c>
      <c r="E440" s="89">
        <v>112409</v>
      </c>
      <c r="F440" s="89">
        <v>1100</v>
      </c>
      <c r="G440" s="90">
        <v>7</v>
      </c>
      <c r="H440" s="90">
        <v>3</v>
      </c>
      <c r="I440" s="90" t="s">
        <v>26</v>
      </c>
      <c r="J440" s="90">
        <v>1</v>
      </c>
      <c r="K440" s="90" t="s">
        <v>2509</v>
      </c>
      <c r="L440" s="91">
        <v>6108</v>
      </c>
      <c r="M440" s="92" t="s">
        <v>1223</v>
      </c>
      <c r="N440" s="93"/>
      <c r="P440" s="21"/>
      <c r="Q440" s="12"/>
      <c r="R440">
        <f t="shared" si="21"/>
        <v>1</v>
      </c>
      <c r="S440" s="21" t="s">
        <v>99</v>
      </c>
      <c r="T440" s="21" t="s">
        <v>99</v>
      </c>
      <c r="W440" t="e">
        <f>INDEX(#REF!,MATCH($E440,#REF!,0))</f>
        <v>#REF!</v>
      </c>
      <c r="X440" t="e">
        <f>INDEX(#REF!,MATCH($E440,#REF!,0))</f>
        <v>#REF!</v>
      </c>
      <c r="Y440" t="e">
        <f>INDEX(#REF!,MATCH($E440,#REF!,0))</f>
        <v>#REF!</v>
      </c>
      <c r="Z440" t="e">
        <f>INDEX(#REF!,MATCH($E440,#REF!,0))</f>
        <v>#REF!</v>
      </c>
      <c r="AA440" t="e">
        <f>INDEX(#REF!,MATCH($E440,#REF!,0))</f>
        <v>#REF!</v>
      </c>
      <c r="AB440" t="e">
        <f>INDEX(#REF!,MATCH($E440,#REF!,0))</f>
        <v>#REF!</v>
      </c>
      <c r="AC440" t="e">
        <f>INDEX(#REF!,MATCH($E440,#REF!,0))</f>
        <v>#REF!</v>
      </c>
      <c r="AD440" t="e">
        <f>INDEX(#REF!,MATCH($E440,#REF!,0))</f>
        <v>#REF!</v>
      </c>
      <c r="AE440" t="e">
        <f t="shared" si="20"/>
        <v>#REF!</v>
      </c>
    </row>
    <row r="441" spans="2:31" x14ac:dyDescent="0.25">
      <c r="B441" s="45" t="s">
        <v>1746</v>
      </c>
      <c r="C441" s="45" t="s">
        <v>662</v>
      </c>
      <c r="D441" s="89" t="s">
        <v>2009</v>
      </c>
      <c r="E441" s="89">
        <v>112410</v>
      </c>
      <c r="F441" s="89">
        <v>1100</v>
      </c>
      <c r="G441" s="90">
        <v>8</v>
      </c>
      <c r="H441" s="90">
        <v>3</v>
      </c>
      <c r="I441" s="90" t="s">
        <v>26</v>
      </c>
      <c r="J441" s="90">
        <v>1</v>
      </c>
      <c r="K441" s="90" t="s">
        <v>2509</v>
      </c>
      <c r="L441" s="91">
        <v>6109</v>
      </c>
      <c r="M441" s="92" t="s">
        <v>2360</v>
      </c>
      <c r="N441" s="93"/>
      <c r="P441" s="21"/>
      <c r="Q441" s="12"/>
      <c r="R441">
        <f t="shared" si="21"/>
        <v>1</v>
      </c>
      <c r="S441" s="21" t="s">
        <v>99</v>
      </c>
      <c r="T441" s="21" t="s">
        <v>99</v>
      </c>
      <c r="W441" t="e">
        <f>INDEX(#REF!,MATCH($E441,#REF!,0))</f>
        <v>#REF!</v>
      </c>
      <c r="X441" t="e">
        <f>INDEX(#REF!,MATCH($E441,#REF!,0))</f>
        <v>#REF!</v>
      </c>
      <c r="Y441" t="e">
        <f>INDEX(#REF!,MATCH($E441,#REF!,0))</f>
        <v>#REF!</v>
      </c>
      <c r="Z441" t="e">
        <f>INDEX(#REF!,MATCH($E441,#REF!,0))</f>
        <v>#REF!</v>
      </c>
      <c r="AA441" t="e">
        <f>INDEX(#REF!,MATCH($E441,#REF!,0))</f>
        <v>#REF!</v>
      </c>
      <c r="AB441" t="e">
        <f>INDEX(#REF!,MATCH($E441,#REF!,0))</f>
        <v>#REF!</v>
      </c>
      <c r="AC441" t="e">
        <f>INDEX(#REF!,MATCH($E441,#REF!,0))</f>
        <v>#REF!</v>
      </c>
      <c r="AD441" t="e">
        <f>INDEX(#REF!,MATCH($E441,#REF!,0))</f>
        <v>#REF!</v>
      </c>
      <c r="AE441" t="e">
        <f t="shared" si="20"/>
        <v>#REF!</v>
      </c>
    </row>
    <row r="442" spans="2:31" x14ac:dyDescent="0.25">
      <c r="B442" s="45" t="s">
        <v>1747</v>
      </c>
      <c r="C442" s="45" t="s">
        <v>663</v>
      </c>
      <c r="D442" s="89" t="s">
        <v>2010</v>
      </c>
      <c r="E442" s="89">
        <v>112411</v>
      </c>
      <c r="F442" s="89">
        <v>1100</v>
      </c>
      <c r="G442" s="90">
        <v>9</v>
      </c>
      <c r="H442" s="90">
        <v>3</v>
      </c>
      <c r="I442" s="90" t="s">
        <v>26</v>
      </c>
      <c r="J442" s="90">
        <v>1</v>
      </c>
      <c r="K442" s="90" t="s">
        <v>2509</v>
      </c>
      <c r="L442" s="91">
        <v>6110</v>
      </c>
      <c r="M442" s="92" t="s">
        <v>2361</v>
      </c>
      <c r="N442" s="93"/>
      <c r="P442" s="21"/>
      <c r="Q442" s="12"/>
      <c r="R442">
        <f t="shared" si="21"/>
        <v>1</v>
      </c>
      <c r="S442" s="21" t="s">
        <v>99</v>
      </c>
      <c r="T442" s="21" t="s">
        <v>99</v>
      </c>
      <c r="W442" t="e">
        <f>INDEX(#REF!,MATCH($E442,#REF!,0))</f>
        <v>#REF!</v>
      </c>
      <c r="X442" t="e">
        <f>INDEX(#REF!,MATCH($E442,#REF!,0))</f>
        <v>#REF!</v>
      </c>
      <c r="Y442" t="e">
        <f>INDEX(#REF!,MATCH($E442,#REF!,0))</f>
        <v>#REF!</v>
      </c>
      <c r="Z442" t="e">
        <f>INDEX(#REF!,MATCH($E442,#REF!,0))</f>
        <v>#REF!</v>
      </c>
      <c r="AA442" t="e">
        <f>INDEX(#REF!,MATCH($E442,#REF!,0))</f>
        <v>#REF!</v>
      </c>
      <c r="AB442" t="e">
        <f>INDEX(#REF!,MATCH($E442,#REF!,0))</f>
        <v>#REF!</v>
      </c>
      <c r="AC442" t="e">
        <f>INDEX(#REF!,MATCH($E442,#REF!,0))</f>
        <v>#REF!</v>
      </c>
      <c r="AD442" t="e">
        <f>INDEX(#REF!,MATCH($E442,#REF!,0))</f>
        <v>#REF!</v>
      </c>
      <c r="AE442" t="e">
        <f t="shared" si="20"/>
        <v>#REF!</v>
      </c>
    </row>
    <row r="443" spans="2:31" x14ac:dyDescent="0.25">
      <c r="B443" s="45" t="s">
        <v>1748</v>
      </c>
      <c r="C443" s="45" t="s">
        <v>664</v>
      </c>
      <c r="D443" s="89" t="s">
        <v>2011</v>
      </c>
      <c r="E443" s="89">
        <v>112412</v>
      </c>
      <c r="F443" s="89">
        <v>1100</v>
      </c>
      <c r="G443" s="90">
        <v>10</v>
      </c>
      <c r="H443" s="90">
        <v>3</v>
      </c>
      <c r="I443" s="90" t="s">
        <v>26</v>
      </c>
      <c r="J443" s="90">
        <v>1</v>
      </c>
      <c r="K443" s="90" t="s">
        <v>2509</v>
      </c>
      <c r="L443" s="91">
        <v>6111</v>
      </c>
      <c r="M443" s="92" t="s">
        <v>2362</v>
      </c>
      <c r="N443" s="93"/>
      <c r="P443" s="21"/>
      <c r="Q443" s="12"/>
      <c r="R443">
        <f t="shared" si="21"/>
        <v>1</v>
      </c>
      <c r="S443" s="21" t="s">
        <v>99</v>
      </c>
      <c r="T443" s="21" t="s">
        <v>99</v>
      </c>
      <c r="W443" t="e">
        <f>INDEX(#REF!,MATCH($E443,#REF!,0))</f>
        <v>#REF!</v>
      </c>
      <c r="X443" t="e">
        <f>INDEX(#REF!,MATCH($E443,#REF!,0))</f>
        <v>#REF!</v>
      </c>
      <c r="Y443" t="e">
        <f>INDEX(#REF!,MATCH($E443,#REF!,0))</f>
        <v>#REF!</v>
      </c>
      <c r="Z443" t="e">
        <f>INDEX(#REF!,MATCH($E443,#REF!,0))</f>
        <v>#REF!</v>
      </c>
      <c r="AA443" t="e">
        <f>INDEX(#REF!,MATCH($E443,#REF!,0))</f>
        <v>#REF!</v>
      </c>
      <c r="AB443" t="e">
        <f>INDEX(#REF!,MATCH($E443,#REF!,0))</f>
        <v>#REF!</v>
      </c>
      <c r="AC443" t="e">
        <f>INDEX(#REF!,MATCH($E443,#REF!,0))</f>
        <v>#REF!</v>
      </c>
      <c r="AD443" t="e">
        <f>INDEX(#REF!,MATCH($E443,#REF!,0))</f>
        <v>#REF!</v>
      </c>
      <c r="AE443" t="e">
        <f t="shared" si="20"/>
        <v>#REF!</v>
      </c>
    </row>
    <row r="444" spans="2:31" x14ac:dyDescent="0.25">
      <c r="B444" s="45" t="s">
        <v>1749</v>
      </c>
      <c r="C444" s="45" t="s">
        <v>665</v>
      </c>
      <c r="D444" s="89" t="s">
        <v>2012</v>
      </c>
      <c r="E444" s="89">
        <v>112413</v>
      </c>
      <c r="F444" s="89">
        <v>1100</v>
      </c>
      <c r="G444" s="90">
        <v>11</v>
      </c>
      <c r="H444" s="90">
        <v>3</v>
      </c>
      <c r="I444" s="90" t="s">
        <v>26</v>
      </c>
      <c r="J444" s="90">
        <v>1</v>
      </c>
      <c r="K444" s="90" t="s">
        <v>2509</v>
      </c>
      <c r="L444" s="91">
        <v>6112</v>
      </c>
      <c r="M444" s="92" t="s">
        <v>2363</v>
      </c>
      <c r="N444" s="93"/>
      <c r="P444" s="21"/>
      <c r="Q444" s="12"/>
      <c r="R444">
        <f t="shared" si="21"/>
        <v>1</v>
      </c>
      <c r="S444" s="21" t="s">
        <v>99</v>
      </c>
      <c r="T444" s="21" t="s">
        <v>99</v>
      </c>
      <c r="W444" t="e">
        <f>INDEX(#REF!,MATCH($E444,#REF!,0))</f>
        <v>#REF!</v>
      </c>
      <c r="X444" t="e">
        <f>INDEX(#REF!,MATCH($E444,#REF!,0))</f>
        <v>#REF!</v>
      </c>
      <c r="Y444" t="e">
        <f>INDEX(#REF!,MATCH($E444,#REF!,0))</f>
        <v>#REF!</v>
      </c>
      <c r="Z444" t="e">
        <f>INDEX(#REF!,MATCH($E444,#REF!,0))</f>
        <v>#REF!</v>
      </c>
      <c r="AA444" t="e">
        <f>INDEX(#REF!,MATCH($E444,#REF!,0))</f>
        <v>#REF!</v>
      </c>
      <c r="AB444" t="e">
        <f>INDEX(#REF!,MATCH($E444,#REF!,0))</f>
        <v>#REF!</v>
      </c>
      <c r="AC444" t="e">
        <f>INDEX(#REF!,MATCH($E444,#REF!,0))</f>
        <v>#REF!</v>
      </c>
      <c r="AD444" t="e">
        <f>INDEX(#REF!,MATCH($E444,#REF!,0))</f>
        <v>#REF!</v>
      </c>
      <c r="AE444" t="e">
        <f t="shared" si="20"/>
        <v>#REF!</v>
      </c>
    </row>
    <row r="445" spans="2:31" x14ac:dyDescent="0.25">
      <c r="B445" s="45" t="s">
        <v>1750</v>
      </c>
      <c r="C445" s="45" t="s">
        <v>666</v>
      </c>
      <c r="D445" s="89" t="s">
        <v>2013</v>
      </c>
      <c r="E445" s="89">
        <v>112414</v>
      </c>
      <c r="F445" s="89">
        <v>1100</v>
      </c>
      <c r="G445" s="90">
        <v>12</v>
      </c>
      <c r="H445" s="90">
        <v>3</v>
      </c>
      <c r="I445" s="90" t="s">
        <v>26</v>
      </c>
      <c r="J445" s="90">
        <v>1</v>
      </c>
      <c r="K445" s="90" t="s">
        <v>2509</v>
      </c>
      <c r="L445" s="91">
        <v>6113</v>
      </c>
      <c r="M445" s="92" t="s">
        <v>2364</v>
      </c>
      <c r="N445" s="93"/>
      <c r="P445" s="21"/>
      <c r="Q445" s="12"/>
      <c r="R445">
        <f t="shared" si="21"/>
        <v>1</v>
      </c>
      <c r="S445" s="21" t="s">
        <v>99</v>
      </c>
      <c r="T445" s="21" t="s">
        <v>99</v>
      </c>
      <c r="W445" t="e">
        <f>INDEX(#REF!,MATCH($E445,#REF!,0))</f>
        <v>#REF!</v>
      </c>
      <c r="X445" t="e">
        <f>INDEX(#REF!,MATCH($E445,#REF!,0))</f>
        <v>#REF!</v>
      </c>
      <c r="Y445" t="e">
        <f>INDEX(#REF!,MATCH($E445,#REF!,0))</f>
        <v>#REF!</v>
      </c>
      <c r="Z445" t="e">
        <f>INDEX(#REF!,MATCH($E445,#REF!,0))</f>
        <v>#REF!</v>
      </c>
      <c r="AA445" t="e">
        <f>INDEX(#REF!,MATCH($E445,#REF!,0))</f>
        <v>#REF!</v>
      </c>
      <c r="AB445" t="e">
        <f>INDEX(#REF!,MATCH($E445,#REF!,0))</f>
        <v>#REF!</v>
      </c>
      <c r="AC445" t="e">
        <f>INDEX(#REF!,MATCH($E445,#REF!,0))</f>
        <v>#REF!</v>
      </c>
      <c r="AD445" t="e">
        <f>INDEX(#REF!,MATCH($E445,#REF!,0))</f>
        <v>#REF!</v>
      </c>
      <c r="AE445" t="e">
        <f t="shared" si="20"/>
        <v>#REF!</v>
      </c>
    </row>
    <row r="446" spans="2:31" x14ac:dyDescent="0.25">
      <c r="B446" s="45" t="s">
        <v>1751</v>
      </c>
      <c r="C446" s="45" t="s">
        <v>667</v>
      </c>
      <c r="D446" s="89" t="s">
        <v>2014</v>
      </c>
      <c r="E446" s="89">
        <v>112415</v>
      </c>
      <c r="F446" s="89">
        <v>1100</v>
      </c>
      <c r="G446" s="90">
        <v>13</v>
      </c>
      <c r="H446" s="90">
        <v>3</v>
      </c>
      <c r="I446" s="90" t="s">
        <v>26</v>
      </c>
      <c r="J446" s="90">
        <v>1</v>
      </c>
      <c r="K446" s="90" t="s">
        <v>2509</v>
      </c>
      <c r="L446" s="91">
        <v>6114</v>
      </c>
      <c r="M446" s="92" t="s">
        <v>2365</v>
      </c>
      <c r="N446" s="93"/>
      <c r="P446" s="21"/>
      <c r="Q446" s="12"/>
      <c r="R446">
        <f t="shared" si="21"/>
        <v>1</v>
      </c>
      <c r="S446" s="21" t="s">
        <v>99</v>
      </c>
      <c r="T446" s="21" t="s">
        <v>99</v>
      </c>
      <c r="W446" t="e">
        <f>INDEX(#REF!,MATCH($E446,#REF!,0))</f>
        <v>#REF!</v>
      </c>
      <c r="X446" t="e">
        <f>INDEX(#REF!,MATCH($E446,#REF!,0))</f>
        <v>#REF!</v>
      </c>
      <c r="Y446" t="e">
        <f>INDEX(#REF!,MATCH($E446,#REF!,0))</f>
        <v>#REF!</v>
      </c>
      <c r="Z446" t="e">
        <f>INDEX(#REF!,MATCH($E446,#REF!,0))</f>
        <v>#REF!</v>
      </c>
      <c r="AA446" t="e">
        <f>INDEX(#REF!,MATCH($E446,#REF!,0))</f>
        <v>#REF!</v>
      </c>
      <c r="AB446" t="e">
        <f>INDEX(#REF!,MATCH($E446,#REF!,0))</f>
        <v>#REF!</v>
      </c>
      <c r="AC446" t="e">
        <f>INDEX(#REF!,MATCH($E446,#REF!,0))</f>
        <v>#REF!</v>
      </c>
      <c r="AD446" t="e">
        <f>INDEX(#REF!,MATCH($E446,#REF!,0))</f>
        <v>#REF!</v>
      </c>
      <c r="AE446" t="e">
        <f t="shared" si="20"/>
        <v>#REF!</v>
      </c>
    </row>
    <row r="447" spans="2:31" x14ac:dyDescent="0.25">
      <c r="B447" s="45" t="s">
        <v>1752</v>
      </c>
      <c r="C447" s="45" t="s">
        <v>668</v>
      </c>
      <c r="D447" s="89" t="s">
        <v>2015</v>
      </c>
      <c r="E447" s="89">
        <v>112416</v>
      </c>
      <c r="F447" s="89">
        <v>1100</v>
      </c>
      <c r="G447" s="90">
        <v>14</v>
      </c>
      <c r="H447" s="90">
        <v>3</v>
      </c>
      <c r="I447" s="90" t="s">
        <v>26</v>
      </c>
      <c r="J447" s="90">
        <v>1</v>
      </c>
      <c r="K447" s="90" t="s">
        <v>2509</v>
      </c>
      <c r="L447" s="91">
        <v>6115</v>
      </c>
      <c r="M447" s="92" t="s">
        <v>2366</v>
      </c>
      <c r="N447" s="93"/>
      <c r="P447" s="21"/>
      <c r="Q447" s="12"/>
      <c r="R447">
        <f t="shared" si="21"/>
        <v>1</v>
      </c>
      <c r="S447" s="21" t="s">
        <v>99</v>
      </c>
      <c r="T447" s="21" t="s">
        <v>99</v>
      </c>
      <c r="W447" t="e">
        <f>INDEX(#REF!,MATCH($E447,#REF!,0))</f>
        <v>#REF!</v>
      </c>
      <c r="X447" t="e">
        <f>INDEX(#REF!,MATCH($E447,#REF!,0))</f>
        <v>#REF!</v>
      </c>
      <c r="Y447" t="e">
        <f>INDEX(#REF!,MATCH($E447,#REF!,0))</f>
        <v>#REF!</v>
      </c>
      <c r="Z447" t="e">
        <f>INDEX(#REF!,MATCH($E447,#REF!,0))</f>
        <v>#REF!</v>
      </c>
      <c r="AA447" t="e">
        <f>INDEX(#REF!,MATCH($E447,#REF!,0))</f>
        <v>#REF!</v>
      </c>
      <c r="AB447" t="e">
        <f>INDEX(#REF!,MATCH($E447,#REF!,0))</f>
        <v>#REF!</v>
      </c>
      <c r="AC447" t="e">
        <f>INDEX(#REF!,MATCH($E447,#REF!,0))</f>
        <v>#REF!</v>
      </c>
      <c r="AD447" t="e">
        <f>INDEX(#REF!,MATCH($E447,#REF!,0))</f>
        <v>#REF!</v>
      </c>
      <c r="AE447" t="e">
        <f t="shared" si="20"/>
        <v>#REF!</v>
      </c>
    </row>
    <row r="448" spans="2:31" x14ac:dyDescent="0.25">
      <c r="B448" s="45" t="s">
        <v>1753</v>
      </c>
      <c r="C448" s="45" t="s">
        <v>669</v>
      </c>
      <c r="D448" s="89" t="s">
        <v>2016</v>
      </c>
      <c r="E448" s="89">
        <v>112417</v>
      </c>
      <c r="F448" s="89">
        <v>1086</v>
      </c>
      <c r="G448" s="90">
        <v>15</v>
      </c>
      <c r="H448" s="90">
        <v>3</v>
      </c>
      <c r="I448" s="90" t="s">
        <v>26</v>
      </c>
      <c r="J448" s="90">
        <v>1</v>
      </c>
      <c r="K448" s="90" t="s">
        <v>2509</v>
      </c>
      <c r="L448" s="91">
        <v>6116</v>
      </c>
      <c r="M448" s="92" t="s">
        <v>2367</v>
      </c>
      <c r="N448" s="93"/>
      <c r="P448" s="21"/>
      <c r="Q448" s="12"/>
      <c r="R448">
        <f t="shared" si="21"/>
        <v>1</v>
      </c>
      <c r="S448" s="21" t="s">
        <v>99</v>
      </c>
      <c r="T448" s="21" t="s">
        <v>99</v>
      </c>
      <c r="W448" t="e">
        <f>INDEX(#REF!,MATCH($E448,#REF!,0))</f>
        <v>#REF!</v>
      </c>
      <c r="X448" t="e">
        <f>INDEX(#REF!,MATCH($E448,#REF!,0))</f>
        <v>#REF!</v>
      </c>
      <c r="Y448" t="e">
        <f>INDEX(#REF!,MATCH($E448,#REF!,0))</f>
        <v>#REF!</v>
      </c>
      <c r="Z448" t="e">
        <f>INDEX(#REF!,MATCH($E448,#REF!,0))</f>
        <v>#REF!</v>
      </c>
      <c r="AA448" t="e">
        <f>INDEX(#REF!,MATCH($E448,#REF!,0))</f>
        <v>#REF!</v>
      </c>
      <c r="AB448" t="e">
        <f>INDEX(#REF!,MATCH($E448,#REF!,0))</f>
        <v>#REF!</v>
      </c>
      <c r="AC448" t="e">
        <f>INDEX(#REF!,MATCH($E448,#REF!,0))</f>
        <v>#REF!</v>
      </c>
      <c r="AD448" t="e">
        <f>INDEX(#REF!,MATCH($E448,#REF!,0))</f>
        <v>#REF!</v>
      </c>
      <c r="AE448" t="e">
        <f t="shared" si="20"/>
        <v>#REF!</v>
      </c>
    </row>
    <row r="449" spans="2:31" x14ac:dyDescent="0.25">
      <c r="B449" s="45" t="s">
        <v>1754</v>
      </c>
      <c r="C449" s="45" t="s">
        <v>670</v>
      </c>
      <c r="D449" s="89" t="s">
        <v>2017</v>
      </c>
      <c r="E449" s="89">
        <v>112418</v>
      </c>
      <c r="F449" s="89">
        <v>1086</v>
      </c>
      <c r="G449" s="90">
        <v>16</v>
      </c>
      <c r="H449" s="90">
        <v>3</v>
      </c>
      <c r="I449" s="90" t="s">
        <v>26</v>
      </c>
      <c r="J449" s="90">
        <v>1</v>
      </c>
      <c r="K449" s="90" t="s">
        <v>2509</v>
      </c>
      <c r="L449" s="91">
        <v>6117</v>
      </c>
      <c r="M449" s="92" t="s">
        <v>2368</v>
      </c>
      <c r="N449" s="93"/>
      <c r="P449" s="21"/>
      <c r="Q449" s="12"/>
      <c r="R449">
        <f t="shared" si="21"/>
        <v>1</v>
      </c>
      <c r="S449" s="21" t="s">
        <v>99</v>
      </c>
      <c r="T449" s="21" t="s">
        <v>99</v>
      </c>
      <c r="W449" t="e">
        <f>INDEX(#REF!,MATCH($E449,#REF!,0))</f>
        <v>#REF!</v>
      </c>
      <c r="X449" t="e">
        <f>INDEX(#REF!,MATCH($E449,#REF!,0))</f>
        <v>#REF!</v>
      </c>
      <c r="Y449" t="e">
        <f>INDEX(#REF!,MATCH($E449,#REF!,0))</f>
        <v>#REF!</v>
      </c>
      <c r="Z449" t="e">
        <f>INDEX(#REF!,MATCH($E449,#REF!,0))</f>
        <v>#REF!</v>
      </c>
      <c r="AA449" t="e">
        <f>INDEX(#REF!,MATCH($E449,#REF!,0))</f>
        <v>#REF!</v>
      </c>
      <c r="AB449" t="e">
        <f>INDEX(#REF!,MATCH($E449,#REF!,0))</f>
        <v>#REF!</v>
      </c>
      <c r="AC449" t="e">
        <f>INDEX(#REF!,MATCH($E449,#REF!,0))</f>
        <v>#REF!</v>
      </c>
      <c r="AD449" t="e">
        <f>INDEX(#REF!,MATCH($E449,#REF!,0))</f>
        <v>#REF!</v>
      </c>
      <c r="AE449" t="e">
        <f t="shared" si="20"/>
        <v>#REF!</v>
      </c>
    </row>
    <row r="450" spans="2:31" x14ac:dyDescent="0.25">
      <c r="B450" s="45" t="s">
        <v>1755</v>
      </c>
      <c r="C450" s="45" t="s">
        <v>671</v>
      </c>
      <c r="D450" s="89" t="s">
        <v>2018</v>
      </c>
      <c r="E450" s="89">
        <v>112419</v>
      </c>
      <c r="F450" s="89">
        <v>1086</v>
      </c>
      <c r="G450" s="90">
        <v>17</v>
      </c>
      <c r="H450" s="90">
        <v>3</v>
      </c>
      <c r="I450" s="90" t="s">
        <v>26</v>
      </c>
      <c r="J450" s="90">
        <v>1</v>
      </c>
      <c r="K450" s="90" t="s">
        <v>2509</v>
      </c>
      <c r="L450" s="91">
        <v>6118</v>
      </c>
      <c r="M450" s="92" t="s">
        <v>2369</v>
      </c>
      <c r="N450" s="93"/>
      <c r="P450" s="21"/>
      <c r="Q450" s="12"/>
      <c r="R450">
        <f t="shared" si="21"/>
        <v>1</v>
      </c>
      <c r="S450" s="21" t="s">
        <v>99</v>
      </c>
      <c r="T450" s="21" t="s">
        <v>99</v>
      </c>
      <c r="W450" t="e">
        <f>INDEX(#REF!,MATCH($E450,#REF!,0))</f>
        <v>#REF!</v>
      </c>
      <c r="X450" t="e">
        <f>INDEX(#REF!,MATCH($E450,#REF!,0))</f>
        <v>#REF!</v>
      </c>
      <c r="Y450" t="e">
        <f>INDEX(#REF!,MATCH($E450,#REF!,0))</f>
        <v>#REF!</v>
      </c>
      <c r="Z450" t="e">
        <f>INDEX(#REF!,MATCH($E450,#REF!,0))</f>
        <v>#REF!</v>
      </c>
      <c r="AA450" t="e">
        <f>INDEX(#REF!,MATCH($E450,#REF!,0))</f>
        <v>#REF!</v>
      </c>
      <c r="AB450" t="e">
        <f>INDEX(#REF!,MATCH($E450,#REF!,0))</f>
        <v>#REF!</v>
      </c>
      <c r="AC450" t="e">
        <f>INDEX(#REF!,MATCH($E450,#REF!,0))</f>
        <v>#REF!</v>
      </c>
      <c r="AD450" t="e">
        <f>INDEX(#REF!,MATCH($E450,#REF!,0))</f>
        <v>#REF!</v>
      </c>
      <c r="AE450" t="e">
        <f t="shared" si="20"/>
        <v>#REF!</v>
      </c>
    </row>
    <row r="451" spans="2:31" x14ac:dyDescent="0.25">
      <c r="B451" s="45" t="s">
        <v>1756</v>
      </c>
      <c r="C451" s="45" t="s">
        <v>672</v>
      </c>
      <c r="D451" s="89" t="s">
        <v>2019</v>
      </c>
      <c r="E451" s="89">
        <v>112420</v>
      </c>
      <c r="F451" s="89">
        <v>1086</v>
      </c>
      <c r="G451" s="90">
        <v>18</v>
      </c>
      <c r="H451" s="90">
        <v>3</v>
      </c>
      <c r="I451" s="90" t="s">
        <v>26</v>
      </c>
      <c r="J451" s="90">
        <v>1</v>
      </c>
      <c r="K451" s="90" t="s">
        <v>2509</v>
      </c>
      <c r="L451" s="91">
        <v>6119</v>
      </c>
      <c r="M451" s="92" t="s">
        <v>1224</v>
      </c>
      <c r="N451" s="93"/>
      <c r="P451" s="21"/>
      <c r="Q451" s="12"/>
      <c r="R451">
        <f t="shared" si="21"/>
        <v>1</v>
      </c>
      <c r="S451" s="21" t="s">
        <v>99</v>
      </c>
      <c r="T451" s="21" t="s">
        <v>99</v>
      </c>
      <c r="W451" t="e">
        <f>INDEX(#REF!,MATCH($E451,#REF!,0))</f>
        <v>#REF!</v>
      </c>
      <c r="X451" t="e">
        <f>INDEX(#REF!,MATCH($E451,#REF!,0))</f>
        <v>#REF!</v>
      </c>
      <c r="Y451" t="e">
        <f>INDEX(#REF!,MATCH($E451,#REF!,0))</f>
        <v>#REF!</v>
      </c>
      <c r="Z451" t="e">
        <f>INDEX(#REF!,MATCH($E451,#REF!,0))</f>
        <v>#REF!</v>
      </c>
      <c r="AA451" t="e">
        <f>INDEX(#REF!,MATCH($E451,#REF!,0))</f>
        <v>#REF!</v>
      </c>
      <c r="AB451" t="e">
        <f>INDEX(#REF!,MATCH($E451,#REF!,0))</f>
        <v>#REF!</v>
      </c>
      <c r="AC451" t="e">
        <f>INDEX(#REF!,MATCH($E451,#REF!,0))</f>
        <v>#REF!</v>
      </c>
      <c r="AD451" t="e">
        <f>INDEX(#REF!,MATCH($E451,#REF!,0))</f>
        <v>#REF!</v>
      </c>
      <c r="AE451" t="e">
        <f t="shared" si="20"/>
        <v>#REF!</v>
      </c>
    </row>
    <row r="452" spans="2:31" x14ac:dyDescent="0.25">
      <c r="B452" s="45" t="s">
        <v>1757</v>
      </c>
      <c r="C452" s="45" t="s">
        <v>674</v>
      </c>
      <c r="D452" s="89" t="s">
        <v>673</v>
      </c>
      <c r="E452" s="89">
        <v>112425</v>
      </c>
      <c r="F452" s="89">
        <v>1080</v>
      </c>
      <c r="G452" s="90">
        <v>0</v>
      </c>
      <c r="H452" s="90">
        <v>3</v>
      </c>
      <c r="I452" s="90" t="s">
        <v>147</v>
      </c>
      <c r="J452" s="90">
        <v>100000</v>
      </c>
      <c r="K452" s="90">
        <v>0</v>
      </c>
      <c r="L452" s="91"/>
      <c r="M452" s="92" t="s">
        <v>2370</v>
      </c>
      <c r="N452" s="93"/>
      <c r="P452" s="21"/>
      <c r="Q452" s="12"/>
      <c r="R452">
        <f t="shared" si="21"/>
        <v>1</v>
      </c>
      <c r="S452" s="21" t="s">
        <v>99</v>
      </c>
      <c r="T452" s="21" t="s">
        <v>99</v>
      </c>
      <c r="W452" t="e">
        <f>INDEX(#REF!,MATCH($E452,#REF!,0))</f>
        <v>#REF!</v>
      </c>
      <c r="X452" t="e">
        <f>INDEX(#REF!,MATCH($E452,#REF!,0))</f>
        <v>#REF!</v>
      </c>
      <c r="Y452" t="e">
        <f>INDEX(#REF!,MATCH($E452,#REF!,0))</f>
        <v>#REF!</v>
      </c>
      <c r="Z452" t="e">
        <f>INDEX(#REF!,MATCH($E452,#REF!,0))</f>
        <v>#REF!</v>
      </c>
      <c r="AA452" t="e">
        <f>INDEX(#REF!,MATCH($E452,#REF!,0))</f>
        <v>#REF!</v>
      </c>
      <c r="AB452" t="e">
        <f>INDEX(#REF!,MATCH($E452,#REF!,0))</f>
        <v>#REF!</v>
      </c>
      <c r="AC452" t="e">
        <f>INDEX(#REF!,MATCH($E452,#REF!,0))</f>
        <v>#REF!</v>
      </c>
      <c r="AD452" t="e">
        <f>INDEX(#REF!,MATCH($E452,#REF!,0))</f>
        <v>#REF!</v>
      </c>
      <c r="AE452" t="e">
        <f t="shared" si="20"/>
        <v>#REF!</v>
      </c>
    </row>
    <row r="453" spans="2:31" x14ac:dyDescent="0.25">
      <c r="B453" s="45" t="s">
        <v>1758</v>
      </c>
      <c r="C453" s="45" t="s">
        <v>676</v>
      </c>
      <c r="D453" s="89" t="s">
        <v>675</v>
      </c>
      <c r="E453" s="89">
        <v>112426</v>
      </c>
      <c r="F453" s="89">
        <v>1080</v>
      </c>
      <c r="G453" s="90">
        <v>1</v>
      </c>
      <c r="H453" s="90">
        <v>3</v>
      </c>
      <c r="I453" s="90" t="s">
        <v>147</v>
      </c>
      <c r="J453" s="90">
        <v>100000</v>
      </c>
      <c r="K453" s="90">
        <v>0</v>
      </c>
      <c r="L453" s="91"/>
      <c r="M453" s="92"/>
      <c r="N453" s="93"/>
      <c r="P453" s="21"/>
      <c r="Q453" s="12"/>
      <c r="R453">
        <f t="shared" si="21"/>
        <v>1</v>
      </c>
      <c r="S453" s="21" t="s">
        <v>99</v>
      </c>
      <c r="T453" s="21" t="s">
        <v>99</v>
      </c>
      <c r="W453" t="e">
        <f>INDEX(#REF!,MATCH($E453,#REF!,0))</f>
        <v>#REF!</v>
      </c>
      <c r="X453" t="e">
        <f>INDEX(#REF!,MATCH($E453,#REF!,0))</f>
        <v>#REF!</v>
      </c>
      <c r="Y453" t="e">
        <f>INDEX(#REF!,MATCH($E453,#REF!,0))</f>
        <v>#REF!</v>
      </c>
      <c r="Z453" t="e">
        <f>INDEX(#REF!,MATCH($E453,#REF!,0))</f>
        <v>#REF!</v>
      </c>
      <c r="AA453" t="e">
        <f>INDEX(#REF!,MATCH($E453,#REF!,0))</f>
        <v>#REF!</v>
      </c>
      <c r="AB453" t="e">
        <f>INDEX(#REF!,MATCH($E453,#REF!,0))</f>
        <v>#REF!</v>
      </c>
      <c r="AC453" t="e">
        <f>INDEX(#REF!,MATCH($E453,#REF!,0))</f>
        <v>#REF!</v>
      </c>
      <c r="AD453" t="e">
        <f>INDEX(#REF!,MATCH($E453,#REF!,0))</f>
        <v>#REF!</v>
      </c>
      <c r="AE453" t="e">
        <f t="shared" si="20"/>
        <v>#REF!</v>
      </c>
    </row>
    <row r="454" spans="2:31" x14ac:dyDescent="0.25">
      <c r="B454" s="45" t="s">
        <v>1759</v>
      </c>
      <c r="C454" s="45" t="s">
        <v>677</v>
      </c>
      <c r="D454" s="89" t="s">
        <v>2020</v>
      </c>
      <c r="E454" s="89">
        <v>112427</v>
      </c>
      <c r="F454" s="89">
        <v>1080</v>
      </c>
      <c r="G454" s="90">
        <v>2</v>
      </c>
      <c r="H454" s="90">
        <v>3</v>
      </c>
      <c r="I454" s="90" t="s">
        <v>26</v>
      </c>
      <c r="J454" s="90">
        <v>1</v>
      </c>
      <c r="K454" s="87" t="s">
        <v>2509</v>
      </c>
      <c r="L454" s="91"/>
      <c r="M454" s="92"/>
      <c r="N454" s="93"/>
      <c r="P454" s="21"/>
      <c r="Q454" s="12"/>
      <c r="R454">
        <f t="shared" si="21"/>
        <v>1</v>
      </c>
      <c r="S454" s="21" t="s">
        <v>99</v>
      </c>
      <c r="T454" s="21" t="s">
        <v>99</v>
      </c>
      <c r="W454" t="e">
        <f>INDEX(#REF!,MATCH($E454,#REF!,0))</f>
        <v>#REF!</v>
      </c>
      <c r="X454" t="e">
        <f>INDEX(#REF!,MATCH($E454,#REF!,0))</f>
        <v>#REF!</v>
      </c>
      <c r="Y454" t="e">
        <f>INDEX(#REF!,MATCH($E454,#REF!,0))</f>
        <v>#REF!</v>
      </c>
      <c r="Z454" t="e">
        <f>INDEX(#REF!,MATCH($E454,#REF!,0))</f>
        <v>#REF!</v>
      </c>
      <c r="AA454" t="e">
        <f>INDEX(#REF!,MATCH($E454,#REF!,0))</f>
        <v>#REF!</v>
      </c>
      <c r="AB454" t="e">
        <f>INDEX(#REF!,MATCH($E454,#REF!,0))</f>
        <v>#REF!</v>
      </c>
      <c r="AC454" t="e">
        <f>INDEX(#REF!,MATCH($E454,#REF!,0))</f>
        <v>#REF!</v>
      </c>
      <c r="AD454" t="e">
        <f>INDEX(#REF!,MATCH($E454,#REF!,0))</f>
        <v>#REF!</v>
      </c>
      <c r="AE454" t="e">
        <f t="shared" si="20"/>
        <v>#REF!</v>
      </c>
    </row>
    <row r="455" spans="2:31" x14ac:dyDescent="0.25">
      <c r="B455" s="45" t="s">
        <v>1760</v>
      </c>
      <c r="C455" s="45" t="s">
        <v>679</v>
      </c>
      <c r="D455" s="89" t="s">
        <v>678</v>
      </c>
      <c r="E455" s="89">
        <v>112430</v>
      </c>
      <c r="F455" s="89">
        <v>1080</v>
      </c>
      <c r="G455" s="90">
        <v>3</v>
      </c>
      <c r="H455" s="90">
        <v>3</v>
      </c>
      <c r="I455" s="90" t="s">
        <v>147</v>
      </c>
      <c r="J455" s="90">
        <v>100000</v>
      </c>
      <c r="K455" s="90">
        <v>0</v>
      </c>
      <c r="L455" s="91"/>
      <c r="M455" s="92" t="s">
        <v>1226</v>
      </c>
      <c r="N455" s="93"/>
      <c r="P455" s="21"/>
      <c r="Q455" s="12"/>
      <c r="R455">
        <f t="shared" si="21"/>
        <v>1</v>
      </c>
      <c r="S455" s="21" t="s">
        <v>99</v>
      </c>
      <c r="T455" s="21" t="s">
        <v>99</v>
      </c>
      <c r="W455" t="e">
        <f>INDEX(#REF!,MATCH($E455,#REF!,0))</f>
        <v>#REF!</v>
      </c>
      <c r="X455" t="e">
        <f>INDEX(#REF!,MATCH($E455,#REF!,0))</f>
        <v>#REF!</v>
      </c>
      <c r="Y455" t="e">
        <f>INDEX(#REF!,MATCH($E455,#REF!,0))</f>
        <v>#REF!</v>
      </c>
      <c r="Z455" t="e">
        <f>INDEX(#REF!,MATCH($E455,#REF!,0))</f>
        <v>#REF!</v>
      </c>
      <c r="AA455" t="e">
        <f>INDEX(#REF!,MATCH($E455,#REF!,0))</f>
        <v>#REF!</v>
      </c>
      <c r="AB455" t="e">
        <f>INDEX(#REF!,MATCH($E455,#REF!,0))</f>
        <v>#REF!</v>
      </c>
      <c r="AC455" t="e">
        <f>INDEX(#REF!,MATCH($E455,#REF!,0))</f>
        <v>#REF!</v>
      </c>
      <c r="AD455" t="e">
        <f>INDEX(#REF!,MATCH($E455,#REF!,0))</f>
        <v>#REF!</v>
      </c>
      <c r="AE455" t="e">
        <f t="shared" si="20"/>
        <v>#REF!</v>
      </c>
    </row>
    <row r="456" spans="2:31" x14ac:dyDescent="0.25">
      <c r="B456" s="45" t="s">
        <v>1761</v>
      </c>
      <c r="C456" s="45" t="s">
        <v>681</v>
      </c>
      <c r="D456" s="89" t="s">
        <v>680</v>
      </c>
      <c r="E456" s="89">
        <v>112431</v>
      </c>
      <c r="F456" s="89">
        <v>1080</v>
      </c>
      <c r="G456" s="90">
        <v>4</v>
      </c>
      <c r="H456" s="90">
        <v>3</v>
      </c>
      <c r="I456" s="90" t="s">
        <v>147</v>
      </c>
      <c r="J456" s="90">
        <v>100000</v>
      </c>
      <c r="K456" s="90">
        <v>0</v>
      </c>
      <c r="L456" s="91"/>
      <c r="M456" s="92" t="s">
        <v>1227</v>
      </c>
      <c r="N456" s="93"/>
      <c r="P456" s="21"/>
      <c r="Q456" s="12"/>
      <c r="R456">
        <f t="shared" si="21"/>
        <v>1</v>
      </c>
      <c r="S456" s="21" t="s">
        <v>99</v>
      </c>
      <c r="T456" s="21" t="s">
        <v>99</v>
      </c>
      <c r="W456" t="e">
        <f>INDEX(#REF!,MATCH($E456,#REF!,0))</f>
        <v>#REF!</v>
      </c>
      <c r="X456" t="e">
        <f>INDEX(#REF!,MATCH($E456,#REF!,0))</f>
        <v>#REF!</v>
      </c>
      <c r="Y456" t="e">
        <f>INDEX(#REF!,MATCH($E456,#REF!,0))</f>
        <v>#REF!</v>
      </c>
      <c r="Z456" t="e">
        <f>INDEX(#REF!,MATCH($E456,#REF!,0))</f>
        <v>#REF!</v>
      </c>
      <c r="AA456" t="e">
        <f>INDEX(#REF!,MATCH($E456,#REF!,0))</f>
        <v>#REF!</v>
      </c>
      <c r="AB456" t="e">
        <f>INDEX(#REF!,MATCH($E456,#REF!,0))</f>
        <v>#REF!</v>
      </c>
      <c r="AC456" t="e">
        <f>INDEX(#REF!,MATCH($E456,#REF!,0))</f>
        <v>#REF!</v>
      </c>
      <c r="AD456" t="e">
        <f>INDEX(#REF!,MATCH($E456,#REF!,0))</f>
        <v>#REF!</v>
      </c>
      <c r="AE456" t="e">
        <f t="shared" si="20"/>
        <v>#REF!</v>
      </c>
    </row>
    <row r="457" spans="2:31" x14ac:dyDescent="0.25">
      <c r="B457" s="45" t="s">
        <v>1762</v>
      </c>
      <c r="C457" s="45" t="s">
        <v>682</v>
      </c>
      <c r="D457" s="89" t="s">
        <v>2021</v>
      </c>
      <c r="E457" s="89">
        <v>112432</v>
      </c>
      <c r="F457" s="89">
        <v>1080</v>
      </c>
      <c r="G457" s="90">
        <v>5</v>
      </c>
      <c r="H457" s="90">
        <v>3</v>
      </c>
      <c r="I457" s="90" t="s">
        <v>26</v>
      </c>
      <c r="J457" s="90">
        <v>1</v>
      </c>
      <c r="K457" s="87" t="s">
        <v>2509</v>
      </c>
      <c r="L457" s="91"/>
      <c r="M457" s="92" t="s">
        <v>2371</v>
      </c>
      <c r="N457" s="93"/>
      <c r="P457" s="21"/>
      <c r="Q457" s="12"/>
      <c r="R457">
        <f t="shared" si="21"/>
        <v>1</v>
      </c>
      <c r="S457" s="21" t="s">
        <v>99</v>
      </c>
      <c r="T457" s="21" t="s">
        <v>99</v>
      </c>
      <c r="W457" t="e">
        <f>INDEX(#REF!,MATCH($E457,#REF!,0))</f>
        <v>#REF!</v>
      </c>
      <c r="X457" t="e">
        <f>INDEX(#REF!,MATCH($E457,#REF!,0))</f>
        <v>#REF!</v>
      </c>
      <c r="Y457" t="e">
        <f>INDEX(#REF!,MATCH($E457,#REF!,0))</f>
        <v>#REF!</v>
      </c>
      <c r="Z457" t="e">
        <f>INDEX(#REF!,MATCH($E457,#REF!,0))</f>
        <v>#REF!</v>
      </c>
      <c r="AA457" t="e">
        <f>INDEX(#REF!,MATCH($E457,#REF!,0))</f>
        <v>#REF!</v>
      </c>
      <c r="AB457" t="e">
        <f>INDEX(#REF!,MATCH($E457,#REF!,0))</f>
        <v>#REF!</v>
      </c>
      <c r="AC457" t="e">
        <f>INDEX(#REF!,MATCH($E457,#REF!,0))</f>
        <v>#REF!</v>
      </c>
      <c r="AD457" t="e">
        <f>INDEX(#REF!,MATCH($E457,#REF!,0))</f>
        <v>#REF!</v>
      </c>
      <c r="AE457" t="e">
        <f t="shared" si="20"/>
        <v>#REF!</v>
      </c>
    </row>
    <row r="458" spans="2:31" x14ac:dyDescent="0.25">
      <c r="B458" s="45" t="s">
        <v>1763</v>
      </c>
      <c r="C458" s="45" t="s">
        <v>684</v>
      </c>
      <c r="D458" s="89" t="s">
        <v>683</v>
      </c>
      <c r="E458" s="89">
        <v>112433</v>
      </c>
      <c r="F458" s="89">
        <v>1080</v>
      </c>
      <c r="G458" s="90">
        <v>6</v>
      </c>
      <c r="H458" s="90">
        <v>3</v>
      </c>
      <c r="I458" s="90" t="s">
        <v>147</v>
      </c>
      <c r="J458" s="90">
        <v>100000</v>
      </c>
      <c r="K458" s="90">
        <v>0</v>
      </c>
      <c r="L458" s="91"/>
      <c r="M458" s="92" t="s">
        <v>2372</v>
      </c>
      <c r="N458" s="93"/>
      <c r="P458" s="21"/>
      <c r="Q458" s="12"/>
      <c r="R458">
        <f t="shared" si="21"/>
        <v>1</v>
      </c>
      <c r="S458" s="21" t="s">
        <v>99</v>
      </c>
      <c r="T458" s="21" t="s">
        <v>99</v>
      </c>
      <c r="W458" t="e">
        <f>INDEX(#REF!,MATCH($E458,#REF!,0))</f>
        <v>#REF!</v>
      </c>
      <c r="X458" t="e">
        <f>INDEX(#REF!,MATCH($E458,#REF!,0))</f>
        <v>#REF!</v>
      </c>
      <c r="Y458" t="e">
        <f>INDEX(#REF!,MATCH($E458,#REF!,0))</f>
        <v>#REF!</v>
      </c>
      <c r="Z458" t="e">
        <f>INDEX(#REF!,MATCH($E458,#REF!,0))</f>
        <v>#REF!</v>
      </c>
      <c r="AA458" t="e">
        <f>INDEX(#REF!,MATCH($E458,#REF!,0))</f>
        <v>#REF!</v>
      </c>
      <c r="AB458" t="e">
        <f>INDEX(#REF!,MATCH($E458,#REF!,0))</f>
        <v>#REF!</v>
      </c>
      <c r="AC458" t="e">
        <f>INDEX(#REF!,MATCH($E458,#REF!,0))</f>
        <v>#REF!</v>
      </c>
      <c r="AD458" t="e">
        <f>INDEX(#REF!,MATCH($E458,#REF!,0))</f>
        <v>#REF!</v>
      </c>
      <c r="AE458" t="e">
        <f t="shared" si="20"/>
        <v>#REF!</v>
      </c>
    </row>
    <row r="459" spans="2:31" x14ac:dyDescent="0.25">
      <c r="B459" s="45" t="s">
        <v>1764</v>
      </c>
      <c r="C459" s="45" t="s">
        <v>685</v>
      </c>
      <c r="D459" s="89" t="s">
        <v>2022</v>
      </c>
      <c r="E459" s="89">
        <v>112434</v>
      </c>
      <c r="F459" s="89">
        <v>1080</v>
      </c>
      <c r="G459" s="90">
        <v>7</v>
      </c>
      <c r="H459" s="90">
        <v>3</v>
      </c>
      <c r="I459" s="90" t="s">
        <v>26</v>
      </c>
      <c r="J459" s="90">
        <v>1</v>
      </c>
      <c r="K459" s="87" t="s">
        <v>2509</v>
      </c>
      <c r="L459" s="91"/>
      <c r="M459" s="92" t="s">
        <v>2373</v>
      </c>
      <c r="N459" s="93"/>
      <c r="P459" s="21"/>
      <c r="Q459" s="12"/>
      <c r="R459">
        <f t="shared" si="21"/>
        <v>1</v>
      </c>
      <c r="S459" s="21" t="s">
        <v>99</v>
      </c>
      <c r="T459" s="21" t="s">
        <v>99</v>
      </c>
      <c r="W459" t="e">
        <f>INDEX(#REF!,MATCH($E459,#REF!,0))</f>
        <v>#REF!</v>
      </c>
      <c r="X459" t="e">
        <f>INDEX(#REF!,MATCH($E459,#REF!,0))</f>
        <v>#REF!</v>
      </c>
      <c r="Y459" t="e">
        <f>INDEX(#REF!,MATCH($E459,#REF!,0))</f>
        <v>#REF!</v>
      </c>
      <c r="Z459" t="e">
        <f>INDEX(#REF!,MATCH($E459,#REF!,0))</f>
        <v>#REF!</v>
      </c>
      <c r="AA459" t="e">
        <f>INDEX(#REF!,MATCH($E459,#REF!,0))</f>
        <v>#REF!</v>
      </c>
      <c r="AB459" t="e">
        <f>INDEX(#REF!,MATCH($E459,#REF!,0))</f>
        <v>#REF!</v>
      </c>
      <c r="AC459" t="e">
        <f>INDEX(#REF!,MATCH($E459,#REF!,0))</f>
        <v>#REF!</v>
      </c>
      <c r="AD459" t="e">
        <f>INDEX(#REF!,MATCH($E459,#REF!,0))</f>
        <v>#REF!</v>
      </c>
      <c r="AE459" t="e">
        <f t="shared" si="20"/>
        <v>#REF!</v>
      </c>
    </row>
    <row r="460" spans="2:31" x14ac:dyDescent="0.25">
      <c r="B460" s="45" t="s">
        <v>1765</v>
      </c>
      <c r="C460" s="45" t="s">
        <v>687</v>
      </c>
      <c r="D460" s="89" t="s">
        <v>686</v>
      </c>
      <c r="E460" s="89">
        <v>112435</v>
      </c>
      <c r="F460" s="89">
        <v>1080</v>
      </c>
      <c r="G460" s="90">
        <v>8</v>
      </c>
      <c r="H460" s="90">
        <v>3</v>
      </c>
      <c r="I460" s="90" t="s">
        <v>147</v>
      </c>
      <c r="J460" s="90">
        <v>100000</v>
      </c>
      <c r="K460" s="90">
        <v>0</v>
      </c>
      <c r="L460" s="91"/>
      <c r="M460" s="92" t="s">
        <v>2374</v>
      </c>
      <c r="N460" s="93"/>
      <c r="P460" s="21"/>
      <c r="Q460" s="12"/>
      <c r="R460">
        <f t="shared" si="21"/>
        <v>1</v>
      </c>
      <c r="S460" s="21" t="s">
        <v>99</v>
      </c>
      <c r="T460" s="21" t="s">
        <v>99</v>
      </c>
      <c r="W460" t="e">
        <f>INDEX(#REF!,MATCH($E460,#REF!,0))</f>
        <v>#REF!</v>
      </c>
      <c r="X460" t="e">
        <f>INDEX(#REF!,MATCH($E460,#REF!,0))</f>
        <v>#REF!</v>
      </c>
      <c r="Y460" t="e">
        <f>INDEX(#REF!,MATCH($E460,#REF!,0))</f>
        <v>#REF!</v>
      </c>
      <c r="Z460" t="e">
        <f>INDEX(#REF!,MATCH($E460,#REF!,0))</f>
        <v>#REF!</v>
      </c>
      <c r="AA460" t="e">
        <f>INDEX(#REF!,MATCH($E460,#REF!,0))</f>
        <v>#REF!</v>
      </c>
      <c r="AB460" t="e">
        <f>INDEX(#REF!,MATCH($E460,#REF!,0))</f>
        <v>#REF!</v>
      </c>
      <c r="AC460" t="e">
        <f>INDEX(#REF!,MATCH($E460,#REF!,0))</f>
        <v>#REF!</v>
      </c>
      <c r="AD460" t="e">
        <f>INDEX(#REF!,MATCH($E460,#REF!,0))</f>
        <v>#REF!</v>
      </c>
      <c r="AE460" t="e">
        <f t="shared" si="20"/>
        <v>#REF!</v>
      </c>
    </row>
    <row r="461" spans="2:31" x14ac:dyDescent="0.25">
      <c r="B461" s="45" t="s">
        <v>1766</v>
      </c>
      <c r="C461" s="45" t="s">
        <v>689</v>
      </c>
      <c r="D461" s="89" t="s">
        <v>688</v>
      </c>
      <c r="E461" s="89">
        <v>112436</v>
      </c>
      <c r="F461" s="89">
        <v>1080</v>
      </c>
      <c r="G461" s="90">
        <v>9</v>
      </c>
      <c r="H461" s="90">
        <v>3</v>
      </c>
      <c r="I461" s="90" t="s">
        <v>147</v>
      </c>
      <c r="J461" s="90">
        <v>100000</v>
      </c>
      <c r="K461" s="90">
        <v>0</v>
      </c>
      <c r="L461" s="91"/>
      <c r="M461" s="92" t="s">
        <v>1228</v>
      </c>
      <c r="N461" s="93"/>
      <c r="P461" s="21"/>
      <c r="Q461" s="12"/>
      <c r="R461">
        <f t="shared" si="21"/>
        <v>1</v>
      </c>
      <c r="S461" s="21" t="s">
        <v>99</v>
      </c>
      <c r="T461" s="21" t="s">
        <v>99</v>
      </c>
      <c r="W461" t="e">
        <f>INDEX(#REF!,MATCH($E461,#REF!,0))</f>
        <v>#REF!</v>
      </c>
      <c r="X461" t="e">
        <f>INDEX(#REF!,MATCH($E461,#REF!,0))</f>
        <v>#REF!</v>
      </c>
      <c r="Y461" t="e">
        <f>INDEX(#REF!,MATCH($E461,#REF!,0))</f>
        <v>#REF!</v>
      </c>
      <c r="Z461" t="e">
        <f>INDEX(#REF!,MATCH($E461,#REF!,0))</f>
        <v>#REF!</v>
      </c>
      <c r="AA461" t="e">
        <f>INDEX(#REF!,MATCH($E461,#REF!,0))</f>
        <v>#REF!</v>
      </c>
      <c r="AB461" t="e">
        <f>INDEX(#REF!,MATCH($E461,#REF!,0))</f>
        <v>#REF!</v>
      </c>
      <c r="AC461" t="e">
        <f>INDEX(#REF!,MATCH($E461,#REF!,0))</f>
        <v>#REF!</v>
      </c>
      <c r="AD461" t="e">
        <f>INDEX(#REF!,MATCH($E461,#REF!,0))</f>
        <v>#REF!</v>
      </c>
      <c r="AE461" t="e">
        <f t="shared" si="20"/>
        <v>#REF!</v>
      </c>
    </row>
    <row r="462" spans="2:31" x14ac:dyDescent="0.25">
      <c r="B462" s="45" t="s">
        <v>1767</v>
      </c>
      <c r="C462" s="45" t="s">
        <v>690</v>
      </c>
      <c r="D462" s="89" t="s">
        <v>2091</v>
      </c>
      <c r="E462" s="89">
        <v>112437</v>
      </c>
      <c r="F462" s="89">
        <v>1080</v>
      </c>
      <c r="G462" s="90">
        <v>10</v>
      </c>
      <c r="H462" s="90">
        <v>3</v>
      </c>
      <c r="I462" s="90" t="s">
        <v>26</v>
      </c>
      <c r="J462" s="90">
        <v>1</v>
      </c>
      <c r="K462" s="87" t="s">
        <v>2509</v>
      </c>
      <c r="L462" s="91"/>
      <c r="M462" s="92" t="s">
        <v>2375</v>
      </c>
      <c r="N462" s="93"/>
      <c r="P462" s="21"/>
      <c r="Q462" s="12"/>
      <c r="R462">
        <f t="shared" si="21"/>
        <v>1</v>
      </c>
      <c r="S462" s="21" t="s">
        <v>99</v>
      </c>
      <c r="T462" s="21" t="s">
        <v>99</v>
      </c>
      <c r="W462" t="e">
        <f>INDEX(#REF!,MATCH($E462,#REF!,0))</f>
        <v>#REF!</v>
      </c>
      <c r="X462" t="e">
        <f>INDEX(#REF!,MATCH($E462,#REF!,0))</f>
        <v>#REF!</v>
      </c>
      <c r="Y462" t="e">
        <f>INDEX(#REF!,MATCH($E462,#REF!,0))</f>
        <v>#REF!</v>
      </c>
      <c r="Z462" t="e">
        <f>INDEX(#REF!,MATCH($E462,#REF!,0))</f>
        <v>#REF!</v>
      </c>
      <c r="AA462" t="e">
        <f>INDEX(#REF!,MATCH($E462,#REF!,0))</f>
        <v>#REF!</v>
      </c>
      <c r="AB462" t="e">
        <f>INDEX(#REF!,MATCH($E462,#REF!,0))</f>
        <v>#REF!</v>
      </c>
      <c r="AC462" t="e">
        <f>INDEX(#REF!,MATCH($E462,#REF!,0))</f>
        <v>#REF!</v>
      </c>
      <c r="AD462" t="e">
        <f>INDEX(#REF!,MATCH($E462,#REF!,0))</f>
        <v>#REF!</v>
      </c>
      <c r="AE462" t="e">
        <f t="shared" si="20"/>
        <v>#REF!</v>
      </c>
    </row>
    <row r="463" spans="2:31" x14ac:dyDescent="0.25">
      <c r="B463" s="45" t="s">
        <v>1768</v>
      </c>
      <c r="C463" s="45" t="s">
        <v>692</v>
      </c>
      <c r="D463" s="89" t="s">
        <v>691</v>
      </c>
      <c r="E463" s="89">
        <v>112438</v>
      </c>
      <c r="F463" s="89">
        <v>1080</v>
      </c>
      <c r="G463" s="90">
        <v>11</v>
      </c>
      <c r="H463" s="90">
        <v>3</v>
      </c>
      <c r="I463" s="90" t="s">
        <v>147</v>
      </c>
      <c r="J463" s="90">
        <v>100000</v>
      </c>
      <c r="K463" s="90">
        <v>0</v>
      </c>
      <c r="L463" s="91"/>
      <c r="M463" s="92" t="s">
        <v>1229</v>
      </c>
      <c r="N463" s="93"/>
      <c r="P463" s="21"/>
      <c r="Q463" s="12"/>
      <c r="R463">
        <f t="shared" si="21"/>
        <v>1</v>
      </c>
      <c r="S463" s="21" t="s">
        <v>99</v>
      </c>
      <c r="T463" s="21" t="s">
        <v>99</v>
      </c>
      <c r="W463" t="e">
        <f>INDEX(#REF!,MATCH($E463,#REF!,0))</f>
        <v>#REF!</v>
      </c>
      <c r="X463" t="e">
        <f>INDEX(#REF!,MATCH($E463,#REF!,0))</f>
        <v>#REF!</v>
      </c>
      <c r="Y463" t="e">
        <f>INDEX(#REF!,MATCH($E463,#REF!,0))</f>
        <v>#REF!</v>
      </c>
      <c r="Z463" t="e">
        <f>INDEX(#REF!,MATCH($E463,#REF!,0))</f>
        <v>#REF!</v>
      </c>
      <c r="AA463" t="e">
        <f>INDEX(#REF!,MATCH($E463,#REF!,0))</f>
        <v>#REF!</v>
      </c>
      <c r="AB463" t="e">
        <f>INDEX(#REF!,MATCH($E463,#REF!,0))</f>
        <v>#REF!</v>
      </c>
      <c r="AC463" t="e">
        <f>INDEX(#REF!,MATCH($E463,#REF!,0))</f>
        <v>#REF!</v>
      </c>
      <c r="AD463" t="e">
        <f>INDEX(#REF!,MATCH($E463,#REF!,0))</f>
        <v>#REF!</v>
      </c>
      <c r="AE463" t="e">
        <f t="shared" si="20"/>
        <v>#REF!</v>
      </c>
    </row>
    <row r="464" spans="2:31" x14ac:dyDescent="0.25">
      <c r="B464" s="45" t="s">
        <v>1769</v>
      </c>
      <c r="C464" s="45" t="s">
        <v>693</v>
      </c>
      <c r="D464" s="89" t="s">
        <v>2092</v>
      </c>
      <c r="E464" s="89">
        <v>112439</v>
      </c>
      <c r="F464" s="89">
        <v>1080</v>
      </c>
      <c r="G464" s="90">
        <v>12</v>
      </c>
      <c r="H464" s="90">
        <v>3</v>
      </c>
      <c r="I464" s="90" t="s">
        <v>26</v>
      </c>
      <c r="J464" s="90">
        <v>1</v>
      </c>
      <c r="K464" s="87" t="s">
        <v>2509</v>
      </c>
      <c r="L464" s="91"/>
      <c r="M464" s="92" t="s">
        <v>2376</v>
      </c>
      <c r="N464" s="93"/>
      <c r="P464" s="21"/>
      <c r="Q464" s="12"/>
      <c r="R464">
        <f t="shared" si="21"/>
        <v>1</v>
      </c>
      <c r="S464" s="21" t="s">
        <v>99</v>
      </c>
      <c r="T464" s="21" t="s">
        <v>99</v>
      </c>
      <c r="W464" t="e">
        <f>INDEX(#REF!,MATCH($E464,#REF!,0))</f>
        <v>#REF!</v>
      </c>
      <c r="X464" t="e">
        <f>INDEX(#REF!,MATCH($E464,#REF!,0))</f>
        <v>#REF!</v>
      </c>
      <c r="Y464" t="e">
        <f>INDEX(#REF!,MATCH($E464,#REF!,0))</f>
        <v>#REF!</v>
      </c>
      <c r="Z464" t="e">
        <f>INDEX(#REF!,MATCH($E464,#REF!,0))</f>
        <v>#REF!</v>
      </c>
      <c r="AA464" t="e">
        <f>INDEX(#REF!,MATCH($E464,#REF!,0))</f>
        <v>#REF!</v>
      </c>
      <c r="AB464" t="e">
        <f>INDEX(#REF!,MATCH($E464,#REF!,0))</f>
        <v>#REF!</v>
      </c>
      <c r="AC464" t="e">
        <f>INDEX(#REF!,MATCH($E464,#REF!,0))</f>
        <v>#REF!</v>
      </c>
      <c r="AD464" t="e">
        <f>INDEX(#REF!,MATCH($E464,#REF!,0))</f>
        <v>#REF!</v>
      </c>
      <c r="AE464" t="e">
        <f t="shared" si="20"/>
        <v>#REF!</v>
      </c>
    </row>
    <row r="465" spans="2:31" x14ac:dyDescent="0.25">
      <c r="B465" s="45" t="s">
        <v>1770</v>
      </c>
      <c r="C465" s="45" t="s">
        <v>695</v>
      </c>
      <c r="D465" s="89" t="s">
        <v>694</v>
      </c>
      <c r="E465" s="89">
        <v>112445</v>
      </c>
      <c r="F465" s="89">
        <v>1080</v>
      </c>
      <c r="G465" s="90">
        <v>13</v>
      </c>
      <c r="H465" s="90">
        <v>3</v>
      </c>
      <c r="I465" s="90" t="s">
        <v>147</v>
      </c>
      <c r="J465" s="90">
        <v>100000</v>
      </c>
      <c r="K465" s="90">
        <v>0</v>
      </c>
      <c r="L465" s="91"/>
      <c r="M465" s="92" t="s">
        <v>2377</v>
      </c>
      <c r="N465" s="93"/>
      <c r="P465" s="21"/>
      <c r="Q465" s="12"/>
      <c r="R465">
        <f t="shared" si="21"/>
        <v>1</v>
      </c>
      <c r="S465" s="21" t="s">
        <v>99</v>
      </c>
      <c r="T465" s="21" t="s">
        <v>99</v>
      </c>
      <c r="W465" t="e">
        <f>INDEX(#REF!,MATCH($E465,#REF!,0))</f>
        <v>#REF!</v>
      </c>
      <c r="X465" t="e">
        <f>INDEX(#REF!,MATCH($E465,#REF!,0))</f>
        <v>#REF!</v>
      </c>
      <c r="Y465" t="e">
        <f>INDEX(#REF!,MATCH($E465,#REF!,0))</f>
        <v>#REF!</v>
      </c>
      <c r="Z465" t="e">
        <f>INDEX(#REF!,MATCH($E465,#REF!,0))</f>
        <v>#REF!</v>
      </c>
      <c r="AA465" t="e">
        <f>INDEX(#REF!,MATCH($E465,#REF!,0))</f>
        <v>#REF!</v>
      </c>
      <c r="AB465" t="e">
        <f>INDEX(#REF!,MATCH($E465,#REF!,0))</f>
        <v>#REF!</v>
      </c>
      <c r="AC465" t="e">
        <f>INDEX(#REF!,MATCH($E465,#REF!,0))</f>
        <v>#REF!</v>
      </c>
      <c r="AD465" t="e">
        <f>INDEX(#REF!,MATCH($E465,#REF!,0))</f>
        <v>#REF!</v>
      </c>
      <c r="AE465" t="e">
        <f t="shared" si="20"/>
        <v>#REF!</v>
      </c>
    </row>
    <row r="466" spans="2:31" x14ac:dyDescent="0.25">
      <c r="B466" s="45" t="s">
        <v>1771</v>
      </c>
      <c r="C466" s="45" t="s">
        <v>697</v>
      </c>
      <c r="D466" s="89" t="s">
        <v>696</v>
      </c>
      <c r="E466" s="89">
        <v>112446</v>
      </c>
      <c r="F466" s="89">
        <v>1080</v>
      </c>
      <c r="G466" s="90">
        <v>14</v>
      </c>
      <c r="H466" s="90">
        <v>3</v>
      </c>
      <c r="I466" s="90" t="s">
        <v>147</v>
      </c>
      <c r="J466" s="90">
        <v>100000</v>
      </c>
      <c r="K466" s="90">
        <v>0</v>
      </c>
      <c r="L466" s="91"/>
      <c r="M466" s="92" t="s">
        <v>2378</v>
      </c>
      <c r="N466" s="93"/>
      <c r="P466" s="21"/>
      <c r="Q466" s="12"/>
      <c r="R466">
        <f t="shared" si="21"/>
        <v>1</v>
      </c>
      <c r="S466" s="21" t="s">
        <v>99</v>
      </c>
      <c r="T466" s="21" t="s">
        <v>99</v>
      </c>
      <c r="W466" t="e">
        <f>INDEX(#REF!,MATCH($E466,#REF!,0))</f>
        <v>#REF!</v>
      </c>
      <c r="X466" t="e">
        <f>INDEX(#REF!,MATCH($E466,#REF!,0))</f>
        <v>#REF!</v>
      </c>
      <c r="Y466" t="e">
        <f>INDEX(#REF!,MATCH($E466,#REF!,0))</f>
        <v>#REF!</v>
      </c>
      <c r="Z466" t="e">
        <f>INDEX(#REF!,MATCH($E466,#REF!,0))</f>
        <v>#REF!</v>
      </c>
      <c r="AA466" t="e">
        <f>INDEX(#REF!,MATCH($E466,#REF!,0))</f>
        <v>#REF!</v>
      </c>
      <c r="AB466" t="e">
        <f>INDEX(#REF!,MATCH($E466,#REF!,0))</f>
        <v>#REF!</v>
      </c>
      <c r="AC466" t="e">
        <f>INDEX(#REF!,MATCH($E466,#REF!,0))</f>
        <v>#REF!</v>
      </c>
      <c r="AD466" t="e">
        <f>INDEX(#REF!,MATCH($E466,#REF!,0))</f>
        <v>#REF!</v>
      </c>
      <c r="AE466" t="e">
        <f t="shared" si="20"/>
        <v>#REF!</v>
      </c>
    </row>
    <row r="467" spans="2:31" x14ac:dyDescent="0.25">
      <c r="B467" s="45" t="s">
        <v>1772</v>
      </c>
      <c r="C467" s="45" t="s">
        <v>698</v>
      </c>
      <c r="D467" s="89" t="s">
        <v>2023</v>
      </c>
      <c r="E467" s="89">
        <v>112447</v>
      </c>
      <c r="F467" s="89">
        <v>1081</v>
      </c>
      <c r="G467" s="90">
        <v>0</v>
      </c>
      <c r="H467" s="90">
        <v>3</v>
      </c>
      <c r="I467" s="90" t="s">
        <v>26</v>
      </c>
      <c r="J467" s="90">
        <v>1</v>
      </c>
      <c r="K467" s="87" t="s">
        <v>2509</v>
      </c>
      <c r="L467" s="91"/>
      <c r="M467" s="92" t="s">
        <v>2379</v>
      </c>
      <c r="N467" s="93"/>
      <c r="P467" s="21"/>
      <c r="Q467" s="12"/>
      <c r="R467">
        <f t="shared" si="21"/>
        <v>1</v>
      </c>
      <c r="S467" s="21" t="s">
        <v>99</v>
      </c>
      <c r="T467" s="21" t="s">
        <v>99</v>
      </c>
      <c r="W467" t="e">
        <f>INDEX(#REF!,MATCH($E467,#REF!,0))</f>
        <v>#REF!</v>
      </c>
      <c r="X467" t="e">
        <f>INDEX(#REF!,MATCH($E467,#REF!,0))</f>
        <v>#REF!</v>
      </c>
      <c r="Y467" t="e">
        <f>INDEX(#REF!,MATCH($E467,#REF!,0))</f>
        <v>#REF!</v>
      </c>
      <c r="Z467" t="e">
        <f>INDEX(#REF!,MATCH($E467,#REF!,0))</f>
        <v>#REF!</v>
      </c>
      <c r="AA467" t="e">
        <f>INDEX(#REF!,MATCH($E467,#REF!,0))</f>
        <v>#REF!</v>
      </c>
      <c r="AB467" t="e">
        <f>INDEX(#REF!,MATCH($E467,#REF!,0))</f>
        <v>#REF!</v>
      </c>
      <c r="AC467" t="e">
        <f>INDEX(#REF!,MATCH($E467,#REF!,0))</f>
        <v>#REF!</v>
      </c>
      <c r="AD467" t="e">
        <f>INDEX(#REF!,MATCH($E467,#REF!,0))</f>
        <v>#REF!</v>
      </c>
      <c r="AE467" t="e">
        <f t="shared" si="20"/>
        <v>#REF!</v>
      </c>
    </row>
    <row r="468" spans="2:31" x14ac:dyDescent="0.25">
      <c r="B468" s="45" t="s">
        <v>1773</v>
      </c>
      <c r="C468" s="45" t="s">
        <v>700</v>
      </c>
      <c r="D468" s="89" t="s">
        <v>699</v>
      </c>
      <c r="E468" s="89">
        <v>112450</v>
      </c>
      <c r="F468" s="89">
        <v>1081</v>
      </c>
      <c r="G468" s="90">
        <v>1</v>
      </c>
      <c r="H468" s="90">
        <v>3</v>
      </c>
      <c r="I468" s="90" t="s">
        <v>154</v>
      </c>
      <c r="J468" s="90">
        <v>100</v>
      </c>
      <c r="K468" s="90">
        <v>0</v>
      </c>
      <c r="L468" s="91"/>
      <c r="M468" s="92"/>
      <c r="N468" s="93"/>
      <c r="P468" s="21"/>
      <c r="Q468" s="12"/>
      <c r="R468">
        <f t="shared" si="21"/>
        <v>1</v>
      </c>
      <c r="S468" s="21" t="s">
        <v>99</v>
      </c>
      <c r="T468" s="21" t="s">
        <v>99</v>
      </c>
      <c r="W468" t="e">
        <f>INDEX(#REF!,MATCH($E468,#REF!,0))</f>
        <v>#REF!</v>
      </c>
      <c r="X468" t="e">
        <f>INDEX(#REF!,MATCH($E468,#REF!,0))</f>
        <v>#REF!</v>
      </c>
      <c r="Y468" t="e">
        <f>INDEX(#REF!,MATCH($E468,#REF!,0))</f>
        <v>#REF!</v>
      </c>
      <c r="Z468" t="e">
        <f>INDEX(#REF!,MATCH($E468,#REF!,0))</f>
        <v>#REF!</v>
      </c>
      <c r="AA468" t="e">
        <f>INDEX(#REF!,MATCH($E468,#REF!,0))</f>
        <v>#REF!</v>
      </c>
      <c r="AB468" t="e">
        <f>INDEX(#REF!,MATCH($E468,#REF!,0))</f>
        <v>#REF!</v>
      </c>
      <c r="AC468" t="e">
        <f>INDEX(#REF!,MATCH($E468,#REF!,0))</f>
        <v>#REF!</v>
      </c>
      <c r="AD468" t="e">
        <f>INDEX(#REF!,MATCH($E468,#REF!,0))</f>
        <v>#REF!</v>
      </c>
      <c r="AE468" t="e">
        <f t="shared" ref="AE468:AE531" si="22">AND(X468=F468,G468=Y468,AC468=J468,AD468=H468)</f>
        <v>#REF!</v>
      </c>
    </row>
    <row r="469" spans="2:31" x14ac:dyDescent="0.25">
      <c r="B469" s="45" t="s">
        <v>1774</v>
      </c>
      <c r="C469" s="45" t="s">
        <v>702</v>
      </c>
      <c r="D469" s="89" t="s">
        <v>701</v>
      </c>
      <c r="E469" s="89">
        <v>112451</v>
      </c>
      <c r="F469" s="89">
        <v>1081</v>
      </c>
      <c r="G469" s="90">
        <v>2</v>
      </c>
      <c r="H469" s="90">
        <v>3</v>
      </c>
      <c r="I469" s="90" t="s">
        <v>154</v>
      </c>
      <c r="J469" s="90">
        <v>100</v>
      </c>
      <c r="K469" s="90">
        <v>0</v>
      </c>
      <c r="L469" s="91"/>
      <c r="M469" s="92" t="s">
        <v>2380</v>
      </c>
      <c r="N469" s="93"/>
      <c r="P469" s="21"/>
      <c r="Q469" s="12"/>
      <c r="R469">
        <f t="shared" si="21"/>
        <v>1</v>
      </c>
      <c r="S469" s="21" t="s">
        <v>99</v>
      </c>
      <c r="T469" s="21" t="s">
        <v>99</v>
      </c>
      <c r="W469" t="e">
        <f>INDEX(#REF!,MATCH($E469,#REF!,0))</f>
        <v>#REF!</v>
      </c>
      <c r="X469" t="e">
        <f>INDEX(#REF!,MATCH($E469,#REF!,0))</f>
        <v>#REF!</v>
      </c>
      <c r="Y469" t="e">
        <f>INDEX(#REF!,MATCH($E469,#REF!,0))</f>
        <v>#REF!</v>
      </c>
      <c r="Z469" t="e">
        <f>INDEX(#REF!,MATCH($E469,#REF!,0))</f>
        <v>#REF!</v>
      </c>
      <c r="AA469" t="e">
        <f>INDEX(#REF!,MATCH($E469,#REF!,0))</f>
        <v>#REF!</v>
      </c>
      <c r="AB469" t="e">
        <f>INDEX(#REF!,MATCH($E469,#REF!,0))</f>
        <v>#REF!</v>
      </c>
      <c r="AC469" t="e">
        <f>INDEX(#REF!,MATCH($E469,#REF!,0))</f>
        <v>#REF!</v>
      </c>
      <c r="AD469" t="e">
        <f>INDEX(#REF!,MATCH($E469,#REF!,0))</f>
        <v>#REF!</v>
      </c>
      <c r="AE469" t="e">
        <f t="shared" si="22"/>
        <v>#REF!</v>
      </c>
    </row>
    <row r="470" spans="2:31" x14ac:dyDescent="0.25">
      <c r="B470" s="45" t="s">
        <v>1775</v>
      </c>
      <c r="C470" s="45" t="s">
        <v>703</v>
      </c>
      <c r="D470" s="89" t="s">
        <v>2024</v>
      </c>
      <c r="E470" s="89">
        <v>112452</v>
      </c>
      <c r="F470" s="89">
        <v>1081</v>
      </c>
      <c r="G470" s="90">
        <v>3</v>
      </c>
      <c r="H470" s="90">
        <v>3</v>
      </c>
      <c r="I470" s="90" t="s">
        <v>26</v>
      </c>
      <c r="J470" s="90">
        <v>1</v>
      </c>
      <c r="K470" s="87" t="s">
        <v>2509</v>
      </c>
      <c r="L470" s="91"/>
      <c r="M470" s="92" t="s">
        <v>1231</v>
      </c>
      <c r="N470" s="93"/>
      <c r="P470" s="21"/>
      <c r="Q470" s="12"/>
      <c r="R470">
        <f t="shared" si="21"/>
        <v>1</v>
      </c>
      <c r="S470" s="21" t="s">
        <v>99</v>
      </c>
      <c r="T470" s="21" t="s">
        <v>99</v>
      </c>
      <c r="W470" t="e">
        <f>INDEX(#REF!,MATCH($E470,#REF!,0))</f>
        <v>#REF!</v>
      </c>
      <c r="X470" t="e">
        <f>INDEX(#REF!,MATCH($E470,#REF!,0))</f>
        <v>#REF!</v>
      </c>
      <c r="Y470" t="e">
        <f>INDEX(#REF!,MATCH($E470,#REF!,0))</f>
        <v>#REF!</v>
      </c>
      <c r="Z470" t="e">
        <f>INDEX(#REF!,MATCH($E470,#REF!,0))</f>
        <v>#REF!</v>
      </c>
      <c r="AA470" t="e">
        <f>INDEX(#REF!,MATCH($E470,#REF!,0))</f>
        <v>#REF!</v>
      </c>
      <c r="AB470" t="e">
        <f>INDEX(#REF!,MATCH($E470,#REF!,0))</f>
        <v>#REF!</v>
      </c>
      <c r="AC470" t="e">
        <f>INDEX(#REF!,MATCH($E470,#REF!,0))</f>
        <v>#REF!</v>
      </c>
      <c r="AD470" t="e">
        <f>INDEX(#REF!,MATCH($E470,#REF!,0))</f>
        <v>#REF!</v>
      </c>
      <c r="AE470" t="e">
        <f t="shared" si="22"/>
        <v>#REF!</v>
      </c>
    </row>
    <row r="471" spans="2:31" x14ac:dyDescent="0.25">
      <c r="B471" s="45" t="s">
        <v>1776</v>
      </c>
      <c r="C471" s="45" t="s">
        <v>705</v>
      </c>
      <c r="D471" s="89" t="s">
        <v>704</v>
      </c>
      <c r="E471" s="89">
        <v>112453</v>
      </c>
      <c r="F471" s="89">
        <v>1081</v>
      </c>
      <c r="G471" s="90">
        <v>4</v>
      </c>
      <c r="H471" s="90">
        <v>3</v>
      </c>
      <c r="I471" s="90" t="s">
        <v>154</v>
      </c>
      <c r="J471" s="90">
        <v>100</v>
      </c>
      <c r="K471" s="90">
        <v>0</v>
      </c>
      <c r="L471" s="91"/>
      <c r="M471" s="92" t="s">
        <v>1232</v>
      </c>
      <c r="N471" s="93"/>
      <c r="P471" s="21"/>
      <c r="Q471" s="12"/>
      <c r="R471">
        <f t="shared" si="21"/>
        <v>1</v>
      </c>
      <c r="S471" s="21" t="s">
        <v>99</v>
      </c>
      <c r="T471" s="21" t="s">
        <v>99</v>
      </c>
      <c r="W471" t="e">
        <f>INDEX(#REF!,MATCH($E471,#REF!,0))</f>
        <v>#REF!</v>
      </c>
      <c r="X471" t="e">
        <f>INDEX(#REF!,MATCH($E471,#REF!,0))</f>
        <v>#REF!</v>
      </c>
      <c r="Y471" t="e">
        <f>INDEX(#REF!,MATCH($E471,#REF!,0))</f>
        <v>#REF!</v>
      </c>
      <c r="Z471" t="e">
        <f>INDEX(#REF!,MATCH($E471,#REF!,0))</f>
        <v>#REF!</v>
      </c>
      <c r="AA471" t="e">
        <f>INDEX(#REF!,MATCH($E471,#REF!,0))</f>
        <v>#REF!</v>
      </c>
      <c r="AB471" t="e">
        <f>INDEX(#REF!,MATCH($E471,#REF!,0))</f>
        <v>#REF!</v>
      </c>
      <c r="AC471" t="e">
        <f>INDEX(#REF!,MATCH($E471,#REF!,0))</f>
        <v>#REF!</v>
      </c>
      <c r="AD471" t="e">
        <f>INDEX(#REF!,MATCH($E471,#REF!,0))</f>
        <v>#REF!</v>
      </c>
      <c r="AE471" t="e">
        <f t="shared" si="22"/>
        <v>#REF!</v>
      </c>
    </row>
    <row r="472" spans="2:31" x14ac:dyDescent="0.25">
      <c r="B472" s="45" t="s">
        <v>1777</v>
      </c>
      <c r="C472" s="45" t="s">
        <v>706</v>
      </c>
      <c r="D472" s="89" t="s">
        <v>2025</v>
      </c>
      <c r="E472" s="89">
        <v>112454</v>
      </c>
      <c r="F472" s="89">
        <v>1081</v>
      </c>
      <c r="G472" s="90">
        <v>5</v>
      </c>
      <c r="H472" s="90">
        <v>3</v>
      </c>
      <c r="I472" s="90" t="s">
        <v>26</v>
      </c>
      <c r="J472" s="90">
        <v>1</v>
      </c>
      <c r="K472" s="87" t="s">
        <v>2509</v>
      </c>
      <c r="L472" s="91"/>
      <c r="M472" s="92" t="s">
        <v>1233</v>
      </c>
      <c r="N472" s="93"/>
      <c r="P472" s="21"/>
      <c r="Q472" s="12"/>
      <c r="R472">
        <f t="shared" si="21"/>
        <v>1</v>
      </c>
      <c r="S472" s="21" t="s">
        <v>99</v>
      </c>
      <c r="T472" s="21" t="s">
        <v>99</v>
      </c>
      <c r="W472" t="e">
        <f>INDEX(#REF!,MATCH($E472,#REF!,0))</f>
        <v>#REF!</v>
      </c>
      <c r="X472" t="e">
        <f>INDEX(#REF!,MATCH($E472,#REF!,0))</f>
        <v>#REF!</v>
      </c>
      <c r="Y472" t="e">
        <f>INDEX(#REF!,MATCH($E472,#REF!,0))</f>
        <v>#REF!</v>
      </c>
      <c r="Z472" t="e">
        <f>INDEX(#REF!,MATCH($E472,#REF!,0))</f>
        <v>#REF!</v>
      </c>
      <c r="AA472" t="e">
        <f>INDEX(#REF!,MATCH($E472,#REF!,0))</f>
        <v>#REF!</v>
      </c>
      <c r="AB472" t="e">
        <f>INDEX(#REF!,MATCH($E472,#REF!,0))</f>
        <v>#REF!</v>
      </c>
      <c r="AC472" t="e">
        <f>INDEX(#REF!,MATCH($E472,#REF!,0))</f>
        <v>#REF!</v>
      </c>
      <c r="AD472" t="e">
        <f>INDEX(#REF!,MATCH($E472,#REF!,0))</f>
        <v>#REF!</v>
      </c>
      <c r="AE472" t="e">
        <f t="shared" si="22"/>
        <v>#REF!</v>
      </c>
    </row>
    <row r="473" spans="2:31" x14ac:dyDescent="0.25">
      <c r="B473" s="45" t="s">
        <v>2152</v>
      </c>
      <c r="C473" s="45" t="s">
        <v>707</v>
      </c>
      <c r="D473" s="89" t="s">
        <v>1125</v>
      </c>
      <c r="E473" s="89">
        <v>112455</v>
      </c>
      <c r="F473" s="89">
        <v>1081</v>
      </c>
      <c r="G473" s="90">
        <v>6</v>
      </c>
      <c r="H473" s="90">
        <v>3</v>
      </c>
      <c r="I473" s="90" t="s">
        <v>147</v>
      </c>
      <c r="J473" s="90">
        <v>100000</v>
      </c>
      <c r="K473" s="90">
        <v>0</v>
      </c>
      <c r="L473" s="91"/>
      <c r="M473" s="92" t="s">
        <v>2381</v>
      </c>
      <c r="N473" s="93"/>
      <c r="P473" s="21"/>
      <c r="Q473" s="12"/>
      <c r="R473">
        <f t="shared" si="21"/>
        <v>1</v>
      </c>
      <c r="S473" s="21" t="s">
        <v>99</v>
      </c>
      <c r="T473" s="21" t="s">
        <v>99</v>
      </c>
      <c r="W473" t="e">
        <f>INDEX(#REF!,MATCH($E473,#REF!,0))</f>
        <v>#REF!</v>
      </c>
      <c r="X473" t="e">
        <f>INDEX(#REF!,MATCH($E473,#REF!,0))</f>
        <v>#REF!</v>
      </c>
      <c r="Y473" t="e">
        <f>INDEX(#REF!,MATCH($E473,#REF!,0))</f>
        <v>#REF!</v>
      </c>
      <c r="Z473" t="e">
        <f>INDEX(#REF!,MATCH($E473,#REF!,0))</f>
        <v>#REF!</v>
      </c>
      <c r="AA473" t="e">
        <f>INDEX(#REF!,MATCH($E473,#REF!,0))</f>
        <v>#REF!</v>
      </c>
      <c r="AB473" t="e">
        <f>INDEX(#REF!,MATCH($E473,#REF!,0))</f>
        <v>#REF!</v>
      </c>
      <c r="AC473" t="e">
        <f>INDEX(#REF!,MATCH($E473,#REF!,0))</f>
        <v>#REF!</v>
      </c>
      <c r="AD473" t="e">
        <f>INDEX(#REF!,MATCH($E473,#REF!,0))</f>
        <v>#REF!</v>
      </c>
      <c r="AE473" t="e">
        <f t="shared" si="22"/>
        <v>#REF!</v>
      </c>
    </row>
    <row r="474" spans="2:31" x14ac:dyDescent="0.25">
      <c r="B474" s="45" t="s">
        <v>2153</v>
      </c>
      <c r="C474" s="45" t="s">
        <v>708</v>
      </c>
      <c r="D474" s="89" t="s">
        <v>1126</v>
      </c>
      <c r="E474" s="89">
        <v>112456</v>
      </c>
      <c r="F474" s="89">
        <v>1081</v>
      </c>
      <c r="G474" s="90">
        <v>7</v>
      </c>
      <c r="H474" s="90">
        <v>3</v>
      </c>
      <c r="I474" s="90" t="s">
        <v>147</v>
      </c>
      <c r="J474" s="90">
        <v>100000</v>
      </c>
      <c r="K474" s="90">
        <v>0</v>
      </c>
      <c r="L474" s="91"/>
      <c r="M474" s="92" t="s">
        <v>2382</v>
      </c>
      <c r="N474" s="93"/>
      <c r="P474" s="21"/>
      <c r="Q474" s="12"/>
      <c r="R474">
        <f t="shared" si="21"/>
        <v>1</v>
      </c>
      <c r="S474" s="21" t="s">
        <v>99</v>
      </c>
      <c r="T474" s="21" t="s">
        <v>99</v>
      </c>
      <c r="W474" t="e">
        <f>INDEX(#REF!,MATCH($E474,#REF!,0))</f>
        <v>#REF!</v>
      </c>
      <c r="X474" t="e">
        <f>INDEX(#REF!,MATCH($E474,#REF!,0))</f>
        <v>#REF!</v>
      </c>
      <c r="Y474" t="e">
        <f>INDEX(#REF!,MATCH($E474,#REF!,0))</f>
        <v>#REF!</v>
      </c>
      <c r="Z474" t="e">
        <f>INDEX(#REF!,MATCH($E474,#REF!,0))</f>
        <v>#REF!</v>
      </c>
      <c r="AA474" t="e">
        <f>INDEX(#REF!,MATCH($E474,#REF!,0))</f>
        <v>#REF!</v>
      </c>
      <c r="AB474" t="e">
        <f>INDEX(#REF!,MATCH($E474,#REF!,0))</f>
        <v>#REF!</v>
      </c>
      <c r="AC474" t="e">
        <f>INDEX(#REF!,MATCH($E474,#REF!,0))</f>
        <v>#REF!</v>
      </c>
      <c r="AD474" t="e">
        <f>INDEX(#REF!,MATCH($E474,#REF!,0))</f>
        <v>#REF!</v>
      </c>
      <c r="AE474" t="e">
        <f t="shared" si="22"/>
        <v>#REF!</v>
      </c>
    </row>
    <row r="475" spans="2:31" x14ac:dyDescent="0.25">
      <c r="B475" s="45" t="s">
        <v>2154</v>
      </c>
      <c r="C475" s="45" t="s">
        <v>709</v>
      </c>
      <c r="D475" s="89" t="s">
        <v>1131</v>
      </c>
      <c r="E475" s="89">
        <v>112457</v>
      </c>
      <c r="F475" s="89">
        <v>1081</v>
      </c>
      <c r="G475" s="90">
        <v>8</v>
      </c>
      <c r="H475" s="90">
        <v>3</v>
      </c>
      <c r="I475" s="90" t="s">
        <v>147</v>
      </c>
      <c r="J475" s="90">
        <v>100000</v>
      </c>
      <c r="K475" s="90">
        <v>0</v>
      </c>
      <c r="L475" s="91"/>
      <c r="M475" s="92" t="s">
        <v>2383</v>
      </c>
      <c r="N475" s="93"/>
      <c r="P475" s="21"/>
      <c r="Q475" s="12"/>
      <c r="R475">
        <f t="shared" si="21"/>
        <v>1</v>
      </c>
      <c r="S475" s="21" t="s">
        <v>99</v>
      </c>
      <c r="T475" s="21" t="s">
        <v>99</v>
      </c>
      <c r="W475" t="e">
        <f>INDEX(#REF!,MATCH($E475,#REF!,0))</f>
        <v>#REF!</v>
      </c>
      <c r="X475" t="e">
        <f>INDEX(#REF!,MATCH($E475,#REF!,0))</f>
        <v>#REF!</v>
      </c>
      <c r="Y475" t="e">
        <f>INDEX(#REF!,MATCH($E475,#REF!,0))</f>
        <v>#REF!</v>
      </c>
      <c r="Z475" t="e">
        <f>INDEX(#REF!,MATCH($E475,#REF!,0))</f>
        <v>#REF!</v>
      </c>
      <c r="AA475" t="e">
        <f>INDEX(#REF!,MATCH($E475,#REF!,0))</f>
        <v>#REF!</v>
      </c>
      <c r="AB475" t="e">
        <f>INDEX(#REF!,MATCH($E475,#REF!,0))</f>
        <v>#REF!</v>
      </c>
      <c r="AC475" t="e">
        <f>INDEX(#REF!,MATCH($E475,#REF!,0))</f>
        <v>#REF!</v>
      </c>
      <c r="AD475" t="e">
        <f>INDEX(#REF!,MATCH($E475,#REF!,0))</f>
        <v>#REF!</v>
      </c>
      <c r="AE475" t="e">
        <f t="shared" si="22"/>
        <v>#REF!</v>
      </c>
    </row>
    <row r="476" spans="2:31" x14ac:dyDescent="0.25">
      <c r="B476" s="45" t="s">
        <v>2155</v>
      </c>
      <c r="C476" s="45" t="s">
        <v>710</v>
      </c>
      <c r="D476" s="89" t="s">
        <v>2026</v>
      </c>
      <c r="E476" s="89">
        <v>112458</v>
      </c>
      <c r="F476" s="89">
        <v>1081</v>
      </c>
      <c r="G476" s="90">
        <v>9</v>
      </c>
      <c r="H476" s="90">
        <v>3</v>
      </c>
      <c r="I476" s="90" t="s">
        <v>26</v>
      </c>
      <c r="J476" s="90">
        <v>1</v>
      </c>
      <c r="K476" s="87" t="s">
        <v>2509</v>
      </c>
      <c r="L476" s="91"/>
      <c r="M476" s="92" t="s">
        <v>2384</v>
      </c>
      <c r="N476" s="93"/>
      <c r="P476" s="21"/>
      <c r="Q476" s="12"/>
      <c r="R476">
        <f t="shared" si="21"/>
        <v>1</v>
      </c>
      <c r="S476" s="21" t="s">
        <v>99</v>
      </c>
      <c r="T476" s="21" t="s">
        <v>99</v>
      </c>
      <c r="W476" t="e">
        <f>INDEX(#REF!,MATCH($E476,#REF!,0))</f>
        <v>#REF!</v>
      </c>
      <c r="X476" t="e">
        <f>INDEX(#REF!,MATCH($E476,#REF!,0))</f>
        <v>#REF!</v>
      </c>
      <c r="Y476" t="e">
        <f>INDEX(#REF!,MATCH($E476,#REF!,0))</f>
        <v>#REF!</v>
      </c>
      <c r="Z476" t="e">
        <f>INDEX(#REF!,MATCH($E476,#REF!,0))</f>
        <v>#REF!</v>
      </c>
      <c r="AA476" t="e">
        <f>INDEX(#REF!,MATCH($E476,#REF!,0))</f>
        <v>#REF!</v>
      </c>
      <c r="AB476" t="e">
        <f>INDEX(#REF!,MATCH($E476,#REF!,0))</f>
        <v>#REF!</v>
      </c>
      <c r="AC476" t="e">
        <f>INDEX(#REF!,MATCH($E476,#REF!,0))</f>
        <v>#REF!</v>
      </c>
      <c r="AD476" t="e">
        <f>INDEX(#REF!,MATCH($E476,#REF!,0))</f>
        <v>#REF!</v>
      </c>
      <c r="AE476" t="e">
        <f t="shared" si="22"/>
        <v>#REF!</v>
      </c>
    </row>
    <row r="477" spans="2:31" x14ac:dyDescent="0.25">
      <c r="B477" s="45" t="s">
        <v>2156</v>
      </c>
      <c r="C477" s="45" t="s">
        <v>711</v>
      </c>
      <c r="D477" s="89" t="s">
        <v>2027</v>
      </c>
      <c r="E477" s="89">
        <v>112459</v>
      </c>
      <c r="F477" s="89">
        <v>1081</v>
      </c>
      <c r="G477" s="90">
        <v>10</v>
      </c>
      <c r="H477" s="90">
        <v>3</v>
      </c>
      <c r="I477" s="90" t="s">
        <v>26</v>
      </c>
      <c r="J477" s="90">
        <v>1</v>
      </c>
      <c r="K477" s="87" t="s">
        <v>2509</v>
      </c>
      <c r="L477" s="91"/>
      <c r="M477" s="92" t="s">
        <v>2385</v>
      </c>
      <c r="N477" s="93"/>
      <c r="P477" s="21"/>
      <c r="Q477" s="12"/>
      <c r="R477">
        <f t="shared" si="21"/>
        <v>1</v>
      </c>
      <c r="S477" s="21" t="s">
        <v>99</v>
      </c>
      <c r="T477" s="21" t="s">
        <v>99</v>
      </c>
      <c r="W477" t="e">
        <f>INDEX(#REF!,MATCH($E477,#REF!,0))</f>
        <v>#REF!</v>
      </c>
      <c r="X477" t="e">
        <f>INDEX(#REF!,MATCH($E477,#REF!,0))</f>
        <v>#REF!</v>
      </c>
      <c r="Y477" t="e">
        <f>INDEX(#REF!,MATCH($E477,#REF!,0))</f>
        <v>#REF!</v>
      </c>
      <c r="Z477" t="e">
        <f>INDEX(#REF!,MATCH($E477,#REF!,0))</f>
        <v>#REF!</v>
      </c>
      <c r="AA477" t="e">
        <f>INDEX(#REF!,MATCH($E477,#REF!,0))</f>
        <v>#REF!</v>
      </c>
      <c r="AB477" t="e">
        <f>INDEX(#REF!,MATCH($E477,#REF!,0))</f>
        <v>#REF!</v>
      </c>
      <c r="AC477" t="e">
        <f>INDEX(#REF!,MATCH($E477,#REF!,0))</f>
        <v>#REF!</v>
      </c>
      <c r="AD477" t="e">
        <f>INDEX(#REF!,MATCH($E477,#REF!,0))</f>
        <v>#REF!</v>
      </c>
      <c r="AE477" t="e">
        <f t="shared" si="22"/>
        <v>#REF!</v>
      </c>
    </row>
    <row r="478" spans="2:31" x14ac:dyDescent="0.25">
      <c r="B478" s="45" t="s">
        <v>2157</v>
      </c>
      <c r="C478" s="45" t="s">
        <v>712</v>
      </c>
      <c r="D478" s="89" t="s">
        <v>2028</v>
      </c>
      <c r="E478" s="89">
        <v>112461</v>
      </c>
      <c r="F478" s="89">
        <v>1081</v>
      </c>
      <c r="G478" s="90">
        <v>11</v>
      </c>
      <c r="H478" s="90">
        <v>3</v>
      </c>
      <c r="I478" s="90" t="s">
        <v>26</v>
      </c>
      <c r="J478" s="90">
        <v>1</v>
      </c>
      <c r="K478" s="87" t="s">
        <v>2509</v>
      </c>
      <c r="L478" s="91"/>
      <c r="M478" s="92" t="s">
        <v>1235</v>
      </c>
      <c r="N478" s="93"/>
      <c r="P478" s="21"/>
      <c r="Q478" s="12"/>
      <c r="R478">
        <f t="shared" si="21"/>
        <v>1</v>
      </c>
      <c r="S478" s="21" t="s">
        <v>99</v>
      </c>
      <c r="T478" s="21" t="s">
        <v>99</v>
      </c>
      <c r="W478" t="e">
        <f>INDEX(#REF!,MATCH($E478,#REF!,0))</f>
        <v>#REF!</v>
      </c>
      <c r="X478" t="e">
        <f>INDEX(#REF!,MATCH($E478,#REF!,0))</f>
        <v>#REF!</v>
      </c>
      <c r="Y478" t="e">
        <f>INDEX(#REF!,MATCH($E478,#REF!,0))</f>
        <v>#REF!</v>
      </c>
      <c r="Z478" t="e">
        <f>INDEX(#REF!,MATCH($E478,#REF!,0))</f>
        <v>#REF!</v>
      </c>
      <c r="AA478" t="e">
        <f>INDEX(#REF!,MATCH($E478,#REF!,0))</f>
        <v>#REF!</v>
      </c>
      <c r="AB478" t="e">
        <f>INDEX(#REF!,MATCH($E478,#REF!,0))</f>
        <v>#REF!</v>
      </c>
      <c r="AC478" t="e">
        <f>INDEX(#REF!,MATCH($E478,#REF!,0))</f>
        <v>#REF!</v>
      </c>
      <c r="AD478" t="e">
        <f>INDEX(#REF!,MATCH($E478,#REF!,0))</f>
        <v>#REF!</v>
      </c>
      <c r="AE478" t="e">
        <f t="shared" si="22"/>
        <v>#REF!</v>
      </c>
    </row>
    <row r="479" spans="2:31" x14ac:dyDescent="0.25">
      <c r="B479" s="45" t="s">
        <v>2158</v>
      </c>
      <c r="C479" s="45" t="s">
        <v>713</v>
      </c>
      <c r="D479" s="89" t="s">
        <v>2029</v>
      </c>
      <c r="E479" s="89">
        <v>112462</v>
      </c>
      <c r="F479" s="89">
        <v>1081</v>
      </c>
      <c r="G479" s="90">
        <v>12</v>
      </c>
      <c r="H479" s="90">
        <v>3</v>
      </c>
      <c r="I479" s="90" t="s">
        <v>26</v>
      </c>
      <c r="J479" s="90">
        <v>1</v>
      </c>
      <c r="K479" s="87" t="s">
        <v>2509</v>
      </c>
      <c r="L479" s="91"/>
      <c r="M479" s="92" t="s">
        <v>2288</v>
      </c>
      <c r="N479" s="93"/>
      <c r="P479" s="21"/>
      <c r="Q479" s="12"/>
      <c r="R479">
        <f t="shared" si="21"/>
        <v>1</v>
      </c>
      <c r="S479" s="21" t="s">
        <v>99</v>
      </c>
      <c r="T479" s="21" t="s">
        <v>99</v>
      </c>
      <c r="W479" t="e">
        <f>INDEX(#REF!,MATCH($E479,#REF!,0))</f>
        <v>#REF!</v>
      </c>
      <c r="X479" t="e">
        <f>INDEX(#REF!,MATCH($E479,#REF!,0))</f>
        <v>#REF!</v>
      </c>
      <c r="Y479" t="e">
        <f>INDEX(#REF!,MATCH($E479,#REF!,0))</f>
        <v>#REF!</v>
      </c>
      <c r="Z479" t="e">
        <f>INDEX(#REF!,MATCH($E479,#REF!,0))</f>
        <v>#REF!</v>
      </c>
      <c r="AA479" t="e">
        <f>INDEX(#REF!,MATCH($E479,#REF!,0))</f>
        <v>#REF!</v>
      </c>
      <c r="AB479" t="e">
        <f>INDEX(#REF!,MATCH($E479,#REF!,0))</f>
        <v>#REF!</v>
      </c>
      <c r="AC479" t="e">
        <f>INDEX(#REF!,MATCH($E479,#REF!,0))</f>
        <v>#REF!</v>
      </c>
      <c r="AD479" t="e">
        <f>INDEX(#REF!,MATCH($E479,#REF!,0))</f>
        <v>#REF!</v>
      </c>
      <c r="AE479" t="e">
        <f t="shared" si="22"/>
        <v>#REF!</v>
      </c>
    </row>
    <row r="480" spans="2:31" ht="45" x14ac:dyDescent="0.25">
      <c r="B480" s="45" t="s">
        <v>1778</v>
      </c>
      <c r="C480" s="45" t="s">
        <v>715</v>
      </c>
      <c r="D480" s="89" t="s">
        <v>714</v>
      </c>
      <c r="E480" s="89">
        <v>112466</v>
      </c>
      <c r="F480" s="89">
        <v>1081</v>
      </c>
      <c r="G480" s="90">
        <v>13</v>
      </c>
      <c r="H480" s="90">
        <v>3</v>
      </c>
      <c r="I480" s="90" t="s">
        <v>175</v>
      </c>
      <c r="J480" s="90">
        <v>10000</v>
      </c>
      <c r="K480" s="90">
        <v>0</v>
      </c>
      <c r="L480" s="91"/>
      <c r="M480" s="92" t="s">
        <v>2290</v>
      </c>
      <c r="N480" s="93"/>
      <c r="P480" s="21"/>
      <c r="Q480" s="12" t="s">
        <v>2233</v>
      </c>
      <c r="R480">
        <f t="shared" si="21"/>
        <v>1</v>
      </c>
      <c r="S480" s="21" t="s">
        <v>99</v>
      </c>
      <c r="T480" s="21" t="s">
        <v>99</v>
      </c>
      <c r="W480" t="e">
        <f>INDEX(#REF!,MATCH($E480,#REF!,0))</f>
        <v>#REF!</v>
      </c>
      <c r="X480" t="e">
        <f>INDEX(#REF!,MATCH($E480,#REF!,0))</f>
        <v>#REF!</v>
      </c>
      <c r="Y480" t="e">
        <f>INDEX(#REF!,MATCH($E480,#REF!,0))</f>
        <v>#REF!</v>
      </c>
      <c r="Z480" t="e">
        <f>INDEX(#REF!,MATCH($E480,#REF!,0))</f>
        <v>#REF!</v>
      </c>
      <c r="AA480" t="e">
        <f>INDEX(#REF!,MATCH($E480,#REF!,0))</f>
        <v>#REF!</v>
      </c>
      <c r="AB480" t="e">
        <f>INDEX(#REF!,MATCH($E480,#REF!,0))</f>
        <v>#REF!</v>
      </c>
      <c r="AC480" t="e">
        <f>INDEX(#REF!,MATCH($E480,#REF!,0))</f>
        <v>#REF!</v>
      </c>
      <c r="AD480" t="e">
        <f>INDEX(#REF!,MATCH($E480,#REF!,0))</f>
        <v>#REF!</v>
      </c>
      <c r="AE480" t="e">
        <f t="shared" si="22"/>
        <v>#REF!</v>
      </c>
    </row>
    <row r="481" spans="2:31" x14ac:dyDescent="0.25">
      <c r="B481" s="45" t="s">
        <v>1779</v>
      </c>
      <c r="C481" s="45" t="s">
        <v>716</v>
      </c>
      <c r="D481" s="89" t="s">
        <v>2093</v>
      </c>
      <c r="E481" s="89">
        <v>112467</v>
      </c>
      <c r="F481" s="89">
        <v>1081</v>
      </c>
      <c r="G481" s="90">
        <v>14</v>
      </c>
      <c r="H481" s="90">
        <v>3</v>
      </c>
      <c r="I481" s="90" t="s">
        <v>26</v>
      </c>
      <c r="J481" s="90">
        <v>1</v>
      </c>
      <c r="K481" s="87" t="s">
        <v>2509</v>
      </c>
      <c r="L481" s="91"/>
      <c r="M481" s="92" t="s">
        <v>2386</v>
      </c>
      <c r="N481" s="93"/>
      <c r="P481" s="21"/>
      <c r="Q481" s="12" t="s">
        <v>2233</v>
      </c>
      <c r="R481">
        <f t="shared" si="21"/>
        <v>1</v>
      </c>
      <c r="S481" s="21" t="s">
        <v>99</v>
      </c>
      <c r="T481" s="21" t="s">
        <v>99</v>
      </c>
      <c r="W481" t="e">
        <f>INDEX(#REF!,MATCH($E481,#REF!,0))</f>
        <v>#REF!</v>
      </c>
      <c r="X481" t="e">
        <f>INDEX(#REF!,MATCH($E481,#REF!,0))</f>
        <v>#REF!</v>
      </c>
      <c r="Y481" t="e">
        <f>INDEX(#REF!,MATCH($E481,#REF!,0))</f>
        <v>#REF!</v>
      </c>
      <c r="Z481" t="e">
        <f>INDEX(#REF!,MATCH($E481,#REF!,0))</f>
        <v>#REF!</v>
      </c>
      <c r="AA481" t="e">
        <f>INDEX(#REF!,MATCH($E481,#REF!,0))</f>
        <v>#REF!</v>
      </c>
      <c r="AB481" t="e">
        <f>INDEX(#REF!,MATCH($E481,#REF!,0))</f>
        <v>#REF!</v>
      </c>
      <c r="AC481" t="e">
        <f>INDEX(#REF!,MATCH($E481,#REF!,0))</f>
        <v>#REF!</v>
      </c>
      <c r="AD481" t="e">
        <f>INDEX(#REF!,MATCH($E481,#REF!,0))</f>
        <v>#REF!</v>
      </c>
      <c r="AE481" t="e">
        <f t="shared" si="22"/>
        <v>#REF!</v>
      </c>
    </row>
    <row r="482" spans="2:31" x14ac:dyDescent="0.25">
      <c r="B482" s="45" t="s">
        <v>1780</v>
      </c>
      <c r="C482" s="45" t="s">
        <v>718</v>
      </c>
      <c r="D482" s="89" t="s">
        <v>717</v>
      </c>
      <c r="E482" s="89">
        <v>112468</v>
      </c>
      <c r="F482" s="89">
        <v>1082</v>
      </c>
      <c r="G482" s="90">
        <v>0</v>
      </c>
      <c r="H482" s="90">
        <v>3</v>
      </c>
      <c r="I482" s="90" t="s">
        <v>175</v>
      </c>
      <c r="J482" s="90">
        <v>10000</v>
      </c>
      <c r="K482" s="90">
        <v>0</v>
      </c>
      <c r="L482" s="91"/>
      <c r="M482" s="92" t="s">
        <v>2387</v>
      </c>
      <c r="N482" s="93"/>
      <c r="P482" s="21"/>
      <c r="Q482" s="12" t="s">
        <v>2233</v>
      </c>
      <c r="R482">
        <f t="shared" si="21"/>
        <v>1</v>
      </c>
      <c r="S482" s="21" t="s">
        <v>99</v>
      </c>
      <c r="T482" s="21" t="s">
        <v>99</v>
      </c>
      <c r="W482" t="e">
        <f>INDEX(#REF!,MATCH($E482,#REF!,0))</f>
        <v>#REF!</v>
      </c>
      <c r="X482" t="e">
        <f>INDEX(#REF!,MATCH($E482,#REF!,0))</f>
        <v>#REF!</v>
      </c>
      <c r="Y482" t="e">
        <f>INDEX(#REF!,MATCH($E482,#REF!,0))</f>
        <v>#REF!</v>
      </c>
      <c r="Z482" t="e">
        <f>INDEX(#REF!,MATCH($E482,#REF!,0))</f>
        <v>#REF!</v>
      </c>
      <c r="AA482" t="e">
        <f>INDEX(#REF!,MATCH($E482,#REF!,0))</f>
        <v>#REF!</v>
      </c>
      <c r="AB482" t="e">
        <f>INDEX(#REF!,MATCH($E482,#REF!,0))</f>
        <v>#REF!</v>
      </c>
      <c r="AC482" t="e">
        <f>INDEX(#REF!,MATCH($E482,#REF!,0))</f>
        <v>#REF!</v>
      </c>
      <c r="AD482" t="e">
        <f>INDEX(#REF!,MATCH($E482,#REF!,0))</f>
        <v>#REF!</v>
      </c>
      <c r="AE482" t="e">
        <f t="shared" si="22"/>
        <v>#REF!</v>
      </c>
    </row>
    <row r="483" spans="2:31" x14ac:dyDescent="0.25">
      <c r="B483" s="45" t="s">
        <v>1781</v>
      </c>
      <c r="C483" s="45" t="s">
        <v>719</v>
      </c>
      <c r="D483" s="89" t="s">
        <v>2094</v>
      </c>
      <c r="E483" s="89">
        <v>112469</v>
      </c>
      <c r="F483" s="89">
        <v>1082</v>
      </c>
      <c r="G483" s="90">
        <v>1</v>
      </c>
      <c r="H483" s="90">
        <v>3</v>
      </c>
      <c r="I483" s="90" t="s">
        <v>26</v>
      </c>
      <c r="J483" s="90">
        <v>1</v>
      </c>
      <c r="K483" s="87" t="s">
        <v>2509</v>
      </c>
      <c r="L483" s="91"/>
      <c r="M483" s="92" t="s">
        <v>2388</v>
      </c>
      <c r="N483" s="93"/>
      <c r="P483" s="21"/>
      <c r="Q483" s="12" t="s">
        <v>2233</v>
      </c>
      <c r="R483">
        <f t="shared" si="21"/>
        <v>1</v>
      </c>
      <c r="S483" s="21" t="s">
        <v>99</v>
      </c>
      <c r="T483" s="21" t="s">
        <v>99</v>
      </c>
      <c r="W483" t="e">
        <f>INDEX(#REF!,MATCH($E483,#REF!,0))</f>
        <v>#REF!</v>
      </c>
      <c r="X483" t="e">
        <f>INDEX(#REF!,MATCH($E483,#REF!,0))</f>
        <v>#REF!</v>
      </c>
      <c r="Y483" t="e">
        <f>INDEX(#REF!,MATCH($E483,#REF!,0))</f>
        <v>#REF!</v>
      </c>
      <c r="Z483" t="e">
        <f>INDEX(#REF!,MATCH($E483,#REF!,0))</f>
        <v>#REF!</v>
      </c>
      <c r="AA483" t="e">
        <f>INDEX(#REF!,MATCH($E483,#REF!,0))</f>
        <v>#REF!</v>
      </c>
      <c r="AB483" t="e">
        <f>INDEX(#REF!,MATCH($E483,#REF!,0))</f>
        <v>#REF!</v>
      </c>
      <c r="AC483" t="e">
        <f>INDEX(#REF!,MATCH($E483,#REF!,0))</f>
        <v>#REF!</v>
      </c>
      <c r="AD483" t="e">
        <f>INDEX(#REF!,MATCH($E483,#REF!,0))</f>
        <v>#REF!</v>
      </c>
      <c r="AE483" t="e">
        <f t="shared" si="22"/>
        <v>#REF!</v>
      </c>
    </row>
    <row r="484" spans="2:31" x14ac:dyDescent="0.25">
      <c r="B484" s="45" t="s">
        <v>1782</v>
      </c>
      <c r="C484" s="45" t="s">
        <v>721</v>
      </c>
      <c r="D484" s="89" t="s">
        <v>720</v>
      </c>
      <c r="E484" s="89">
        <v>112470</v>
      </c>
      <c r="F484" s="89">
        <v>1082</v>
      </c>
      <c r="G484" s="90">
        <v>2</v>
      </c>
      <c r="H484" s="90">
        <v>3</v>
      </c>
      <c r="I484" s="90" t="s">
        <v>147</v>
      </c>
      <c r="J484" s="90">
        <v>100000</v>
      </c>
      <c r="K484" s="90">
        <v>0</v>
      </c>
      <c r="L484" s="91"/>
      <c r="M484" s="92" t="s">
        <v>2389</v>
      </c>
      <c r="N484" s="93"/>
      <c r="P484" s="21"/>
      <c r="Q484" s="12"/>
      <c r="R484">
        <f t="shared" ref="R484:R547" si="23">COUNTIF(C:C,C484)</f>
        <v>1</v>
      </c>
      <c r="S484" s="21" t="s">
        <v>99</v>
      </c>
      <c r="T484" s="21" t="s">
        <v>99</v>
      </c>
      <c r="W484" t="e">
        <f>INDEX(#REF!,MATCH($E484,#REF!,0))</f>
        <v>#REF!</v>
      </c>
      <c r="X484" t="e">
        <f>INDEX(#REF!,MATCH($E484,#REF!,0))</f>
        <v>#REF!</v>
      </c>
      <c r="Y484" t="e">
        <f>INDEX(#REF!,MATCH($E484,#REF!,0))</f>
        <v>#REF!</v>
      </c>
      <c r="Z484" t="e">
        <f>INDEX(#REF!,MATCH($E484,#REF!,0))</f>
        <v>#REF!</v>
      </c>
      <c r="AA484" t="e">
        <f>INDEX(#REF!,MATCH($E484,#REF!,0))</f>
        <v>#REF!</v>
      </c>
      <c r="AB484" t="e">
        <f>INDEX(#REF!,MATCH($E484,#REF!,0))</f>
        <v>#REF!</v>
      </c>
      <c r="AC484" t="e">
        <f>INDEX(#REF!,MATCH($E484,#REF!,0))</f>
        <v>#REF!</v>
      </c>
      <c r="AD484" t="e">
        <f>INDEX(#REF!,MATCH($E484,#REF!,0))</f>
        <v>#REF!</v>
      </c>
      <c r="AE484" t="e">
        <f t="shared" si="22"/>
        <v>#REF!</v>
      </c>
    </row>
    <row r="485" spans="2:31" x14ac:dyDescent="0.25">
      <c r="B485" s="45" t="s">
        <v>1783</v>
      </c>
      <c r="C485" s="45" t="s">
        <v>723</v>
      </c>
      <c r="D485" s="89" t="s">
        <v>722</v>
      </c>
      <c r="E485" s="89">
        <v>112471</v>
      </c>
      <c r="F485" s="89">
        <v>1082</v>
      </c>
      <c r="G485" s="90">
        <v>3</v>
      </c>
      <c r="H485" s="90">
        <v>3</v>
      </c>
      <c r="I485" s="90" t="s">
        <v>147</v>
      </c>
      <c r="J485" s="90">
        <v>100000</v>
      </c>
      <c r="K485" s="90">
        <v>0</v>
      </c>
      <c r="L485" s="91"/>
      <c r="M485" s="92" t="s">
        <v>2390</v>
      </c>
      <c r="N485" s="93"/>
      <c r="P485" s="21"/>
      <c r="Q485" s="12"/>
      <c r="R485">
        <f t="shared" si="23"/>
        <v>1</v>
      </c>
      <c r="S485" s="21" t="s">
        <v>99</v>
      </c>
      <c r="T485" s="21" t="s">
        <v>99</v>
      </c>
      <c r="W485" t="e">
        <f>INDEX(#REF!,MATCH($E485,#REF!,0))</f>
        <v>#REF!</v>
      </c>
      <c r="X485" t="e">
        <f>INDEX(#REF!,MATCH($E485,#REF!,0))</f>
        <v>#REF!</v>
      </c>
      <c r="Y485" t="e">
        <f>INDEX(#REF!,MATCH($E485,#REF!,0))</f>
        <v>#REF!</v>
      </c>
      <c r="Z485" t="e">
        <f>INDEX(#REF!,MATCH($E485,#REF!,0))</f>
        <v>#REF!</v>
      </c>
      <c r="AA485" t="e">
        <f>INDEX(#REF!,MATCH($E485,#REF!,0))</f>
        <v>#REF!</v>
      </c>
      <c r="AB485" t="e">
        <f>INDEX(#REF!,MATCH($E485,#REF!,0))</f>
        <v>#REF!</v>
      </c>
      <c r="AC485" t="e">
        <f>INDEX(#REF!,MATCH($E485,#REF!,0))</f>
        <v>#REF!</v>
      </c>
      <c r="AD485" t="e">
        <f>INDEX(#REF!,MATCH($E485,#REF!,0))</f>
        <v>#REF!</v>
      </c>
      <c r="AE485" t="e">
        <f t="shared" si="22"/>
        <v>#REF!</v>
      </c>
    </row>
    <row r="486" spans="2:31" x14ac:dyDescent="0.25">
      <c r="B486" s="45" t="s">
        <v>1784</v>
      </c>
      <c r="C486" s="45" t="s">
        <v>724</v>
      </c>
      <c r="D486" s="89" t="s">
        <v>2030</v>
      </c>
      <c r="E486" s="89">
        <v>112472</v>
      </c>
      <c r="F486" s="89">
        <v>1082</v>
      </c>
      <c r="G486" s="90">
        <v>4</v>
      </c>
      <c r="H486" s="90">
        <v>3</v>
      </c>
      <c r="I486" s="90" t="s">
        <v>26</v>
      </c>
      <c r="J486" s="90">
        <v>1</v>
      </c>
      <c r="K486" s="87" t="s">
        <v>2509</v>
      </c>
      <c r="L486" s="91"/>
      <c r="M486" s="92" t="s">
        <v>2391</v>
      </c>
      <c r="N486" s="93"/>
      <c r="P486" s="21"/>
      <c r="Q486" s="12"/>
      <c r="R486">
        <f t="shared" si="23"/>
        <v>1</v>
      </c>
      <c r="S486" s="21" t="s">
        <v>99</v>
      </c>
      <c r="T486" s="21" t="s">
        <v>99</v>
      </c>
      <c r="W486" t="e">
        <f>INDEX(#REF!,MATCH($E486,#REF!,0))</f>
        <v>#REF!</v>
      </c>
      <c r="X486" t="e">
        <f>INDEX(#REF!,MATCH($E486,#REF!,0))</f>
        <v>#REF!</v>
      </c>
      <c r="Y486" t="e">
        <f>INDEX(#REF!,MATCH($E486,#REF!,0))</f>
        <v>#REF!</v>
      </c>
      <c r="Z486" t="e">
        <f>INDEX(#REF!,MATCH($E486,#REF!,0))</f>
        <v>#REF!</v>
      </c>
      <c r="AA486" t="e">
        <f>INDEX(#REF!,MATCH($E486,#REF!,0))</f>
        <v>#REF!</v>
      </c>
      <c r="AB486" t="e">
        <f>INDEX(#REF!,MATCH($E486,#REF!,0))</f>
        <v>#REF!</v>
      </c>
      <c r="AC486" t="e">
        <f>INDEX(#REF!,MATCH($E486,#REF!,0))</f>
        <v>#REF!</v>
      </c>
      <c r="AD486" t="e">
        <f>INDEX(#REF!,MATCH($E486,#REF!,0))</f>
        <v>#REF!</v>
      </c>
      <c r="AE486" t="e">
        <f t="shared" si="22"/>
        <v>#REF!</v>
      </c>
    </row>
    <row r="487" spans="2:31" x14ac:dyDescent="0.25">
      <c r="B487" s="45" t="s">
        <v>1785</v>
      </c>
      <c r="C487" s="45" t="s">
        <v>726</v>
      </c>
      <c r="D487" s="89" t="s">
        <v>725</v>
      </c>
      <c r="E487" s="89">
        <v>112501</v>
      </c>
      <c r="F487" s="89">
        <v>1086</v>
      </c>
      <c r="G487" s="90">
        <v>19</v>
      </c>
      <c r="H487" s="90">
        <v>3</v>
      </c>
      <c r="I487" s="90" t="s">
        <v>147</v>
      </c>
      <c r="J487" s="90">
        <v>100000</v>
      </c>
      <c r="K487" s="90">
        <v>0</v>
      </c>
      <c r="L487" s="91"/>
      <c r="M487" s="92" t="s">
        <v>2392</v>
      </c>
      <c r="N487" s="93"/>
      <c r="P487" s="21"/>
      <c r="Q487" s="12"/>
      <c r="R487">
        <f t="shared" si="23"/>
        <v>1</v>
      </c>
      <c r="S487" s="21" t="s">
        <v>99</v>
      </c>
      <c r="T487" s="21" t="s">
        <v>99</v>
      </c>
      <c r="W487" t="e">
        <f>INDEX(#REF!,MATCH($E487,#REF!,0))</f>
        <v>#REF!</v>
      </c>
      <c r="X487" t="e">
        <f>INDEX(#REF!,MATCH($E487,#REF!,0))</f>
        <v>#REF!</v>
      </c>
      <c r="Y487" t="e">
        <f>INDEX(#REF!,MATCH($E487,#REF!,0))</f>
        <v>#REF!</v>
      </c>
      <c r="Z487" t="e">
        <f>INDEX(#REF!,MATCH($E487,#REF!,0))</f>
        <v>#REF!</v>
      </c>
      <c r="AA487" t="e">
        <f>INDEX(#REF!,MATCH($E487,#REF!,0))</f>
        <v>#REF!</v>
      </c>
      <c r="AB487" t="e">
        <f>INDEX(#REF!,MATCH($E487,#REF!,0))</f>
        <v>#REF!</v>
      </c>
      <c r="AC487" t="e">
        <f>INDEX(#REF!,MATCH($E487,#REF!,0))</f>
        <v>#REF!</v>
      </c>
      <c r="AD487" t="e">
        <f>INDEX(#REF!,MATCH($E487,#REF!,0))</f>
        <v>#REF!</v>
      </c>
      <c r="AE487" t="e">
        <f t="shared" si="22"/>
        <v>#REF!</v>
      </c>
    </row>
    <row r="488" spans="2:31" ht="45" x14ac:dyDescent="0.25">
      <c r="B488" s="45" t="s">
        <v>1786</v>
      </c>
      <c r="C488" s="45" t="s">
        <v>728</v>
      </c>
      <c r="D488" s="89" t="s">
        <v>727</v>
      </c>
      <c r="E488" s="89">
        <v>112502</v>
      </c>
      <c r="F488" s="89">
        <v>1086</v>
      </c>
      <c r="G488" s="90">
        <v>20</v>
      </c>
      <c r="H488" s="90">
        <v>3</v>
      </c>
      <c r="I488" s="90" t="s">
        <v>147</v>
      </c>
      <c r="J488" s="90">
        <v>100000</v>
      </c>
      <c r="K488" s="90">
        <v>0</v>
      </c>
      <c r="L488" s="91"/>
      <c r="M488" s="92" t="s">
        <v>2393</v>
      </c>
      <c r="N488" s="93"/>
      <c r="P488" s="21"/>
      <c r="Q488" s="12"/>
      <c r="R488">
        <f t="shared" si="23"/>
        <v>1</v>
      </c>
      <c r="S488" s="21" t="s">
        <v>99</v>
      </c>
      <c r="T488" s="21" t="s">
        <v>99</v>
      </c>
      <c r="W488" t="e">
        <f>INDEX(#REF!,MATCH($E488,#REF!,0))</f>
        <v>#REF!</v>
      </c>
      <c r="X488" t="e">
        <f>INDEX(#REF!,MATCH($E488,#REF!,0))</f>
        <v>#REF!</v>
      </c>
      <c r="Y488" t="e">
        <f>INDEX(#REF!,MATCH($E488,#REF!,0))</f>
        <v>#REF!</v>
      </c>
      <c r="Z488" t="e">
        <f>INDEX(#REF!,MATCH($E488,#REF!,0))</f>
        <v>#REF!</v>
      </c>
      <c r="AA488" t="e">
        <f>INDEX(#REF!,MATCH($E488,#REF!,0))</f>
        <v>#REF!</v>
      </c>
      <c r="AB488" t="e">
        <f>INDEX(#REF!,MATCH($E488,#REF!,0))</f>
        <v>#REF!</v>
      </c>
      <c r="AC488" t="e">
        <f>INDEX(#REF!,MATCH($E488,#REF!,0))</f>
        <v>#REF!</v>
      </c>
      <c r="AD488" t="e">
        <f>INDEX(#REF!,MATCH($E488,#REF!,0))</f>
        <v>#REF!</v>
      </c>
      <c r="AE488" t="e">
        <f t="shared" si="22"/>
        <v>#REF!</v>
      </c>
    </row>
    <row r="489" spans="2:31" ht="45" x14ac:dyDescent="0.25">
      <c r="B489" s="45" t="s">
        <v>1787</v>
      </c>
      <c r="C489" s="45" t="s">
        <v>729</v>
      </c>
      <c r="D489" s="89" t="s">
        <v>2031</v>
      </c>
      <c r="E489" s="89">
        <v>112503</v>
      </c>
      <c r="F489" s="89">
        <v>1086</v>
      </c>
      <c r="G489" s="90">
        <v>21</v>
      </c>
      <c r="H489" s="90">
        <v>3</v>
      </c>
      <c r="I489" s="90" t="s">
        <v>26</v>
      </c>
      <c r="J489" s="90">
        <v>1</v>
      </c>
      <c r="K489" s="90" t="s">
        <v>2509</v>
      </c>
      <c r="L489" s="91">
        <v>6234</v>
      </c>
      <c r="M489" s="92" t="s">
        <v>2394</v>
      </c>
      <c r="N489" s="93"/>
      <c r="P489" s="21"/>
      <c r="Q489" s="12"/>
      <c r="R489">
        <f t="shared" si="23"/>
        <v>1</v>
      </c>
      <c r="S489" s="21" t="s">
        <v>99</v>
      </c>
      <c r="T489" s="21" t="s">
        <v>99</v>
      </c>
      <c r="W489" t="e">
        <f>INDEX(#REF!,MATCH($E489,#REF!,0))</f>
        <v>#REF!</v>
      </c>
      <c r="X489" t="e">
        <f>INDEX(#REF!,MATCH($E489,#REF!,0))</f>
        <v>#REF!</v>
      </c>
      <c r="Y489" t="e">
        <f>INDEX(#REF!,MATCH($E489,#REF!,0))</f>
        <v>#REF!</v>
      </c>
      <c r="Z489" t="e">
        <f>INDEX(#REF!,MATCH($E489,#REF!,0))</f>
        <v>#REF!</v>
      </c>
      <c r="AA489" t="e">
        <f>INDEX(#REF!,MATCH($E489,#REF!,0))</f>
        <v>#REF!</v>
      </c>
      <c r="AB489" t="e">
        <f>INDEX(#REF!,MATCH($E489,#REF!,0))</f>
        <v>#REF!</v>
      </c>
      <c r="AC489" t="e">
        <f>INDEX(#REF!,MATCH($E489,#REF!,0))</f>
        <v>#REF!</v>
      </c>
      <c r="AD489" t="e">
        <f>INDEX(#REF!,MATCH($E489,#REF!,0))</f>
        <v>#REF!</v>
      </c>
      <c r="AE489" t="e">
        <f t="shared" si="22"/>
        <v>#REF!</v>
      </c>
    </row>
    <row r="490" spans="2:31" x14ac:dyDescent="0.25">
      <c r="B490" s="45" t="s">
        <v>1788</v>
      </c>
      <c r="C490" s="45" t="s">
        <v>731</v>
      </c>
      <c r="D490" s="89" t="s">
        <v>730</v>
      </c>
      <c r="E490" s="89">
        <v>112509</v>
      </c>
      <c r="F490" s="89">
        <v>1099</v>
      </c>
      <c r="G490" s="90">
        <v>2</v>
      </c>
      <c r="H490" s="90">
        <v>3</v>
      </c>
      <c r="I490" s="90" t="s">
        <v>18</v>
      </c>
      <c r="J490" s="90">
        <v>1</v>
      </c>
      <c r="K490" s="90">
        <v>0</v>
      </c>
      <c r="L490" s="91"/>
      <c r="M490" s="92" t="s">
        <v>2395</v>
      </c>
      <c r="N490" s="93"/>
      <c r="P490" s="21"/>
      <c r="Q490" s="12"/>
      <c r="R490">
        <f t="shared" si="23"/>
        <v>1</v>
      </c>
      <c r="S490" s="21" t="s">
        <v>99</v>
      </c>
      <c r="T490" s="21" t="s">
        <v>99</v>
      </c>
      <c r="W490" t="e">
        <f>INDEX(#REF!,MATCH($E490,#REF!,0))</f>
        <v>#REF!</v>
      </c>
      <c r="X490" t="e">
        <f>INDEX(#REF!,MATCH($E490,#REF!,0))</f>
        <v>#REF!</v>
      </c>
      <c r="Y490" t="e">
        <f>INDEX(#REF!,MATCH($E490,#REF!,0))</f>
        <v>#REF!</v>
      </c>
      <c r="Z490" t="e">
        <f>INDEX(#REF!,MATCH($E490,#REF!,0))</f>
        <v>#REF!</v>
      </c>
      <c r="AA490" t="e">
        <f>INDEX(#REF!,MATCH($E490,#REF!,0))</f>
        <v>#REF!</v>
      </c>
      <c r="AB490" t="e">
        <f>INDEX(#REF!,MATCH($E490,#REF!,0))</f>
        <v>#REF!</v>
      </c>
      <c r="AC490" t="e">
        <f>INDEX(#REF!,MATCH($E490,#REF!,0))</f>
        <v>#REF!</v>
      </c>
      <c r="AD490" t="e">
        <f>INDEX(#REF!,MATCH($E490,#REF!,0))</f>
        <v>#REF!</v>
      </c>
      <c r="AE490" t="e">
        <f t="shared" si="22"/>
        <v>#REF!</v>
      </c>
    </row>
    <row r="491" spans="2:31" ht="45" x14ac:dyDescent="0.25">
      <c r="B491" s="45" t="s">
        <v>1789</v>
      </c>
      <c r="C491" s="45" t="s">
        <v>732</v>
      </c>
      <c r="D491" s="89" t="s">
        <v>2032</v>
      </c>
      <c r="E491" s="89">
        <v>112512</v>
      </c>
      <c r="F491" s="89">
        <v>1099</v>
      </c>
      <c r="G491" s="90">
        <v>5</v>
      </c>
      <c r="H491" s="90">
        <v>3</v>
      </c>
      <c r="I491" s="90" t="s">
        <v>26</v>
      </c>
      <c r="J491" s="90">
        <v>1</v>
      </c>
      <c r="K491" s="87" t="s">
        <v>2509</v>
      </c>
      <c r="L491" s="91"/>
      <c r="M491" s="92" t="s">
        <v>2396</v>
      </c>
      <c r="N491" s="93"/>
      <c r="P491" s="21"/>
      <c r="Q491" s="12"/>
      <c r="R491">
        <f t="shared" si="23"/>
        <v>1</v>
      </c>
      <c r="S491" s="21" t="s">
        <v>99</v>
      </c>
      <c r="T491" s="21" t="s">
        <v>99</v>
      </c>
      <c r="W491" t="e">
        <f>INDEX(#REF!,MATCH($E491,#REF!,0))</f>
        <v>#REF!</v>
      </c>
      <c r="X491" t="e">
        <f>INDEX(#REF!,MATCH($E491,#REF!,0))</f>
        <v>#REF!</v>
      </c>
      <c r="Y491" t="e">
        <f>INDEX(#REF!,MATCH($E491,#REF!,0))</f>
        <v>#REF!</v>
      </c>
      <c r="Z491" t="e">
        <f>INDEX(#REF!,MATCH($E491,#REF!,0))</f>
        <v>#REF!</v>
      </c>
      <c r="AA491" t="e">
        <f>INDEX(#REF!,MATCH($E491,#REF!,0))</f>
        <v>#REF!</v>
      </c>
      <c r="AB491" t="e">
        <f>INDEX(#REF!,MATCH($E491,#REF!,0))</f>
        <v>#REF!</v>
      </c>
      <c r="AC491" t="e">
        <f>INDEX(#REF!,MATCH($E491,#REF!,0))</f>
        <v>#REF!</v>
      </c>
      <c r="AD491" t="e">
        <f>INDEX(#REF!,MATCH($E491,#REF!,0))</f>
        <v>#REF!</v>
      </c>
      <c r="AE491" t="e">
        <f t="shared" si="22"/>
        <v>#REF!</v>
      </c>
    </row>
    <row r="492" spans="2:31" x14ac:dyDescent="0.25">
      <c r="B492" s="45" t="s">
        <v>1790</v>
      </c>
      <c r="C492" s="45" t="s">
        <v>733</v>
      </c>
      <c r="D492" s="89" t="s">
        <v>2033</v>
      </c>
      <c r="E492" s="89">
        <v>112516</v>
      </c>
      <c r="F492" s="89">
        <v>1099</v>
      </c>
      <c r="G492" s="90">
        <v>9</v>
      </c>
      <c r="H492" s="90">
        <v>3</v>
      </c>
      <c r="I492" s="90" t="s">
        <v>26</v>
      </c>
      <c r="J492" s="90">
        <v>1</v>
      </c>
      <c r="K492" s="87" t="s">
        <v>2509</v>
      </c>
      <c r="L492" s="91"/>
      <c r="M492" s="92" t="s">
        <v>2397</v>
      </c>
      <c r="N492" s="93"/>
      <c r="P492" s="21"/>
      <c r="Q492" s="12"/>
      <c r="R492">
        <f t="shared" si="23"/>
        <v>1</v>
      </c>
      <c r="S492" s="21" t="s">
        <v>99</v>
      </c>
      <c r="T492" s="21" t="s">
        <v>99</v>
      </c>
      <c r="W492" t="e">
        <f>INDEX(#REF!,MATCH($E492,#REF!,0))</f>
        <v>#REF!</v>
      </c>
      <c r="X492" t="e">
        <f>INDEX(#REF!,MATCH($E492,#REF!,0))</f>
        <v>#REF!</v>
      </c>
      <c r="Y492" t="e">
        <f>INDEX(#REF!,MATCH($E492,#REF!,0))</f>
        <v>#REF!</v>
      </c>
      <c r="Z492" t="e">
        <f>INDEX(#REF!,MATCH($E492,#REF!,0))</f>
        <v>#REF!</v>
      </c>
      <c r="AA492" t="e">
        <f>INDEX(#REF!,MATCH($E492,#REF!,0))</f>
        <v>#REF!</v>
      </c>
      <c r="AB492" t="e">
        <f>INDEX(#REF!,MATCH($E492,#REF!,0))</f>
        <v>#REF!</v>
      </c>
      <c r="AC492" t="e">
        <f>INDEX(#REF!,MATCH($E492,#REF!,0))</f>
        <v>#REF!</v>
      </c>
      <c r="AD492" t="e">
        <f>INDEX(#REF!,MATCH($E492,#REF!,0))</f>
        <v>#REF!</v>
      </c>
      <c r="AE492" t="e">
        <f t="shared" si="22"/>
        <v>#REF!</v>
      </c>
    </row>
    <row r="493" spans="2:31" x14ac:dyDescent="0.25">
      <c r="B493" s="45" t="s">
        <v>1791</v>
      </c>
      <c r="C493" s="45" t="s">
        <v>734</v>
      </c>
      <c r="D493" s="89" t="s">
        <v>2034</v>
      </c>
      <c r="E493" s="89">
        <v>112518</v>
      </c>
      <c r="F493" s="89">
        <v>1099</v>
      </c>
      <c r="G493" s="90">
        <v>11</v>
      </c>
      <c r="H493" s="90">
        <v>3</v>
      </c>
      <c r="I493" s="90" t="s">
        <v>26</v>
      </c>
      <c r="J493" s="90">
        <v>1</v>
      </c>
      <c r="K493" s="90" t="s">
        <v>2509</v>
      </c>
      <c r="L493" s="91">
        <v>6255</v>
      </c>
      <c r="M493" s="92" t="s">
        <v>2398</v>
      </c>
      <c r="N493" s="93"/>
      <c r="P493" s="21"/>
      <c r="Q493" s="12"/>
      <c r="R493">
        <f t="shared" si="23"/>
        <v>1</v>
      </c>
      <c r="S493" s="21" t="s">
        <v>99</v>
      </c>
      <c r="T493" s="21" t="s">
        <v>99</v>
      </c>
      <c r="W493" t="e">
        <f>INDEX(#REF!,MATCH($E493,#REF!,0))</f>
        <v>#REF!</v>
      </c>
      <c r="X493" t="e">
        <f>INDEX(#REF!,MATCH($E493,#REF!,0))</f>
        <v>#REF!</v>
      </c>
      <c r="Y493" t="e">
        <f>INDEX(#REF!,MATCH($E493,#REF!,0))</f>
        <v>#REF!</v>
      </c>
      <c r="Z493" t="e">
        <f>INDEX(#REF!,MATCH($E493,#REF!,0))</f>
        <v>#REF!</v>
      </c>
      <c r="AA493" t="e">
        <f>INDEX(#REF!,MATCH($E493,#REF!,0))</f>
        <v>#REF!</v>
      </c>
      <c r="AB493" t="e">
        <f>INDEX(#REF!,MATCH($E493,#REF!,0))</f>
        <v>#REF!</v>
      </c>
      <c r="AC493" t="e">
        <f>INDEX(#REF!,MATCH($E493,#REF!,0))</f>
        <v>#REF!</v>
      </c>
      <c r="AD493" t="e">
        <f>INDEX(#REF!,MATCH($E493,#REF!,0))</f>
        <v>#REF!</v>
      </c>
      <c r="AE493" t="e">
        <f t="shared" si="22"/>
        <v>#REF!</v>
      </c>
    </row>
    <row r="494" spans="2:31" x14ac:dyDescent="0.25">
      <c r="B494" s="45" t="s">
        <v>1792</v>
      </c>
      <c r="C494" s="45" t="s">
        <v>735</v>
      </c>
      <c r="D494" s="89" t="s">
        <v>2035</v>
      </c>
      <c r="E494" s="89">
        <v>112519</v>
      </c>
      <c r="F494" s="89">
        <v>1099</v>
      </c>
      <c r="G494" s="90">
        <v>12</v>
      </c>
      <c r="H494" s="90">
        <v>3</v>
      </c>
      <c r="I494" s="90" t="s">
        <v>26</v>
      </c>
      <c r="J494" s="90">
        <v>1</v>
      </c>
      <c r="K494" s="90" t="s">
        <v>2509</v>
      </c>
      <c r="L494" s="91">
        <v>6256</v>
      </c>
      <c r="M494" s="92" t="s">
        <v>2399</v>
      </c>
      <c r="N494" s="93"/>
      <c r="P494" s="21"/>
      <c r="Q494" s="12"/>
      <c r="R494">
        <f t="shared" si="23"/>
        <v>1</v>
      </c>
      <c r="S494" s="21" t="s">
        <v>99</v>
      </c>
      <c r="T494" s="21" t="s">
        <v>99</v>
      </c>
      <c r="W494" t="e">
        <f>INDEX(#REF!,MATCH($E494,#REF!,0))</f>
        <v>#REF!</v>
      </c>
      <c r="X494" t="e">
        <f>INDEX(#REF!,MATCH($E494,#REF!,0))</f>
        <v>#REF!</v>
      </c>
      <c r="Y494" t="e">
        <f>INDEX(#REF!,MATCH($E494,#REF!,0))</f>
        <v>#REF!</v>
      </c>
      <c r="Z494" t="e">
        <f>INDEX(#REF!,MATCH($E494,#REF!,0))</f>
        <v>#REF!</v>
      </c>
      <c r="AA494" t="e">
        <f>INDEX(#REF!,MATCH($E494,#REF!,0))</f>
        <v>#REF!</v>
      </c>
      <c r="AB494" t="e">
        <f>INDEX(#REF!,MATCH($E494,#REF!,0))</f>
        <v>#REF!</v>
      </c>
      <c r="AC494" t="e">
        <f>INDEX(#REF!,MATCH($E494,#REF!,0))</f>
        <v>#REF!</v>
      </c>
      <c r="AD494" t="e">
        <f>INDEX(#REF!,MATCH($E494,#REF!,0))</f>
        <v>#REF!</v>
      </c>
      <c r="AE494" t="e">
        <f t="shared" si="22"/>
        <v>#REF!</v>
      </c>
    </row>
    <row r="495" spans="2:31" ht="45" x14ac:dyDescent="0.25">
      <c r="B495" s="45" t="s">
        <v>1793</v>
      </c>
      <c r="C495" s="45" t="s">
        <v>736</v>
      </c>
      <c r="D495" s="89" t="s">
        <v>2036</v>
      </c>
      <c r="E495" s="89">
        <v>112612</v>
      </c>
      <c r="F495" s="89">
        <v>1085</v>
      </c>
      <c r="G495" s="90">
        <v>20</v>
      </c>
      <c r="H495" s="90">
        <v>3</v>
      </c>
      <c r="I495" s="90" t="s">
        <v>26</v>
      </c>
      <c r="J495" s="90">
        <v>1</v>
      </c>
      <c r="K495" s="87" t="s">
        <v>2509</v>
      </c>
      <c r="L495" s="91"/>
      <c r="M495" s="92" t="s">
        <v>2298</v>
      </c>
      <c r="N495" s="93"/>
      <c r="P495" s="21"/>
      <c r="Q495" s="12"/>
      <c r="R495">
        <f t="shared" si="23"/>
        <v>1</v>
      </c>
      <c r="S495" s="21" t="s">
        <v>99</v>
      </c>
      <c r="T495" s="21" t="s">
        <v>99</v>
      </c>
      <c r="W495" t="e">
        <f>INDEX(#REF!,MATCH($E495,#REF!,0))</f>
        <v>#REF!</v>
      </c>
      <c r="X495" t="e">
        <f>INDEX(#REF!,MATCH($E495,#REF!,0))</f>
        <v>#REF!</v>
      </c>
      <c r="Y495" t="e">
        <f>INDEX(#REF!,MATCH($E495,#REF!,0))</f>
        <v>#REF!</v>
      </c>
      <c r="Z495" t="e">
        <f>INDEX(#REF!,MATCH($E495,#REF!,0))</f>
        <v>#REF!</v>
      </c>
      <c r="AA495" t="e">
        <f>INDEX(#REF!,MATCH($E495,#REF!,0))</f>
        <v>#REF!</v>
      </c>
      <c r="AB495" t="e">
        <f>INDEX(#REF!,MATCH($E495,#REF!,0))</f>
        <v>#REF!</v>
      </c>
      <c r="AC495" t="e">
        <f>INDEX(#REF!,MATCH($E495,#REF!,0))</f>
        <v>#REF!</v>
      </c>
      <c r="AD495" t="e">
        <f>INDEX(#REF!,MATCH($E495,#REF!,0))</f>
        <v>#REF!</v>
      </c>
      <c r="AE495" t="e">
        <f t="shared" si="22"/>
        <v>#REF!</v>
      </c>
    </row>
    <row r="496" spans="2:31" ht="45" x14ac:dyDescent="0.25">
      <c r="B496" s="45" t="s">
        <v>1794</v>
      </c>
      <c r="C496" s="45" t="s">
        <v>737</v>
      </c>
      <c r="D496" s="89" t="s">
        <v>2037</v>
      </c>
      <c r="E496" s="89">
        <v>112613</v>
      </c>
      <c r="F496" s="89">
        <v>1085</v>
      </c>
      <c r="G496" s="90">
        <v>21</v>
      </c>
      <c r="H496" s="90">
        <v>3</v>
      </c>
      <c r="I496" s="90" t="s">
        <v>26</v>
      </c>
      <c r="J496" s="90">
        <v>1</v>
      </c>
      <c r="K496" s="87" t="s">
        <v>2509</v>
      </c>
      <c r="L496" s="91"/>
      <c r="M496" s="92" t="s">
        <v>2299</v>
      </c>
      <c r="N496" s="93"/>
      <c r="P496" s="21"/>
      <c r="Q496" s="12"/>
      <c r="R496">
        <f t="shared" si="23"/>
        <v>1</v>
      </c>
      <c r="S496" s="21" t="s">
        <v>99</v>
      </c>
      <c r="T496" s="21" t="s">
        <v>99</v>
      </c>
      <c r="W496" t="e">
        <f>INDEX(#REF!,MATCH($E496,#REF!,0))</f>
        <v>#REF!</v>
      </c>
      <c r="X496" t="e">
        <f>INDEX(#REF!,MATCH($E496,#REF!,0))</f>
        <v>#REF!</v>
      </c>
      <c r="Y496" t="e">
        <f>INDEX(#REF!,MATCH($E496,#REF!,0))</f>
        <v>#REF!</v>
      </c>
      <c r="Z496" t="e">
        <f>INDEX(#REF!,MATCH($E496,#REF!,0))</f>
        <v>#REF!</v>
      </c>
      <c r="AA496" t="e">
        <f>INDEX(#REF!,MATCH($E496,#REF!,0))</f>
        <v>#REF!</v>
      </c>
      <c r="AB496" t="e">
        <f>INDEX(#REF!,MATCH($E496,#REF!,0))</f>
        <v>#REF!</v>
      </c>
      <c r="AC496" t="e">
        <f>INDEX(#REF!,MATCH($E496,#REF!,0))</f>
        <v>#REF!</v>
      </c>
      <c r="AD496" t="e">
        <f>INDEX(#REF!,MATCH($E496,#REF!,0))</f>
        <v>#REF!</v>
      </c>
      <c r="AE496" t="e">
        <f t="shared" si="22"/>
        <v>#REF!</v>
      </c>
    </row>
    <row r="497" spans="2:31" x14ac:dyDescent="0.25">
      <c r="B497" s="89" t="s">
        <v>3543</v>
      </c>
      <c r="C497" s="89" t="s">
        <v>3542</v>
      </c>
      <c r="D497" s="89" t="s">
        <v>2038</v>
      </c>
      <c r="E497" s="89">
        <v>112620</v>
      </c>
      <c r="F497" s="89">
        <v>1085</v>
      </c>
      <c r="G497" s="90">
        <v>22</v>
      </c>
      <c r="H497" s="90">
        <v>3</v>
      </c>
      <c r="I497" s="90" t="s">
        <v>26</v>
      </c>
      <c r="J497" s="90">
        <v>1</v>
      </c>
      <c r="K497" s="90" t="s">
        <v>2509</v>
      </c>
      <c r="L497" s="91"/>
      <c r="M497" s="92" t="s">
        <v>2400</v>
      </c>
      <c r="N497" s="93"/>
      <c r="O497" s="94"/>
      <c r="P497" s="90" t="s">
        <v>3525</v>
      </c>
      <c r="Q497" s="95" t="s">
        <v>3544</v>
      </c>
      <c r="R497">
        <f t="shared" si="23"/>
        <v>1</v>
      </c>
      <c r="S497" s="21" t="s">
        <v>99</v>
      </c>
      <c r="T497" s="21" t="s">
        <v>99</v>
      </c>
      <c r="W497" t="e">
        <f>INDEX(#REF!,MATCH($E497,#REF!,0))</f>
        <v>#REF!</v>
      </c>
      <c r="X497" t="e">
        <f>INDEX(#REF!,MATCH($E497,#REF!,0))</f>
        <v>#REF!</v>
      </c>
      <c r="Y497" t="e">
        <f>INDEX(#REF!,MATCH($E497,#REF!,0))</f>
        <v>#REF!</v>
      </c>
      <c r="Z497" t="e">
        <f>INDEX(#REF!,MATCH($E497,#REF!,0))</f>
        <v>#REF!</v>
      </c>
      <c r="AA497" t="e">
        <f>INDEX(#REF!,MATCH($E497,#REF!,0))</f>
        <v>#REF!</v>
      </c>
      <c r="AB497" t="e">
        <f>INDEX(#REF!,MATCH($E497,#REF!,0))</f>
        <v>#REF!</v>
      </c>
      <c r="AC497" t="e">
        <f>INDEX(#REF!,MATCH($E497,#REF!,0))</f>
        <v>#REF!</v>
      </c>
      <c r="AD497" t="e">
        <f>INDEX(#REF!,MATCH($E497,#REF!,0))</f>
        <v>#REF!</v>
      </c>
      <c r="AE497" t="e">
        <f t="shared" si="22"/>
        <v>#REF!</v>
      </c>
    </row>
    <row r="498" spans="2:31" x14ac:dyDescent="0.25">
      <c r="B498" s="45" t="s">
        <v>1795</v>
      </c>
      <c r="C498" s="45" t="s">
        <v>739</v>
      </c>
      <c r="D498" s="89" t="s">
        <v>738</v>
      </c>
      <c r="E498" s="89">
        <v>112630</v>
      </c>
      <c r="F498" s="89">
        <v>1170</v>
      </c>
      <c r="G498" s="90">
        <v>3</v>
      </c>
      <c r="H498" s="90">
        <v>31</v>
      </c>
      <c r="I498" s="90" t="s">
        <v>18</v>
      </c>
      <c r="J498" s="90">
        <v>1</v>
      </c>
      <c r="K498" s="90">
        <v>0</v>
      </c>
      <c r="L498" s="91"/>
      <c r="M498" s="92" t="s">
        <v>2401</v>
      </c>
      <c r="N498" s="93"/>
      <c r="P498" s="21"/>
      <c r="Q498" s="12"/>
      <c r="R498">
        <f t="shared" si="23"/>
        <v>1</v>
      </c>
      <c r="S498" s="21" t="s">
        <v>99</v>
      </c>
      <c r="T498" s="21" t="s">
        <v>99</v>
      </c>
      <c r="W498" t="e">
        <f>INDEX(#REF!,MATCH($E498,#REF!,0))</f>
        <v>#REF!</v>
      </c>
      <c r="X498" t="e">
        <f>INDEX(#REF!,MATCH($E498,#REF!,0))</f>
        <v>#REF!</v>
      </c>
      <c r="Y498" t="e">
        <f>INDEX(#REF!,MATCH($E498,#REF!,0))</f>
        <v>#REF!</v>
      </c>
      <c r="Z498" t="e">
        <f>INDEX(#REF!,MATCH($E498,#REF!,0))</f>
        <v>#REF!</v>
      </c>
      <c r="AA498" t="e">
        <f>INDEX(#REF!,MATCH($E498,#REF!,0))</f>
        <v>#REF!</v>
      </c>
      <c r="AB498" t="e">
        <f>INDEX(#REF!,MATCH($E498,#REF!,0))</f>
        <v>#REF!</v>
      </c>
      <c r="AC498" t="e">
        <f>INDEX(#REF!,MATCH($E498,#REF!,0))</f>
        <v>#REF!</v>
      </c>
      <c r="AD498" t="e">
        <f>INDEX(#REF!,MATCH($E498,#REF!,0))</f>
        <v>#REF!</v>
      </c>
      <c r="AE498" t="e">
        <f t="shared" si="22"/>
        <v>#REF!</v>
      </c>
    </row>
    <row r="499" spans="2:31" x14ac:dyDescent="0.25">
      <c r="B499" s="45" t="s">
        <v>1796</v>
      </c>
      <c r="C499" s="45" t="s">
        <v>741</v>
      </c>
      <c r="D499" s="89" t="s">
        <v>740</v>
      </c>
      <c r="E499" s="89">
        <v>112631</v>
      </c>
      <c r="F499" s="89">
        <v>1170</v>
      </c>
      <c r="G499" s="90">
        <v>4</v>
      </c>
      <c r="H499" s="90">
        <v>31</v>
      </c>
      <c r="I499" s="90" t="s">
        <v>18</v>
      </c>
      <c r="J499" s="90">
        <v>1</v>
      </c>
      <c r="K499" s="90">
        <v>0</v>
      </c>
      <c r="L499" s="91"/>
      <c r="M499" s="92" t="s">
        <v>1249</v>
      </c>
      <c r="N499" s="93"/>
      <c r="P499" s="21"/>
      <c r="Q499" s="12"/>
      <c r="R499">
        <f t="shared" si="23"/>
        <v>1</v>
      </c>
      <c r="S499" s="21" t="s">
        <v>99</v>
      </c>
      <c r="T499" s="21" t="s">
        <v>99</v>
      </c>
      <c r="W499" t="e">
        <f>INDEX(#REF!,MATCH($E499,#REF!,0))</f>
        <v>#REF!</v>
      </c>
      <c r="X499" t="e">
        <f>INDEX(#REF!,MATCH($E499,#REF!,0))</f>
        <v>#REF!</v>
      </c>
      <c r="Y499" t="e">
        <f>INDEX(#REF!,MATCH($E499,#REF!,0))</f>
        <v>#REF!</v>
      </c>
      <c r="Z499" t="e">
        <f>INDEX(#REF!,MATCH($E499,#REF!,0))</f>
        <v>#REF!</v>
      </c>
      <c r="AA499" t="e">
        <f>INDEX(#REF!,MATCH($E499,#REF!,0))</f>
        <v>#REF!</v>
      </c>
      <c r="AB499" t="e">
        <f>INDEX(#REF!,MATCH($E499,#REF!,0))</f>
        <v>#REF!</v>
      </c>
      <c r="AC499" t="e">
        <f>INDEX(#REF!,MATCH($E499,#REF!,0))</f>
        <v>#REF!</v>
      </c>
      <c r="AD499" t="e">
        <f>INDEX(#REF!,MATCH($E499,#REF!,0))</f>
        <v>#REF!</v>
      </c>
      <c r="AE499" t="e">
        <f t="shared" si="22"/>
        <v>#REF!</v>
      </c>
    </row>
    <row r="500" spans="2:31" x14ac:dyDescent="0.25">
      <c r="B500" s="45" t="s">
        <v>1797</v>
      </c>
      <c r="C500" s="45" t="s">
        <v>743</v>
      </c>
      <c r="D500" s="89" t="s">
        <v>742</v>
      </c>
      <c r="E500" s="89">
        <v>112632</v>
      </c>
      <c r="F500" s="89">
        <v>1170</v>
      </c>
      <c r="G500" s="90">
        <v>5</v>
      </c>
      <c r="H500" s="90">
        <v>31</v>
      </c>
      <c r="I500" s="90" t="s">
        <v>18</v>
      </c>
      <c r="J500" s="90">
        <v>1</v>
      </c>
      <c r="K500" s="90">
        <v>0</v>
      </c>
      <c r="L500" s="91"/>
      <c r="M500" s="92" t="s">
        <v>1250</v>
      </c>
      <c r="N500" s="93"/>
      <c r="P500" s="21"/>
      <c r="Q500" s="12"/>
      <c r="R500">
        <f t="shared" si="23"/>
        <v>1</v>
      </c>
      <c r="S500" s="21" t="s">
        <v>99</v>
      </c>
      <c r="T500" s="21" t="s">
        <v>99</v>
      </c>
      <c r="W500" t="e">
        <f>INDEX(#REF!,MATCH($E500,#REF!,0))</f>
        <v>#REF!</v>
      </c>
      <c r="X500" t="e">
        <f>INDEX(#REF!,MATCH($E500,#REF!,0))</f>
        <v>#REF!</v>
      </c>
      <c r="Y500" t="e">
        <f>INDEX(#REF!,MATCH($E500,#REF!,0))</f>
        <v>#REF!</v>
      </c>
      <c r="Z500" t="e">
        <f>INDEX(#REF!,MATCH($E500,#REF!,0))</f>
        <v>#REF!</v>
      </c>
      <c r="AA500" t="e">
        <f>INDEX(#REF!,MATCH($E500,#REF!,0))</f>
        <v>#REF!</v>
      </c>
      <c r="AB500" t="e">
        <f>INDEX(#REF!,MATCH($E500,#REF!,0))</f>
        <v>#REF!</v>
      </c>
      <c r="AC500" t="e">
        <f>INDEX(#REF!,MATCH($E500,#REF!,0))</f>
        <v>#REF!</v>
      </c>
      <c r="AD500" t="e">
        <f>INDEX(#REF!,MATCH($E500,#REF!,0))</f>
        <v>#REF!</v>
      </c>
      <c r="AE500" t="e">
        <f t="shared" si="22"/>
        <v>#REF!</v>
      </c>
    </row>
    <row r="501" spans="2:31" x14ac:dyDescent="0.25">
      <c r="B501" s="45" t="s">
        <v>1798</v>
      </c>
      <c r="C501" s="45" t="s">
        <v>745</v>
      </c>
      <c r="D501" s="89" t="s">
        <v>744</v>
      </c>
      <c r="E501" s="89">
        <v>112721</v>
      </c>
      <c r="F501" s="89">
        <v>1084</v>
      </c>
      <c r="G501" s="90">
        <v>18</v>
      </c>
      <c r="H501" s="90">
        <v>3</v>
      </c>
      <c r="I501" s="90" t="s">
        <v>210</v>
      </c>
      <c r="J501" s="90">
        <v>100</v>
      </c>
      <c r="K501" s="90">
        <v>0</v>
      </c>
      <c r="L501" s="91"/>
      <c r="M501" s="92"/>
      <c r="N501" s="93"/>
      <c r="P501" s="21"/>
      <c r="Q501" s="12"/>
      <c r="R501">
        <f t="shared" si="23"/>
        <v>1</v>
      </c>
      <c r="S501" s="21" t="s">
        <v>99</v>
      </c>
      <c r="T501" s="21" t="s">
        <v>99</v>
      </c>
      <c r="W501" t="e">
        <f>INDEX(#REF!,MATCH($E501,#REF!,0))</f>
        <v>#REF!</v>
      </c>
      <c r="X501" t="e">
        <f>INDEX(#REF!,MATCH($E501,#REF!,0))</f>
        <v>#REF!</v>
      </c>
      <c r="Y501" t="e">
        <f>INDEX(#REF!,MATCH($E501,#REF!,0))</f>
        <v>#REF!</v>
      </c>
      <c r="Z501" t="e">
        <f>INDEX(#REF!,MATCH($E501,#REF!,0))</f>
        <v>#REF!</v>
      </c>
      <c r="AA501" t="e">
        <f>INDEX(#REF!,MATCH($E501,#REF!,0))</f>
        <v>#REF!</v>
      </c>
      <c r="AB501" t="e">
        <f>INDEX(#REF!,MATCH($E501,#REF!,0))</f>
        <v>#REF!</v>
      </c>
      <c r="AC501" t="e">
        <f>INDEX(#REF!,MATCH($E501,#REF!,0))</f>
        <v>#REF!</v>
      </c>
      <c r="AD501" t="e">
        <f>INDEX(#REF!,MATCH($E501,#REF!,0))</f>
        <v>#REF!</v>
      </c>
      <c r="AE501" t="e">
        <f t="shared" si="22"/>
        <v>#REF!</v>
      </c>
    </row>
    <row r="502" spans="2:31" x14ac:dyDescent="0.25">
      <c r="B502" s="45" t="s">
        <v>1799</v>
      </c>
      <c r="C502" s="45" t="s">
        <v>747</v>
      </c>
      <c r="D502" s="89" t="s">
        <v>746</v>
      </c>
      <c r="E502" s="89">
        <v>112722</v>
      </c>
      <c r="F502" s="89">
        <v>1084</v>
      </c>
      <c r="G502" s="90">
        <v>19</v>
      </c>
      <c r="H502" s="90">
        <v>3</v>
      </c>
      <c r="I502" s="90" t="s">
        <v>210</v>
      </c>
      <c r="J502" s="90">
        <v>100</v>
      </c>
      <c r="K502" s="90">
        <v>0</v>
      </c>
      <c r="L502" s="91"/>
      <c r="M502" s="92"/>
      <c r="N502" s="93"/>
      <c r="P502" s="21"/>
      <c r="Q502" s="12"/>
      <c r="R502">
        <f t="shared" si="23"/>
        <v>1</v>
      </c>
      <c r="S502" s="21" t="s">
        <v>99</v>
      </c>
      <c r="T502" s="21" t="s">
        <v>99</v>
      </c>
      <c r="W502" t="e">
        <f>INDEX(#REF!,MATCH($E502,#REF!,0))</f>
        <v>#REF!</v>
      </c>
      <c r="X502" t="e">
        <f>INDEX(#REF!,MATCH($E502,#REF!,0))</f>
        <v>#REF!</v>
      </c>
      <c r="Y502" t="e">
        <f>INDEX(#REF!,MATCH($E502,#REF!,0))</f>
        <v>#REF!</v>
      </c>
      <c r="Z502" t="e">
        <f>INDEX(#REF!,MATCH($E502,#REF!,0))</f>
        <v>#REF!</v>
      </c>
      <c r="AA502" t="e">
        <f>INDEX(#REF!,MATCH($E502,#REF!,0))</f>
        <v>#REF!</v>
      </c>
      <c r="AB502" t="e">
        <f>INDEX(#REF!,MATCH($E502,#REF!,0))</f>
        <v>#REF!</v>
      </c>
      <c r="AC502" t="e">
        <f>INDEX(#REF!,MATCH($E502,#REF!,0))</f>
        <v>#REF!</v>
      </c>
      <c r="AD502" t="e">
        <f>INDEX(#REF!,MATCH($E502,#REF!,0))</f>
        <v>#REF!</v>
      </c>
      <c r="AE502" t="e">
        <f t="shared" si="22"/>
        <v>#REF!</v>
      </c>
    </row>
    <row r="503" spans="2:31" x14ac:dyDescent="0.25">
      <c r="B503" s="45" t="s">
        <v>1800</v>
      </c>
      <c r="C503" s="45" t="s">
        <v>749</v>
      </c>
      <c r="D503" s="89" t="s">
        <v>748</v>
      </c>
      <c r="E503" s="89">
        <v>112723</v>
      </c>
      <c r="F503" s="89">
        <v>1084</v>
      </c>
      <c r="G503" s="90">
        <v>20</v>
      </c>
      <c r="H503" s="90">
        <v>3</v>
      </c>
      <c r="I503" s="90" t="s">
        <v>210</v>
      </c>
      <c r="J503" s="90">
        <v>100</v>
      </c>
      <c r="K503" s="90">
        <v>0</v>
      </c>
      <c r="L503" s="91"/>
      <c r="M503" s="92"/>
      <c r="N503" s="93"/>
      <c r="P503" s="21"/>
      <c r="Q503" s="12"/>
      <c r="R503">
        <f t="shared" si="23"/>
        <v>1</v>
      </c>
      <c r="S503" s="21" t="s">
        <v>99</v>
      </c>
      <c r="T503" s="21" t="s">
        <v>99</v>
      </c>
      <c r="W503" t="e">
        <f>INDEX(#REF!,MATCH($E503,#REF!,0))</f>
        <v>#REF!</v>
      </c>
      <c r="X503" t="e">
        <f>INDEX(#REF!,MATCH($E503,#REF!,0))</f>
        <v>#REF!</v>
      </c>
      <c r="Y503" t="e">
        <f>INDEX(#REF!,MATCH($E503,#REF!,0))</f>
        <v>#REF!</v>
      </c>
      <c r="Z503" t="e">
        <f>INDEX(#REF!,MATCH($E503,#REF!,0))</f>
        <v>#REF!</v>
      </c>
      <c r="AA503" t="e">
        <f>INDEX(#REF!,MATCH($E503,#REF!,0))</f>
        <v>#REF!</v>
      </c>
      <c r="AB503" t="e">
        <f>INDEX(#REF!,MATCH($E503,#REF!,0))</f>
        <v>#REF!</v>
      </c>
      <c r="AC503" t="e">
        <f>INDEX(#REF!,MATCH($E503,#REF!,0))</f>
        <v>#REF!</v>
      </c>
      <c r="AD503" t="e">
        <f>INDEX(#REF!,MATCH($E503,#REF!,0))</f>
        <v>#REF!</v>
      </c>
      <c r="AE503" t="e">
        <f t="shared" si="22"/>
        <v>#REF!</v>
      </c>
    </row>
    <row r="504" spans="2:31" x14ac:dyDescent="0.25">
      <c r="B504" s="45" t="s">
        <v>1801</v>
      </c>
      <c r="C504" s="45" t="s">
        <v>751</v>
      </c>
      <c r="D504" s="89" t="s">
        <v>750</v>
      </c>
      <c r="E504" s="89">
        <v>112724</v>
      </c>
      <c r="F504" s="89">
        <v>1084</v>
      </c>
      <c r="G504" s="90">
        <v>21</v>
      </c>
      <c r="H504" s="90">
        <v>3</v>
      </c>
      <c r="I504" s="90" t="s">
        <v>210</v>
      </c>
      <c r="J504" s="90">
        <v>100</v>
      </c>
      <c r="K504" s="90">
        <v>0</v>
      </c>
      <c r="L504" s="91"/>
      <c r="M504" s="92"/>
      <c r="N504" s="93"/>
      <c r="P504" s="21"/>
      <c r="Q504" s="12"/>
      <c r="R504">
        <f t="shared" si="23"/>
        <v>1</v>
      </c>
      <c r="S504" s="21" t="s">
        <v>99</v>
      </c>
      <c r="T504" s="21" t="s">
        <v>99</v>
      </c>
      <c r="W504" t="e">
        <f>INDEX(#REF!,MATCH($E504,#REF!,0))</f>
        <v>#REF!</v>
      </c>
      <c r="X504" t="e">
        <f>INDEX(#REF!,MATCH($E504,#REF!,0))</f>
        <v>#REF!</v>
      </c>
      <c r="Y504" t="e">
        <f>INDEX(#REF!,MATCH($E504,#REF!,0))</f>
        <v>#REF!</v>
      </c>
      <c r="Z504" t="e">
        <f>INDEX(#REF!,MATCH($E504,#REF!,0))</f>
        <v>#REF!</v>
      </c>
      <c r="AA504" t="e">
        <f>INDEX(#REF!,MATCH($E504,#REF!,0))</f>
        <v>#REF!</v>
      </c>
      <c r="AB504" t="e">
        <f>INDEX(#REF!,MATCH($E504,#REF!,0))</f>
        <v>#REF!</v>
      </c>
      <c r="AC504" t="e">
        <f>INDEX(#REF!,MATCH($E504,#REF!,0))</f>
        <v>#REF!</v>
      </c>
      <c r="AD504" t="e">
        <f>INDEX(#REF!,MATCH($E504,#REF!,0))</f>
        <v>#REF!</v>
      </c>
      <c r="AE504" t="e">
        <f t="shared" si="22"/>
        <v>#REF!</v>
      </c>
    </row>
    <row r="505" spans="2:31" x14ac:dyDescent="0.25">
      <c r="B505" s="45" t="s">
        <v>1802</v>
      </c>
      <c r="C505" s="45" t="s">
        <v>753</v>
      </c>
      <c r="D505" s="89" t="s">
        <v>752</v>
      </c>
      <c r="E505" s="89">
        <v>112725</v>
      </c>
      <c r="F505" s="89">
        <v>1084</v>
      </c>
      <c r="G505" s="90">
        <v>22</v>
      </c>
      <c r="H505" s="90">
        <v>3</v>
      </c>
      <c r="I505" s="90" t="s">
        <v>210</v>
      </c>
      <c r="J505" s="90">
        <v>100</v>
      </c>
      <c r="K505" s="90">
        <v>0</v>
      </c>
      <c r="L505" s="91"/>
      <c r="M505" s="92"/>
      <c r="N505" s="93"/>
      <c r="P505" s="21"/>
      <c r="Q505" s="12"/>
      <c r="R505">
        <f t="shared" si="23"/>
        <v>1</v>
      </c>
      <c r="S505" s="21" t="s">
        <v>99</v>
      </c>
      <c r="T505" s="21" t="s">
        <v>99</v>
      </c>
      <c r="W505" t="e">
        <f>INDEX(#REF!,MATCH($E505,#REF!,0))</f>
        <v>#REF!</v>
      </c>
      <c r="X505" t="e">
        <f>INDEX(#REF!,MATCH($E505,#REF!,0))</f>
        <v>#REF!</v>
      </c>
      <c r="Y505" t="e">
        <f>INDEX(#REF!,MATCH($E505,#REF!,0))</f>
        <v>#REF!</v>
      </c>
      <c r="Z505" t="e">
        <f>INDEX(#REF!,MATCH($E505,#REF!,0))</f>
        <v>#REF!</v>
      </c>
      <c r="AA505" t="e">
        <f>INDEX(#REF!,MATCH($E505,#REF!,0))</f>
        <v>#REF!</v>
      </c>
      <c r="AB505" t="e">
        <f>INDEX(#REF!,MATCH($E505,#REF!,0))</f>
        <v>#REF!</v>
      </c>
      <c r="AC505" t="e">
        <f>INDEX(#REF!,MATCH($E505,#REF!,0))</f>
        <v>#REF!</v>
      </c>
      <c r="AD505" t="e">
        <f>INDEX(#REF!,MATCH($E505,#REF!,0))</f>
        <v>#REF!</v>
      </c>
      <c r="AE505" t="e">
        <f t="shared" si="22"/>
        <v>#REF!</v>
      </c>
    </row>
    <row r="506" spans="2:31" x14ac:dyDescent="0.25">
      <c r="B506" s="45" t="s">
        <v>1803</v>
      </c>
      <c r="C506" s="45" t="s">
        <v>755</v>
      </c>
      <c r="D506" s="89" t="s">
        <v>754</v>
      </c>
      <c r="E506" s="89">
        <v>112726</v>
      </c>
      <c r="F506" s="89">
        <v>1084</v>
      </c>
      <c r="G506" s="90">
        <v>23</v>
      </c>
      <c r="H506" s="90">
        <v>3</v>
      </c>
      <c r="I506" s="90" t="s">
        <v>210</v>
      </c>
      <c r="J506" s="90">
        <v>100</v>
      </c>
      <c r="K506" s="90">
        <v>0</v>
      </c>
      <c r="L506" s="91"/>
      <c r="M506" s="92"/>
      <c r="N506" s="93"/>
      <c r="P506" s="21"/>
      <c r="Q506" s="12"/>
      <c r="R506">
        <f t="shared" si="23"/>
        <v>1</v>
      </c>
      <c r="S506" s="21" t="s">
        <v>99</v>
      </c>
      <c r="T506" s="21" t="s">
        <v>99</v>
      </c>
      <c r="W506" t="e">
        <f>INDEX(#REF!,MATCH($E506,#REF!,0))</f>
        <v>#REF!</v>
      </c>
      <c r="X506" t="e">
        <f>INDEX(#REF!,MATCH($E506,#REF!,0))</f>
        <v>#REF!</v>
      </c>
      <c r="Y506" t="e">
        <f>INDEX(#REF!,MATCH($E506,#REF!,0))</f>
        <v>#REF!</v>
      </c>
      <c r="Z506" t="e">
        <f>INDEX(#REF!,MATCH($E506,#REF!,0))</f>
        <v>#REF!</v>
      </c>
      <c r="AA506" t="e">
        <f>INDEX(#REF!,MATCH($E506,#REF!,0))</f>
        <v>#REF!</v>
      </c>
      <c r="AB506" t="e">
        <f>INDEX(#REF!,MATCH($E506,#REF!,0))</f>
        <v>#REF!</v>
      </c>
      <c r="AC506" t="e">
        <f>INDEX(#REF!,MATCH($E506,#REF!,0))</f>
        <v>#REF!</v>
      </c>
      <c r="AD506" t="e">
        <f>INDEX(#REF!,MATCH($E506,#REF!,0))</f>
        <v>#REF!</v>
      </c>
      <c r="AE506" t="e">
        <f t="shared" si="22"/>
        <v>#REF!</v>
      </c>
    </row>
    <row r="507" spans="2:31" x14ac:dyDescent="0.25">
      <c r="B507" s="45" t="s">
        <v>1804</v>
      </c>
      <c r="C507" s="45" t="s">
        <v>757</v>
      </c>
      <c r="D507" s="89" t="s">
        <v>756</v>
      </c>
      <c r="E507" s="89">
        <v>112727</v>
      </c>
      <c r="F507" s="89">
        <v>1084</v>
      </c>
      <c r="G507" s="90">
        <v>24</v>
      </c>
      <c r="H507" s="90">
        <v>3</v>
      </c>
      <c r="I507" s="90" t="s">
        <v>210</v>
      </c>
      <c r="J507" s="90">
        <v>100</v>
      </c>
      <c r="K507" s="90">
        <v>0</v>
      </c>
      <c r="L507" s="91"/>
      <c r="M507" s="92"/>
      <c r="N507" s="93"/>
      <c r="P507" s="21"/>
      <c r="Q507" s="12"/>
      <c r="R507">
        <f t="shared" si="23"/>
        <v>1</v>
      </c>
      <c r="S507" s="21" t="s">
        <v>99</v>
      </c>
      <c r="T507" s="21" t="s">
        <v>99</v>
      </c>
      <c r="W507" t="e">
        <f>INDEX(#REF!,MATCH($E507,#REF!,0))</f>
        <v>#REF!</v>
      </c>
      <c r="X507" t="e">
        <f>INDEX(#REF!,MATCH($E507,#REF!,0))</f>
        <v>#REF!</v>
      </c>
      <c r="Y507" t="e">
        <f>INDEX(#REF!,MATCH($E507,#REF!,0))</f>
        <v>#REF!</v>
      </c>
      <c r="Z507" t="e">
        <f>INDEX(#REF!,MATCH($E507,#REF!,0))</f>
        <v>#REF!</v>
      </c>
      <c r="AA507" t="e">
        <f>INDEX(#REF!,MATCH($E507,#REF!,0))</f>
        <v>#REF!</v>
      </c>
      <c r="AB507" t="e">
        <f>INDEX(#REF!,MATCH($E507,#REF!,0))</f>
        <v>#REF!</v>
      </c>
      <c r="AC507" t="e">
        <f>INDEX(#REF!,MATCH($E507,#REF!,0))</f>
        <v>#REF!</v>
      </c>
      <c r="AD507" t="e">
        <f>INDEX(#REF!,MATCH($E507,#REF!,0))</f>
        <v>#REF!</v>
      </c>
      <c r="AE507" t="e">
        <f t="shared" si="22"/>
        <v>#REF!</v>
      </c>
    </row>
    <row r="508" spans="2:31" x14ac:dyDescent="0.25">
      <c r="B508" s="45" t="s">
        <v>1805</v>
      </c>
      <c r="C508" s="45" t="s">
        <v>759</v>
      </c>
      <c r="D508" s="89" t="s">
        <v>758</v>
      </c>
      <c r="E508" s="89">
        <v>112728</v>
      </c>
      <c r="F508" s="89">
        <v>1097</v>
      </c>
      <c r="G508" s="90">
        <v>0</v>
      </c>
      <c r="H508" s="90">
        <v>3</v>
      </c>
      <c r="I508" s="90" t="s">
        <v>210</v>
      </c>
      <c r="J508" s="90">
        <v>100</v>
      </c>
      <c r="K508" s="90">
        <v>0</v>
      </c>
      <c r="L508" s="91"/>
      <c r="M508" s="92"/>
      <c r="N508" s="93"/>
      <c r="P508" s="21"/>
      <c r="Q508" s="12"/>
      <c r="R508">
        <f t="shared" si="23"/>
        <v>1</v>
      </c>
      <c r="S508" s="21" t="s">
        <v>99</v>
      </c>
      <c r="T508" s="21" t="s">
        <v>99</v>
      </c>
      <c r="W508" t="e">
        <f>INDEX(#REF!,MATCH($E508,#REF!,0))</f>
        <v>#REF!</v>
      </c>
      <c r="X508" t="e">
        <f>INDEX(#REF!,MATCH($E508,#REF!,0))</f>
        <v>#REF!</v>
      </c>
      <c r="Y508" t="e">
        <f>INDEX(#REF!,MATCH($E508,#REF!,0))</f>
        <v>#REF!</v>
      </c>
      <c r="Z508" t="e">
        <f>INDEX(#REF!,MATCH($E508,#REF!,0))</f>
        <v>#REF!</v>
      </c>
      <c r="AA508" t="e">
        <f>INDEX(#REF!,MATCH($E508,#REF!,0))</f>
        <v>#REF!</v>
      </c>
      <c r="AB508" t="e">
        <f>INDEX(#REF!,MATCH($E508,#REF!,0))</f>
        <v>#REF!</v>
      </c>
      <c r="AC508" t="e">
        <f>INDEX(#REF!,MATCH($E508,#REF!,0))</f>
        <v>#REF!</v>
      </c>
      <c r="AD508" t="e">
        <f>INDEX(#REF!,MATCH($E508,#REF!,0))</f>
        <v>#REF!</v>
      </c>
      <c r="AE508" t="e">
        <f t="shared" si="22"/>
        <v>#REF!</v>
      </c>
    </row>
    <row r="509" spans="2:31" x14ac:dyDescent="0.25">
      <c r="B509" s="45" t="s">
        <v>1806</v>
      </c>
      <c r="C509" s="45" t="s">
        <v>761</v>
      </c>
      <c r="D509" s="89" t="s">
        <v>760</v>
      </c>
      <c r="E509" s="89">
        <v>112729</v>
      </c>
      <c r="F509" s="89">
        <v>1097</v>
      </c>
      <c r="G509" s="90">
        <v>1</v>
      </c>
      <c r="H509" s="90">
        <v>3</v>
      </c>
      <c r="I509" s="90" t="s">
        <v>210</v>
      </c>
      <c r="J509" s="90">
        <v>100</v>
      </c>
      <c r="K509" s="90">
        <v>0</v>
      </c>
      <c r="L509" s="91"/>
      <c r="M509" s="92"/>
      <c r="N509" s="93"/>
      <c r="P509" s="21"/>
      <c r="Q509" s="12"/>
      <c r="R509">
        <f t="shared" si="23"/>
        <v>1</v>
      </c>
      <c r="S509" s="21" t="s">
        <v>99</v>
      </c>
      <c r="T509" s="21" t="s">
        <v>99</v>
      </c>
      <c r="W509" t="e">
        <f>INDEX(#REF!,MATCH($E509,#REF!,0))</f>
        <v>#REF!</v>
      </c>
      <c r="X509" t="e">
        <f>INDEX(#REF!,MATCH($E509,#REF!,0))</f>
        <v>#REF!</v>
      </c>
      <c r="Y509" t="e">
        <f>INDEX(#REF!,MATCH($E509,#REF!,0))</f>
        <v>#REF!</v>
      </c>
      <c r="Z509" t="e">
        <f>INDEX(#REF!,MATCH($E509,#REF!,0))</f>
        <v>#REF!</v>
      </c>
      <c r="AA509" t="e">
        <f>INDEX(#REF!,MATCH($E509,#REF!,0))</f>
        <v>#REF!</v>
      </c>
      <c r="AB509" t="e">
        <f>INDEX(#REF!,MATCH($E509,#REF!,0))</f>
        <v>#REF!</v>
      </c>
      <c r="AC509" t="e">
        <f>INDEX(#REF!,MATCH($E509,#REF!,0))</f>
        <v>#REF!</v>
      </c>
      <c r="AD509" t="e">
        <f>INDEX(#REF!,MATCH($E509,#REF!,0))</f>
        <v>#REF!</v>
      </c>
      <c r="AE509" t="e">
        <f t="shared" si="22"/>
        <v>#REF!</v>
      </c>
    </row>
    <row r="510" spans="2:31" x14ac:dyDescent="0.25">
      <c r="B510" s="45" t="s">
        <v>1807</v>
      </c>
      <c r="C510" s="45" t="s">
        <v>763</v>
      </c>
      <c r="D510" s="89" t="s">
        <v>762</v>
      </c>
      <c r="E510" s="89">
        <v>112730</v>
      </c>
      <c r="F510" s="89">
        <v>1097</v>
      </c>
      <c r="G510" s="90">
        <v>2</v>
      </c>
      <c r="H510" s="90">
        <v>3</v>
      </c>
      <c r="I510" s="90" t="s">
        <v>210</v>
      </c>
      <c r="J510" s="90">
        <v>100</v>
      </c>
      <c r="K510" s="90">
        <v>0</v>
      </c>
      <c r="L510" s="91"/>
      <c r="M510" s="92"/>
      <c r="N510" s="93"/>
      <c r="P510" s="21"/>
      <c r="Q510" s="12"/>
      <c r="R510">
        <f t="shared" si="23"/>
        <v>1</v>
      </c>
      <c r="S510" s="21" t="s">
        <v>99</v>
      </c>
      <c r="T510" s="21" t="s">
        <v>99</v>
      </c>
      <c r="W510" t="e">
        <f>INDEX(#REF!,MATCH($E510,#REF!,0))</f>
        <v>#REF!</v>
      </c>
      <c r="X510" t="e">
        <f>INDEX(#REF!,MATCH($E510,#REF!,0))</f>
        <v>#REF!</v>
      </c>
      <c r="Y510" t="e">
        <f>INDEX(#REF!,MATCH($E510,#REF!,0))</f>
        <v>#REF!</v>
      </c>
      <c r="Z510" t="e">
        <f>INDEX(#REF!,MATCH($E510,#REF!,0))</f>
        <v>#REF!</v>
      </c>
      <c r="AA510" t="e">
        <f>INDEX(#REF!,MATCH($E510,#REF!,0))</f>
        <v>#REF!</v>
      </c>
      <c r="AB510" t="e">
        <f>INDEX(#REF!,MATCH($E510,#REF!,0))</f>
        <v>#REF!</v>
      </c>
      <c r="AC510" t="e">
        <f>INDEX(#REF!,MATCH($E510,#REF!,0))</f>
        <v>#REF!</v>
      </c>
      <c r="AD510" t="e">
        <f>INDEX(#REF!,MATCH($E510,#REF!,0))</f>
        <v>#REF!</v>
      </c>
      <c r="AE510" t="e">
        <f t="shared" si="22"/>
        <v>#REF!</v>
      </c>
    </row>
    <row r="511" spans="2:31" x14ac:dyDescent="0.25">
      <c r="B511" s="45" t="s">
        <v>1808</v>
      </c>
      <c r="C511" s="45" t="s">
        <v>764</v>
      </c>
      <c r="D511" s="89" t="s">
        <v>2039</v>
      </c>
      <c r="E511" s="89">
        <v>112771</v>
      </c>
      <c r="F511" s="89">
        <v>1082</v>
      </c>
      <c r="G511" s="90">
        <v>18</v>
      </c>
      <c r="H511" s="90">
        <v>3</v>
      </c>
      <c r="I511" s="90" t="s">
        <v>26</v>
      </c>
      <c r="J511" s="90">
        <v>1</v>
      </c>
      <c r="K511" s="90" t="s">
        <v>2509</v>
      </c>
      <c r="L511" s="91">
        <v>6268</v>
      </c>
      <c r="M511" s="92"/>
      <c r="N511" s="93"/>
      <c r="P511" s="21"/>
      <c r="Q511" s="12"/>
      <c r="R511">
        <f t="shared" si="23"/>
        <v>1</v>
      </c>
      <c r="S511" s="21" t="s">
        <v>99</v>
      </c>
      <c r="T511" s="21" t="s">
        <v>99</v>
      </c>
      <c r="W511" t="e">
        <f>INDEX(#REF!,MATCH($E511,#REF!,0))</f>
        <v>#REF!</v>
      </c>
      <c r="X511" t="e">
        <f>INDEX(#REF!,MATCH($E511,#REF!,0))</f>
        <v>#REF!</v>
      </c>
      <c r="Y511" t="e">
        <f>INDEX(#REF!,MATCH($E511,#REF!,0))</f>
        <v>#REF!</v>
      </c>
      <c r="Z511" t="e">
        <f>INDEX(#REF!,MATCH($E511,#REF!,0))</f>
        <v>#REF!</v>
      </c>
      <c r="AA511" t="e">
        <f>INDEX(#REF!,MATCH($E511,#REF!,0))</f>
        <v>#REF!</v>
      </c>
      <c r="AB511" t="e">
        <f>INDEX(#REF!,MATCH($E511,#REF!,0))</f>
        <v>#REF!</v>
      </c>
      <c r="AC511" t="e">
        <f>INDEX(#REF!,MATCH($E511,#REF!,0))</f>
        <v>#REF!</v>
      </c>
      <c r="AD511" t="e">
        <f>INDEX(#REF!,MATCH($E511,#REF!,0))</f>
        <v>#REF!</v>
      </c>
      <c r="AE511" t="e">
        <f t="shared" si="22"/>
        <v>#REF!</v>
      </c>
    </row>
    <row r="512" spans="2:31" x14ac:dyDescent="0.25">
      <c r="B512" s="45" t="s">
        <v>1809</v>
      </c>
      <c r="C512" s="45" t="s">
        <v>765</v>
      </c>
      <c r="D512" s="89" t="s">
        <v>2040</v>
      </c>
      <c r="E512" s="89">
        <v>112772</v>
      </c>
      <c r="F512" s="89">
        <v>1082</v>
      </c>
      <c r="G512" s="90">
        <v>19</v>
      </c>
      <c r="H512" s="90">
        <v>3</v>
      </c>
      <c r="I512" s="90" t="s">
        <v>26</v>
      </c>
      <c r="J512" s="90">
        <v>1</v>
      </c>
      <c r="K512" s="90" t="s">
        <v>2509</v>
      </c>
      <c r="L512" s="91">
        <v>6269</v>
      </c>
      <c r="M512" s="92"/>
      <c r="N512" s="93"/>
      <c r="P512" s="21"/>
      <c r="Q512" s="12"/>
      <c r="R512">
        <f t="shared" si="23"/>
        <v>1</v>
      </c>
      <c r="S512" s="21" t="s">
        <v>99</v>
      </c>
      <c r="T512" s="21" t="s">
        <v>99</v>
      </c>
      <c r="W512" t="e">
        <f>INDEX(#REF!,MATCH($E512,#REF!,0))</f>
        <v>#REF!</v>
      </c>
      <c r="X512" t="e">
        <f>INDEX(#REF!,MATCH($E512,#REF!,0))</f>
        <v>#REF!</v>
      </c>
      <c r="Y512" t="e">
        <f>INDEX(#REF!,MATCH($E512,#REF!,0))</f>
        <v>#REF!</v>
      </c>
      <c r="Z512" t="e">
        <f>INDEX(#REF!,MATCH($E512,#REF!,0))</f>
        <v>#REF!</v>
      </c>
      <c r="AA512" t="e">
        <f>INDEX(#REF!,MATCH($E512,#REF!,0))</f>
        <v>#REF!</v>
      </c>
      <c r="AB512" t="e">
        <f>INDEX(#REF!,MATCH($E512,#REF!,0))</f>
        <v>#REF!</v>
      </c>
      <c r="AC512" t="e">
        <f>INDEX(#REF!,MATCH($E512,#REF!,0))</f>
        <v>#REF!</v>
      </c>
      <c r="AD512" t="e">
        <f>INDEX(#REF!,MATCH($E512,#REF!,0))</f>
        <v>#REF!</v>
      </c>
      <c r="AE512" t="e">
        <f t="shared" si="22"/>
        <v>#REF!</v>
      </c>
    </row>
    <row r="513" spans="2:31" x14ac:dyDescent="0.25">
      <c r="B513" s="45" t="s">
        <v>1810</v>
      </c>
      <c r="C513" s="45" t="s">
        <v>766</v>
      </c>
      <c r="D513" s="89" t="s">
        <v>2041</v>
      </c>
      <c r="E513" s="89">
        <v>112773</v>
      </c>
      <c r="F513" s="89">
        <v>1082</v>
      </c>
      <c r="G513" s="90">
        <v>20</v>
      </c>
      <c r="H513" s="90">
        <v>3</v>
      </c>
      <c r="I513" s="90" t="s">
        <v>26</v>
      </c>
      <c r="J513" s="90">
        <v>1</v>
      </c>
      <c r="K513" s="90" t="s">
        <v>2509</v>
      </c>
      <c r="L513" s="91">
        <v>6270</v>
      </c>
      <c r="M513" s="92"/>
      <c r="N513" s="93"/>
      <c r="P513" s="21"/>
      <c r="Q513" s="12"/>
      <c r="R513">
        <f t="shared" si="23"/>
        <v>1</v>
      </c>
      <c r="S513" s="21" t="s">
        <v>99</v>
      </c>
      <c r="T513" s="21" t="s">
        <v>99</v>
      </c>
      <c r="W513" t="e">
        <f>INDEX(#REF!,MATCH($E513,#REF!,0))</f>
        <v>#REF!</v>
      </c>
      <c r="X513" t="e">
        <f>INDEX(#REF!,MATCH($E513,#REF!,0))</f>
        <v>#REF!</v>
      </c>
      <c r="Y513" t="e">
        <f>INDEX(#REF!,MATCH($E513,#REF!,0))</f>
        <v>#REF!</v>
      </c>
      <c r="Z513" t="e">
        <f>INDEX(#REF!,MATCH($E513,#REF!,0))</f>
        <v>#REF!</v>
      </c>
      <c r="AA513" t="e">
        <f>INDEX(#REF!,MATCH($E513,#REF!,0))</f>
        <v>#REF!</v>
      </c>
      <c r="AB513" t="e">
        <f>INDEX(#REF!,MATCH($E513,#REF!,0))</f>
        <v>#REF!</v>
      </c>
      <c r="AC513" t="e">
        <f>INDEX(#REF!,MATCH($E513,#REF!,0))</f>
        <v>#REF!</v>
      </c>
      <c r="AD513" t="e">
        <f>INDEX(#REF!,MATCH($E513,#REF!,0))</f>
        <v>#REF!</v>
      </c>
      <c r="AE513" t="e">
        <f t="shared" si="22"/>
        <v>#REF!</v>
      </c>
    </row>
    <row r="514" spans="2:31" x14ac:dyDescent="0.25">
      <c r="B514" s="45" t="s">
        <v>1811</v>
      </c>
      <c r="C514" s="45" t="s">
        <v>767</v>
      </c>
      <c r="D514" s="89" t="s">
        <v>2042</v>
      </c>
      <c r="E514" s="89">
        <v>112774</v>
      </c>
      <c r="F514" s="89">
        <v>1082</v>
      </c>
      <c r="G514" s="90">
        <v>21</v>
      </c>
      <c r="H514" s="90">
        <v>3</v>
      </c>
      <c r="I514" s="90" t="s">
        <v>26</v>
      </c>
      <c r="J514" s="90">
        <v>1</v>
      </c>
      <c r="K514" s="90" t="s">
        <v>2509</v>
      </c>
      <c r="L514" s="91">
        <v>6271</v>
      </c>
      <c r="M514" s="92"/>
      <c r="N514" s="93"/>
      <c r="P514" s="21"/>
      <c r="Q514" s="12"/>
      <c r="R514">
        <f t="shared" si="23"/>
        <v>1</v>
      </c>
      <c r="S514" s="21" t="s">
        <v>99</v>
      </c>
      <c r="T514" s="21" t="s">
        <v>99</v>
      </c>
      <c r="W514" t="e">
        <f>INDEX(#REF!,MATCH($E514,#REF!,0))</f>
        <v>#REF!</v>
      </c>
      <c r="X514" t="e">
        <f>INDEX(#REF!,MATCH($E514,#REF!,0))</f>
        <v>#REF!</v>
      </c>
      <c r="Y514" t="e">
        <f>INDEX(#REF!,MATCH($E514,#REF!,0))</f>
        <v>#REF!</v>
      </c>
      <c r="Z514" t="e">
        <f>INDEX(#REF!,MATCH($E514,#REF!,0))</f>
        <v>#REF!</v>
      </c>
      <c r="AA514" t="e">
        <f>INDEX(#REF!,MATCH($E514,#REF!,0))</f>
        <v>#REF!</v>
      </c>
      <c r="AB514" t="e">
        <f>INDEX(#REF!,MATCH($E514,#REF!,0))</f>
        <v>#REF!</v>
      </c>
      <c r="AC514" t="e">
        <f>INDEX(#REF!,MATCH($E514,#REF!,0))</f>
        <v>#REF!</v>
      </c>
      <c r="AD514" t="e">
        <f>INDEX(#REF!,MATCH($E514,#REF!,0))</f>
        <v>#REF!</v>
      </c>
      <c r="AE514" t="e">
        <f t="shared" si="22"/>
        <v>#REF!</v>
      </c>
    </row>
    <row r="515" spans="2:31" x14ac:dyDescent="0.25">
      <c r="B515" s="45" t="s">
        <v>1812</v>
      </c>
      <c r="C515" s="45" t="s">
        <v>768</v>
      </c>
      <c r="D515" s="89" t="s">
        <v>2043</v>
      </c>
      <c r="E515" s="89">
        <v>112775</v>
      </c>
      <c r="F515" s="89">
        <v>1082</v>
      </c>
      <c r="G515" s="90">
        <v>22</v>
      </c>
      <c r="H515" s="90">
        <v>3</v>
      </c>
      <c r="I515" s="90" t="s">
        <v>26</v>
      </c>
      <c r="J515" s="90">
        <v>1</v>
      </c>
      <c r="K515" s="90" t="s">
        <v>2509</v>
      </c>
      <c r="L515" s="91">
        <v>6272</v>
      </c>
      <c r="M515" s="92"/>
      <c r="N515" s="93"/>
      <c r="P515" s="21"/>
      <c r="Q515" s="12"/>
      <c r="R515">
        <f t="shared" si="23"/>
        <v>1</v>
      </c>
      <c r="S515" s="21" t="s">
        <v>99</v>
      </c>
      <c r="T515" s="21" t="s">
        <v>99</v>
      </c>
      <c r="W515" t="e">
        <f>INDEX(#REF!,MATCH($E515,#REF!,0))</f>
        <v>#REF!</v>
      </c>
      <c r="X515" t="e">
        <f>INDEX(#REF!,MATCH($E515,#REF!,0))</f>
        <v>#REF!</v>
      </c>
      <c r="Y515" t="e">
        <f>INDEX(#REF!,MATCH($E515,#REF!,0))</f>
        <v>#REF!</v>
      </c>
      <c r="Z515" t="e">
        <f>INDEX(#REF!,MATCH($E515,#REF!,0))</f>
        <v>#REF!</v>
      </c>
      <c r="AA515" t="e">
        <f>INDEX(#REF!,MATCH($E515,#REF!,0))</f>
        <v>#REF!</v>
      </c>
      <c r="AB515" t="e">
        <f>INDEX(#REF!,MATCH($E515,#REF!,0))</f>
        <v>#REF!</v>
      </c>
      <c r="AC515" t="e">
        <f>INDEX(#REF!,MATCH($E515,#REF!,0))</f>
        <v>#REF!</v>
      </c>
      <c r="AD515" t="e">
        <f>INDEX(#REF!,MATCH($E515,#REF!,0))</f>
        <v>#REF!</v>
      </c>
      <c r="AE515" t="e">
        <f t="shared" si="22"/>
        <v>#REF!</v>
      </c>
    </row>
    <row r="516" spans="2:31" x14ac:dyDescent="0.25">
      <c r="B516" s="45" t="s">
        <v>1813</v>
      </c>
      <c r="C516" s="45" t="s">
        <v>769</v>
      </c>
      <c r="D516" s="89" t="s">
        <v>2044</v>
      </c>
      <c r="E516" s="89">
        <v>112776</v>
      </c>
      <c r="F516" s="89">
        <v>1082</v>
      </c>
      <c r="G516" s="90">
        <v>23</v>
      </c>
      <c r="H516" s="90">
        <v>3</v>
      </c>
      <c r="I516" s="90" t="s">
        <v>26</v>
      </c>
      <c r="J516" s="90">
        <v>1</v>
      </c>
      <c r="K516" s="90" t="s">
        <v>2509</v>
      </c>
      <c r="L516" s="91">
        <v>6273</v>
      </c>
      <c r="M516" s="92"/>
      <c r="N516" s="93"/>
      <c r="P516" s="21"/>
      <c r="Q516" s="12"/>
      <c r="R516">
        <f t="shared" si="23"/>
        <v>1</v>
      </c>
      <c r="S516" s="21" t="s">
        <v>99</v>
      </c>
      <c r="T516" s="21" t="s">
        <v>99</v>
      </c>
      <c r="W516" t="e">
        <f>INDEX(#REF!,MATCH($E516,#REF!,0))</f>
        <v>#REF!</v>
      </c>
      <c r="X516" t="e">
        <f>INDEX(#REF!,MATCH($E516,#REF!,0))</f>
        <v>#REF!</v>
      </c>
      <c r="Y516" t="e">
        <f>INDEX(#REF!,MATCH($E516,#REF!,0))</f>
        <v>#REF!</v>
      </c>
      <c r="Z516" t="e">
        <f>INDEX(#REF!,MATCH($E516,#REF!,0))</f>
        <v>#REF!</v>
      </c>
      <c r="AA516" t="e">
        <f>INDEX(#REF!,MATCH($E516,#REF!,0))</f>
        <v>#REF!</v>
      </c>
      <c r="AB516" t="e">
        <f>INDEX(#REF!,MATCH($E516,#REF!,0))</f>
        <v>#REF!</v>
      </c>
      <c r="AC516" t="e">
        <f>INDEX(#REF!,MATCH($E516,#REF!,0))</f>
        <v>#REF!</v>
      </c>
      <c r="AD516" t="e">
        <f>INDEX(#REF!,MATCH($E516,#REF!,0))</f>
        <v>#REF!</v>
      </c>
      <c r="AE516" t="e">
        <f t="shared" si="22"/>
        <v>#REF!</v>
      </c>
    </row>
    <row r="517" spans="2:31" x14ac:dyDescent="0.25">
      <c r="B517" s="45" t="s">
        <v>1814</v>
      </c>
      <c r="C517" s="45" t="s">
        <v>770</v>
      </c>
      <c r="D517" s="89" t="s">
        <v>2045</v>
      </c>
      <c r="E517" s="89">
        <v>112777</v>
      </c>
      <c r="F517" s="89">
        <v>1082</v>
      </c>
      <c r="G517" s="90">
        <v>24</v>
      </c>
      <c r="H517" s="90">
        <v>3</v>
      </c>
      <c r="I517" s="90" t="s">
        <v>26</v>
      </c>
      <c r="J517" s="90">
        <v>1</v>
      </c>
      <c r="K517" s="90" t="s">
        <v>2509</v>
      </c>
      <c r="L517" s="91">
        <v>6274</v>
      </c>
      <c r="M517" s="92"/>
      <c r="N517" s="93"/>
      <c r="P517" s="21"/>
      <c r="Q517" s="12"/>
      <c r="R517">
        <f t="shared" si="23"/>
        <v>1</v>
      </c>
      <c r="S517" s="21" t="s">
        <v>99</v>
      </c>
      <c r="T517" s="21" t="s">
        <v>99</v>
      </c>
      <c r="W517" t="e">
        <f>INDEX(#REF!,MATCH($E517,#REF!,0))</f>
        <v>#REF!</v>
      </c>
      <c r="X517" t="e">
        <f>INDEX(#REF!,MATCH($E517,#REF!,0))</f>
        <v>#REF!</v>
      </c>
      <c r="Y517" t="e">
        <f>INDEX(#REF!,MATCH($E517,#REF!,0))</f>
        <v>#REF!</v>
      </c>
      <c r="Z517" t="e">
        <f>INDEX(#REF!,MATCH($E517,#REF!,0))</f>
        <v>#REF!</v>
      </c>
      <c r="AA517" t="e">
        <f>INDEX(#REF!,MATCH($E517,#REF!,0))</f>
        <v>#REF!</v>
      </c>
      <c r="AB517" t="e">
        <f>INDEX(#REF!,MATCH($E517,#REF!,0))</f>
        <v>#REF!</v>
      </c>
      <c r="AC517" t="e">
        <f>INDEX(#REF!,MATCH($E517,#REF!,0))</f>
        <v>#REF!</v>
      </c>
      <c r="AD517" t="e">
        <f>INDEX(#REF!,MATCH($E517,#REF!,0))</f>
        <v>#REF!</v>
      </c>
      <c r="AE517" t="e">
        <f t="shared" si="22"/>
        <v>#REF!</v>
      </c>
    </row>
    <row r="518" spans="2:31" x14ac:dyDescent="0.25">
      <c r="B518" s="45" t="s">
        <v>1815</v>
      </c>
      <c r="C518" s="45" t="s">
        <v>771</v>
      </c>
      <c r="D518" s="89" t="s">
        <v>2046</v>
      </c>
      <c r="E518" s="89">
        <v>112778</v>
      </c>
      <c r="F518" s="89">
        <v>1095</v>
      </c>
      <c r="G518" s="90">
        <v>0</v>
      </c>
      <c r="H518" s="90">
        <v>3</v>
      </c>
      <c r="I518" s="90" t="s">
        <v>26</v>
      </c>
      <c r="J518" s="90">
        <v>1</v>
      </c>
      <c r="K518" s="90" t="s">
        <v>2509</v>
      </c>
      <c r="L518" s="91">
        <v>6275</v>
      </c>
      <c r="M518" s="92"/>
      <c r="N518" s="93"/>
      <c r="P518" s="21"/>
      <c r="Q518" s="12"/>
      <c r="R518">
        <f t="shared" si="23"/>
        <v>1</v>
      </c>
      <c r="S518" s="21" t="s">
        <v>99</v>
      </c>
      <c r="T518" s="21" t="s">
        <v>99</v>
      </c>
      <c r="W518" t="e">
        <f>INDEX(#REF!,MATCH($E518,#REF!,0))</f>
        <v>#REF!</v>
      </c>
      <c r="X518" t="e">
        <f>INDEX(#REF!,MATCH($E518,#REF!,0))</f>
        <v>#REF!</v>
      </c>
      <c r="Y518" t="e">
        <f>INDEX(#REF!,MATCH($E518,#REF!,0))</f>
        <v>#REF!</v>
      </c>
      <c r="Z518" t="e">
        <f>INDEX(#REF!,MATCH($E518,#REF!,0))</f>
        <v>#REF!</v>
      </c>
      <c r="AA518" t="e">
        <f>INDEX(#REF!,MATCH($E518,#REF!,0))</f>
        <v>#REF!</v>
      </c>
      <c r="AB518" t="e">
        <f>INDEX(#REF!,MATCH($E518,#REF!,0))</f>
        <v>#REF!</v>
      </c>
      <c r="AC518" t="e">
        <f>INDEX(#REF!,MATCH($E518,#REF!,0))</f>
        <v>#REF!</v>
      </c>
      <c r="AD518" t="e">
        <f>INDEX(#REF!,MATCH($E518,#REF!,0))</f>
        <v>#REF!</v>
      </c>
      <c r="AE518" t="e">
        <f t="shared" si="22"/>
        <v>#REF!</v>
      </c>
    </row>
    <row r="519" spans="2:31" x14ac:dyDescent="0.25">
      <c r="B519" s="45" t="s">
        <v>1816</v>
      </c>
      <c r="C519" s="45" t="s">
        <v>772</v>
      </c>
      <c r="D519" s="89" t="s">
        <v>2047</v>
      </c>
      <c r="E519" s="89">
        <v>112779</v>
      </c>
      <c r="F519" s="89">
        <v>1095</v>
      </c>
      <c r="G519" s="90">
        <v>1</v>
      </c>
      <c r="H519" s="90">
        <v>3</v>
      </c>
      <c r="I519" s="90" t="s">
        <v>26</v>
      </c>
      <c r="J519" s="90">
        <v>1</v>
      </c>
      <c r="K519" s="90" t="s">
        <v>2509</v>
      </c>
      <c r="L519" s="91">
        <v>6276</v>
      </c>
      <c r="M519" s="92"/>
      <c r="N519" s="93"/>
      <c r="P519" s="21"/>
      <c r="Q519" s="12"/>
      <c r="R519">
        <f t="shared" si="23"/>
        <v>1</v>
      </c>
      <c r="S519" s="21" t="s">
        <v>99</v>
      </c>
      <c r="T519" s="21" t="s">
        <v>99</v>
      </c>
      <c r="W519" t="e">
        <f>INDEX(#REF!,MATCH($E519,#REF!,0))</f>
        <v>#REF!</v>
      </c>
      <c r="X519" t="e">
        <f>INDEX(#REF!,MATCH($E519,#REF!,0))</f>
        <v>#REF!</v>
      </c>
      <c r="Y519" t="e">
        <f>INDEX(#REF!,MATCH($E519,#REF!,0))</f>
        <v>#REF!</v>
      </c>
      <c r="Z519" t="e">
        <f>INDEX(#REF!,MATCH($E519,#REF!,0))</f>
        <v>#REF!</v>
      </c>
      <c r="AA519" t="e">
        <f>INDEX(#REF!,MATCH($E519,#REF!,0))</f>
        <v>#REF!</v>
      </c>
      <c r="AB519" t="e">
        <f>INDEX(#REF!,MATCH($E519,#REF!,0))</f>
        <v>#REF!</v>
      </c>
      <c r="AC519" t="e">
        <f>INDEX(#REF!,MATCH($E519,#REF!,0))</f>
        <v>#REF!</v>
      </c>
      <c r="AD519" t="e">
        <f>INDEX(#REF!,MATCH($E519,#REF!,0))</f>
        <v>#REF!</v>
      </c>
      <c r="AE519" t="e">
        <f t="shared" si="22"/>
        <v>#REF!</v>
      </c>
    </row>
    <row r="520" spans="2:31" x14ac:dyDescent="0.25">
      <c r="B520" s="45" t="s">
        <v>1817</v>
      </c>
      <c r="C520" s="45" t="s">
        <v>773</v>
      </c>
      <c r="D520" s="89" t="s">
        <v>2048</v>
      </c>
      <c r="E520" s="89">
        <v>112780</v>
      </c>
      <c r="F520" s="89">
        <v>1095</v>
      </c>
      <c r="G520" s="90">
        <v>2</v>
      </c>
      <c r="H520" s="90">
        <v>3</v>
      </c>
      <c r="I520" s="90" t="s">
        <v>26</v>
      </c>
      <c r="J520" s="90">
        <v>1</v>
      </c>
      <c r="K520" s="90" t="s">
        <v>2509</v>
      </c>
      <c r="L520" s="91">
        <v>6277</v>
      </c>
      <c r="M520" s="92"/>
      <c r="N520" s="93"/>
      <c r="P520" s="21"/>
      <c r="Q520" s="12"/>
      <c r="R520">
        <f t="shared" si="23"/>
        <v>1</v>
      </c>
      <c r="S520" s="21" t="s">
        <v>99</v>
      </c>
      <c r="T520" s="21" t="s">
        <v>99</v>
      </c>
      <c r="W520" t="e">
        <f>INDEX(#REF!,MATCH($E520,#REF!,0))</f>
        <v>#REF!</v>
      </c>
      <c r="X520" t="e">
        <f>INDEX(#REF!,MATCH($E520,#REF!,0))</f>
        <v>#REF!</v>
      </c>
      <c r="Y520" t="e">
        <f>INDEX(#REF!,MATCH($E520,#REF!,0))</f>
        <v>#REF!</v>
      </c>
      <c r="Z520" t="e">
        <f>INDEX(#REF!,MATCH($E520,#REF!,0))</f>
        <v>#REF!</v>
      </c>
      <c r="AA520" t="e">
        <f>INDEX(#REF!,MATCH($E520,#REF!,0))</f>
        <v>#REF!</v>
      </c>
      <c r="AB520" t="e">
        <f>INDEX(#REF!,MATCH($E520,#REF!,0))</f>
        <v>#REF!</v>
      </c>
      <c r="AC520" t="e">
        <f>INDEX(#REF!,MATCH($E520,#REF!,0))</f>
        <v>#REF!</v>
      </c>
      <c r="AD520" t="e">
        <f>INDEX(#REF!,MATCH($E520,#REF!,0))</f>
        <v>#REF!</v>
      </c>
      <c r="AE520" t="e">
        <f t="shared" si="22"/>
        <v>#REF!</v>
      </c>
    </row>
    <row r="521" spans="2:31" x14ac:dyDescent="0.25">
      <c r="B521" s="45" t="s">
        <v>1818</v>
      </c>
      <c r="C521" s="45" t="s">
        <v>774</v>
      </c>
      <c r="D521" s="89" t="s">
        <v>2049</v>
      </c>
      <c r="E521" s="89">
        <v>112781</v>
      </c>
      <c r="F521" s="89">
        <v>1095</v>
      </c>
      <c r="G521" s="90">
        <v>3</v>
      </c>
      <c r="H521" s="90">
        <v>3</v>
      </c>
      <c r="I521" s="90" t="s">
        <v>26</v>
      </c>
      <c r="J521" s="90">
        <v>1</v>
      </c>
      <c r="K521" s="90" t="s">
        <v>2509</v>
      </c>
      <c r="L521" s="91">
        <v>6278</v>
      </c>
      <c r="M521" s="92"/>
      <c r="N521" s="93"/>
      <c r="P521" s="21"/>
      <c r="Q521" s="12"/>
      <c r="R521">
        <f t="shared" si="23"/>
        <v>1</v>
      </c>
      <c r="S521" s="21" t="s">
        <v>99</v>
      </c>
      <c r="T521" s="21" t="s">
        <v>99</v>
      </c>
      <c r="W521" t="e">
        <f>INDEX(#REF!,MATCH($E521,#REF!,0))</f>
        <v>#REF!</v>
      </c>
      <c r="X521" t="e">
        <f>INDEX(#REF!,MATCH($E521,#REF!,0))</f>
        <v>#REF!</v>
      </c>
      <c r="Y521" t="e">
        <f>INDEX(#REF!,MATCH($E521,#REF!,0))</f>
        <v>#REF!</v>
      </c>
      <c r="Z521" t="e">
        <f>INDEX(#REF!,MATCH($E521,#REF!,0))</f>
        <v>#REF!</v>
      </c>
      <c r="AA521" t="e">
        <f>INDEX(#REF!,MATCH($E521,#REF!,0))</f>
        <v>#REF!</v>
      </c>
      <c r="AB521" t="e">
        <f>INDEX(#REF!,MATCH($E521,#REF!,0))</f>
        <v>#REF!</v>
      </c>
      <c r="AC521" t="e">
        <f>INDEX(#REF!,MATCH($E521,#REF!,0))</f>
        <v>#REF!</v>
      </c>
      <c r="AD521" t="e">
        <f>INDEX(#REF!,MATCH($E521,#REF!,0))</f>
        <v>#REF!</v>
      </c>
      <c r="AE521" t="e">
        <f t="shared" si="22"/>
        <v>#REF!</v>
      </c>
    </row>
    <row r="522" spans="2:31" x14ac:dyDescent="0.25">
      <c r="B522" s="45" t="s">
        <v>1819</v>
      </c>
      <c r="C522" s="45" t="s">
        <v>775</v>
      </c>
      <c r="D522" s="89" t="s">
        <v>2050</v>
      </c>
      <c r="E522" s="89">
        <v>112782</v>
      </c>
      <c r="F522" s="89">
        <v>1095</v>
      </c>
      <c r="G522" s="90">
        <v>4</v>
      </c>
      <c r="H522" s="90">
        <v>3</v>
      </c>
      <c r="I522" s="90" t="s">
        <v>26</v>
      </c>
      <c r="J522" s="90">
        <v>1</v>
      </c>
      <c r="K522" s="90" t="s">
        <v>2509</v>
      </c>
      <c r="L522" s="91">
        <v>6279</v>
      </c>
      <c r="M522" s="92"/>
      <c r="N522" s="93"/>
      <c r="P522" s="21"/>
      <c r="Q522" s="12"/>
      <c r="R522">
        <f t="shared" si="23"/>
        <v>1</v>
      </c>
      <c r="S522" s="21" t="s">
        <v>99</v>
      </c>
      <c r="T522" s="21" t="s">
        <v>99</v>
      </c>
      <c r="W522" t="e">
        <f>INDEX(#REF!,MATCH($E522,#REF!,0))</f>
        <v>#REF!</v>
      </c>
      <c r="X522" t="e">
        <f>INDEX(#REF!,MATCH($E522,#REF!,0))</f>
        <v>#REF!</v>
      </c>
      <c r="Y522" t="e">
        <f>INDEX(#REF!,MATCH($E522,#REF!,0))</f>
        <v>#REF!</v>
      </c>
      <c r="Z522" t="e">
        <f>INDEX(#REF!,MATCH($E522,#REF!,0))</f>
        <v>#REF!</v>
      </c>
      <c r="AA522" t="e">
        <f>INDEX(#REF!,MATCH($E522,#REF!,0))</f>
        <v>#REF!</v>
      </c>
      <c r="AB522" t="e">
        <f>INDEX(#REF!,MATCH($E522,#REF!,0))</f>
        <v>#REF!</v>
      </c>
      <c r="AC522" t="e">
        <f>INDEX(#REF!,MATCH($E522,#REF!,0))</f>
        <v>#REF!</v>
      </c>
      <c r="AD522" t="e">
        <f>INDEX(#REF!,MATCH($E522,#REF!,0))</f>
        <v>#REF!</v>
      </c>
      <c r="AE522" t="e">
        <f t="shared" si="22"/>
        <v>#REF!</v>
      </c>
    </row>
    <row r="523" spans="2:31" x14ac:dyDescent="0.25">
      <c r="B523" s="45" t="s">
        <v>1820</v>
      </c>
      <c r="C523" s="45" t="s">
        <v>776</v>
      </c>
      <c r="D523" s="89" t="s">
        <v>2051</v>
      </c>
      <c r="E523" s="89">
        <v>112783</v>
      </c>
      <c r="F523" s="89">
        <v>1095</v>
      </c>
      <c r="G523" s="90">
        <v>5</v>
      </c>
      <c r="H523" s="90">
        <v>3</v>
      </c>
      <c r="I523" s="90" t="s">
        <v>26</v>
      </c>
      <c r="J523" s="90">
        <v>1</v>
      </c>
      <c r="K523" s="90" t="s">
        <v>2509</v>
      </c>
      <c r="L523" s="91">
        <v>6280</v>
      </c>
      <c r="M523" s="92"/>
      <c r="N523" s="93"/>
      <c r="P523" s="21"/>
      <c r="Q523" s="12"/>
      <c r="R523">
        <f t="shared" si="23"/>
        <v>1</v>
      </c>
      <c r="S523" s="21" t="s">
        <v>99</v>
      </c>
      <c r="T523" s="21" t="s">
        <v>99</v>
      </c>
      <c r="W523" t="e">
        <f>INDEX(#REF!,MATCH($E523,#REF!,0))</f>
        <v>#REF!</v>
      </c>
      <c r="X523" t="e">
        <f>INDEX(#REF!,MATCH($E523,#REF!,0))</f>
        <v>#REF!</v>
      </c>
      <c r="Y523" t="e">
        <f>INDEX(#REF!,MATCH($E523,#REF!,0))</f>
        <v>#REF!</v>
      </c>
      <c r="Z523" t="e">
        <f>INDEX(#REF!,MATCH($E523,#REF!,0))</f>
        <v>#REF!</v>
      </c>
      <c r="AA523" t="e">
        <f>INDEX(#REF!,MATCH($E523,#REF!,0))</f>
        <v>#REF!</v>
      </c>
      <c r="AB523" t="e">
        <f>INDEX(#REF!,MATCH($E523,#REF!,0))</f>
        <v>#REF!</v>
      </c>
      <c r="AC523" t="e">
        <f>INDEX(#REF!,MATCH($E523,#REF!,0))</f>
        <v>#REF!</v>
      </c>
      <c r="AD523" t="e">
        <f>INDEX(#REF!,MATCH($E523,#REF!,0))</f>
        <v>#REF!</v>
      </c>
      <c r="AE523" t="e">
        <f t="shared" si="22"/>
        <v>#REF!</v>
      </c>
    </row>
    <row r="524" spans="2:31" x14ac:dyDescent="0.25">
      <c r="B524" s="45" t="s">
        <v>1821</v>
      </c>
      <c r="C524" s="45" t="s">
        <v>777</v>
      </c>
      <c r="D524" s="89" t="s">
        <v>2052</v>
      </c>
      <c r="E524" s="89">
        <v>112784</v>
      </c>
      <c r="F524" s="89">
        <v>1095</v>
      </c>
      <c r="G524" s="90">
        <v>6</v>
      </c>
      <c r="H524" s="90">
        <v>3</v>
      </c>
      <c r="I524" s="90" t="s">
        <v>26</v>
      </c>
      <c r="J524" s="90">
        <v>1</v>
      </c>
      <c r="K524" s="90" t="s">
        <v>2509</v>
      </c>
      <c r="L524" s="91">
        <v>6281</v>
      </c>
      <c r="M524" s="92"/>
      <c r="N524" s="93"/>
      <c r="P524" s="21"/>
      <c r="Q524" s="12"/>
      <c r="R524">
        <f t="shared" si="23"/>
        <v>1</v>
      </c>
      <c r="S524" s="21" t="s">
        <v>99</v>
      </c>
      <c r="T524" s="21" t="s">
        <v>99</v>
      </c>
      <c r="W524" t="e">
        <f>INDEX(#REF!,MATCH($E524,#REF!,0))</f>
        <v>#REF!</v>
      </c>
      <c r="X524" t="e">
        <f>INDEX(#REF!,MATCH($E524,#REF!,0))</f>
        <v>#REF!</v>
      </c>
      <c r="Y524" t="e">
        <f>INDEX(#REF!,MATCH($E524,#REF!,0))</f>
        <v>#REF!</v>
      </c>
      <c r="Z524" t="e">
        <f>INDEX(#REF!,MATCH($E524,#REF!,0))</f>
        <v>#REF!</v>
      </c>
      <c r="AA524" t="e">
        <f>INDEX(#REF!,MATCH($E524,#REF!,0))</f>
        <v>#REF!</v>
      </c>
      <c r="AB524" t="e">
        <f>INDEX(#REF!,MATCH($E524,#REF!,0))</f>
        <v>#REF!</v>
      </c>
      <c r="AC524" t="e">
        <f>INDEX(#REF!,MATCH($E524,#REF!,0))</f>
        <v>#REF!</v>
      </c>
      <c r="AD524" t="e">
        <f>INDEX(#REF!,MATCH($E524,#REF!,0))</f>
        <v>#REF!</v>
      </c>
      <c r="AE524" t="e">
        <f t="shared" si="22"/>
        <v>#REF!</v>
      </c>
    </row>
    <row r="525" spans="2:31" x14ac:dyDescent="0.25">
      <c r="B525" s="45" t="s">
        <v>1822</v>
      </c>
      <c r="C525" s="45" t="s">
        <v>778</v>
      </c>
      <c r="D525" s="89" t="s">
        <v>2053</v>
      </c>
      <c r="E525" s="89">
        <v>112785</v>
      </c>
      <c r="F525" s="89">
        <v>1095</v>
      </c>
      <c r="G525" s="90">
        <v>7</v>
      </c>
      <c r="H525" s="90">
        <v>3</v>
      </c>
      <c r="I525" s="90" t="s">
        <v>26</v>
      </c>
      <c r="J525" s="90">
        <v>1</v>
      </c>
      <c r="K525" s="90" t="s">
        <v>2509</v>
      </c>
      <c r="L525" s="91">
        <v>6282</v>
      </c>
      <c r="M525" s="92"/>
      <c r="N525" s="93"/>
      <c r="P525" s="21"/>
      <c r="Q525" s="12"/>
      <c r="R525">
        <f t="shared" si="23"/>
        <v>1</v>
      </c>
      <c r="S525" s="21" t="s">
        <v>99</v>
      </c>
      <c r="T525" s="21" t="s">
        <v>99</v>
      </c>
      <c r="W525" t="e">
        <f>INDEX(#REF!,MATCH($E525,#REF!,0))</f>
        <v>#REF!</v>
      </c>
      <c r="X525" t="e">
        <f>INDEX(#REF!,MATCH($E525,#REF!,0))</f>
        <v>#REF!</v>
      </c>
      <c r="Y525" t="e">
        <f>INDEX(#REF!,MATCH($E525,#REF!,0))</f>
        <v>#REF!</v>
      </c>
      <c r="Z525" t="e">
        <f>INDEX(#REF!,MATCH($E525,#REF!,0))</f>
        <v>#REF!</v>
      </c>
      <c r="AA525" t="e">
        <f>INDEX(#REF!,MATCH($E525,#REF!,0))</f>
        <v>#REF!</v>
      </c>
      <c r="AB525" t="e">
        <f>INDEX(#REF!,MATCH($E525,#REF!,0))</f>
        <v>#REF!</v>
      </c>
      <c r="AC525" t="e">
        <f>INDEX(#REF!,MATCH($E525,#REF!,0))</f>
        <v>#REF!</v>
      </c>
      <c r="AD525" t="e">
        <f>INDEX(#REF!,MATCH($E525,#REF!,0))</f>
        <v>#REF!</v>
      </c>
      <c r="AE525" t="e">
        <f t="shared" si="22"/>
        <v>#REF!</v>
      </c>
    </row>
    <row r="526" spans="2:31" x14ac:dyDescent="0.25">
      <c r="B526" s="45" t="s">
        <v>1823</v>
      </c>
      <c r="C526" s="45" t="s">
        <v>779</v>
      </c>
      <c r="D526" s="89" t="s">
        <v>2054</v>
      </c>
      <c r="E526" s="89">
        <v>112786</v>
      </c>
      <c r="F526" s="89">
        <v>1095</v>
      </c>
      <c r="G526" s="90">
        <v>8</v>
      </c>
      <c r="H526" s="90">
        <v>3</v>
      </c>
      <c r="I526" s="90" t="s">
        <v>26</v>
      </c>
      <c r="J526" s="90">
        <v>1</v>
      </c>
      <c r="K526" s="90" t="s">
        <v>2509</v>
      </c>
      <c r="L526" s="91">
        <v>6283</v>
      </c>
      <c r="M526" s="92"/>
      <c r="N526" s="93"/>
      <c r="P526" s="21"/>
      <c r="Q526" s="12"/>
      <c r="R526">
        <f t="shared" si="23"/>
        <v>1</v>
      </c>
      <c r="S526" s="21" t="s">
        <v>99</v>
      </c>
      <c r="T526" s="21" t="s">
        <v>99</v>
      </c>
      <c r="W526" t="e">
        <f>INDEX(#REF!,MATCH($E526,#REF!,0))</f>
        <v>#REF!</v>
      </c>
      <c r="X526" t="e">
        <f>INDEX(#REF!,MATCH($E526,#REF!,0))</f>
        <v>#REF!</v>
      </c>
      <c r="Y526" t="e">
        <f>INDEX(#REF!,MATCH($E526,#REF!,0))</f>
        <v>#REF!</v>
      </c>
      <c r="Z526" t="e">
        <f>INDEX(#REF!,MATCH($E526,#REF!,0))</f>
        <v>#REF!</v>
      </c>
      <c r="AA526" t="e">
        <f>INDEX(#REF!,MATCH($E526,#REF!,0))</f>
        <v>#REF!</v>
      </c>
      <c r="AB526" t="e">
        <f>INDEX(#REF!,MATCH($E526,#REF!,0))</f>
        <v>#REF!</v>
      </c>
      <c r="AC526" t="e">
        <f>INDEX(#REF!,MATCH($E526,#REF!,0))</f>
        <v>#REF!</v>
      </c>
      <c r="AD526" t="e">
        <f>INDEX(#REF!,MATCH($E526,#REF!,0))</f>
        <v>#REF!</v>
      </c>
      <c r="AE526" t="e">
        <f t="shared" si="22"/>
        <v>#REF!</v>
      </c>
    </row>
    <row r="527" spans="2:31" x14ac:dyDescent="0.25">
      <c r="B527" s="45" t="s">
        <v>1824</v>
      </c>
      <c r="C527" s="45" t="s">
        <v>780</v>
      </c>
      <c r="D527" s="89" t="s">
        <v>2055</v>
      </c>
      <c r="E527" s="89">
        <v>112787</v>
      </c>
      <c r="F527" s="89">
        <v>1095</v>
      </c>
      <c r="G527" s="90">
        <v>9</v>
      </c>
      <c r="H527" s="90">
        <v>3</v>
      </c>
      <c r="I527" s="90" t="s">
        <v>26</v>
      </c>
      <c r="J527" s="90">
        <v>1</v>
      </c>
      <c r="K527" s="90" t="s">
        <v>2509</v>
      </c>
      <c r="L527" s="91">
        <v>6284</v>
      </c>
      <c r="M527" s="92"/>
      <c r="N527" s="93"/>
      <c r="P527" s="21"/>
      <c r="Q527" s="12"/>
      <c r="R527">
        <f t="shared" si="23"/>
        <v>1</v>
      </c>
      <c r="S527" s="21" t="s">
        <v>99</v>
      </c>
      <c r="T527" s="21" t="s">
        <v>99</v>
      </c>
      <c r="W527" t="e">
        <f>INDEX(#REF!,MATCH($E527,#REF!,0))</f>
        <v>#REF!</v>
      </c>
      <c r="X527" t="e">
        <f>INDEX(#REF!,MATCH($E527,#REF!,0))</f>
        <v>#REF!</v>
      </c>
      <c r="Y527" t="e">
        <f>INDEX(#REF!,MATCH($E527,#REF!,0))</f>
        <v>#REF!</v>
      </c>
      <c r="Z527" t="e">
        <f>INDEX(#REF!,MATCH($E527,#REF!,0))</f>
        <v>#REF!</v>
      </c>
      <c r="AA527" t="e">
        <f>INDEX(#REF!,MATCH($E527,#REF!,0))</f>
        <v>#REF!</v>
      </c>
      <c r="AB527" t="e">
        <f>INDEX(#REF!,MATCH($E527,#REF!,0))</f>
        <v>#REF!</v>
      </c>
      <c r="AC527" t="e">
        <f>INDEX(#REF!,MATCH($E527,#REF!,0))</f>
        <v>#REF!</v>
      </c>
      <c r="AD527" t="e">
        <f>INDEX(#REF!,MATCH($E527,#REF!,0))</f>
        <v>#REF!</v>
      </c>
      <c r="AE527" t="e">
        <f t="shared" si="22"/>
        <v>#REF!</v>
      </c>
    </row>
    <row r="528" spans="2:31" x14ac:dyDescent="0.25">
      <c r="B528" s="45" t="s">
        <v>1825</v>
      </c>
      <c r="C528" s="45" t="s">
        <v>781</v>
      </c>
      <c r="D528" s="89" t="s">
        <v>2056</v>
      </c>
      <c r="E528" s="89">
        <v>112788</v>
      </c>
      <c r="F528" s="89">
        <v>1095</v>
      </c>
      <c r="G528" s="90">
        <v>10</v>
      </c>
      <c r="H528" s="90">
        <v>3</v>
      </c>
      <c r="I528" s="90" t="s">
        <v>26</v>
      </c>
      <c r="J528" s="90">
        <v>1</v>
      </c>
      <c r="K528" s="90" t="s">
        <v>2509</v>
      </c>
      <c r="L528" s="91">
        <v>6285</v>
      </c>
      <c r="M528" s="92"/>
      <c r="N528" s="93"/>
      <c r="P528" s="21"/>
      <c r="Q528" s="12"/>
      <c r="R528">
        <f t="shared" si="23"/>
        <v>1</v>
      </c>
      <c r="S528" s="21" t="s">
        <v>99</v>
      </c>
      <c r="T528" s="21" t="s">
        <v>99</v>
      </c>
      <c r="W528" t="e">
        <f>INDEX(#REF!,MATCH($E528,#REF!,0))</f>
        <v>#REF!</v>
      </c>
      <c r="X528" t="e">
        <f>INDEX(#REF!,MATCH($E528,#REF!,0))</f>
        <v>#REF!</v>
      </c>
      <c r="Y528" t="e">
        <f>INDEX(#REF!,MATCH($E528,#REF!,0))</f>
        <v>#REF!</v>
      </c>
      <c r="Z528" t="e">
        <f>INDEX(#REF!,MATCH($E528,#REF!,0))</f>
        <v>#REF!</v>
      </c>
      <c r="AA528" t="e">
        <f>INDEX(#REF!,MATCH($E528,#REF!,0))</f>
        <v>#REF!</v>
      </c>
      <c r="AB528" t="e">
        <f>INDEX(#REF!,MATCH($E528,#REF!,0))</f>
        <v>#REF!</v>
      </c>
      <c r="AC528" t="e">
        <f>INDEX(#REF!,MATCH($E528,#REF!,0))</f>
        <v>#REF!</v>
      </c>
      <c r="AD528" t="e">
        <f>INDEX(#REF!,MATCH($E528,#REF!,0))</f>
        <v>#REF!</v>
      </c>
      <c r="AE528" t="e">
        <f t="shared" si="22"/>
        <v>#REF!</v>
      </c>
    </row>
    <row r="529" spans="2:31" x14ac:dyDescent="0.25">
      <c r="B529" s="45" t="s">
        <v>1826</v>
      </c>
      <c r="C529" s="45" t="s">
        <v>782</v>
      </c>
      <c r="D529" s="89" t="s">
        <v>2057</v>
      </c>
      <c r="E529" s="89">
        <v>112789</v>
      </c>
      <c r="F529" s="89">
        <v>1095</v>
      </c>
      <c r="G529" s="90">
        <v>11</v>
      </c>
      <c r="H529" s="90">
        <v>3</v>
      </c>
      <c r="I529" s="90" t="s">
        <v>26</v>
      </c>
      <c r="J529" s="90">
        <v>1</v>
      </c>
      <c r="K529" s="90" t="s">
        <v>2509</v>
      </c>
      <c r="L529" s="91">
        <v>6286</v>
      </c>
      <c r="M529" s="92"/>
      <c r="N529" s="93"/>
      <c r="P529" s="21"/>
      <c r="Q529" s="12"/>
      <c r="R529">
        <f t="shared" si="23"/>
        <v>1</v>
      </c>
      <c r="S529" s="21" t="s">
        <v>99</v>
      </c>
      <c r="T529" s="21" t="s">
        <v>99</v>
      </c>
      <c r="W529" t="e">
        <f>INDEX(#REF!,MATCH($E529,#REF!,0))</f>
        <v>#REF!</v>
      </c>
      <c r="X529" t="e">
        <f>INDEX(#REF!,MATCH($E529,#REF!,0))</f>
        <v>#REF!</v>
      </c>
      <c r="Y529" t="e">
        <f>INDEX(#REF!,MATCH($E529,#REF!,0))</f>
        <v>#REF!</v>
      </c>
      <c r="Z529" t="e">
        <f>INDEX(#REF!,MATCH($E529,#REF!,0))</f>
        <v>#REF!</v>
      </c>
      <c r="AA529" t="e">
        <f>INDEX(#REF!,MATCH($E529,#REF!,0))</f>
        <v>#REF!</v>
      </c>
      <c r="AB529" t="e">
        <f>INDEX(#REF!,MATCH($E529,#REF!,0))</f>
        <v>#REF!</v>
      </c>
      <c r="AC529" t="e">
        <f>INDEX(#REF!,MATCH($E529,#REF!,0))</f>
        <v>#REF!</v>
      </c>
      <c r="AD529" t="e">
        <f>INDEX(#REF!,MATCH($E529,#REF!,0))</f>
        <v>#REF!</v>
      </c>
      <c r="AE529" t="e">
        <f t="shared" si="22"/>
        <v>#REF!</v>
      </c>
    </row>
    <row r="530" spans="2:31" x14ac:dyDescent="0.25">
      <c r="B530" s="45" t="s">
        <v>1827</v>
      </c>
      <c r="C530" s="45" t="s">
        <v>783</v>
      </c>
      <c r="D530" s="89" t="s">
        <v>2058</v>
      </c>
      <c r="E530" s="89">
        <v>112790</v>
      </c>
      <c r="F530" s="89">
        <v>1095</v>
      </c>
      <c r="G530" s="90">
        <v>12</v>
      </c>
      <c r="H530" s="90">
        <v>3</v>
      </c>
      <c r="I530" s="90" t="s">
        <v>26</v>
      </c>
      <c r="J530" s="90">
        <v>1</v>
      </c>
      <c r="K530" s="90" t="s">
        <v>2509</v>
      </c>
      <c r="L530" s="91">
        <v>6287</v>
      </c>
      <c r="M530" s="92"/>
      <c r="N530" s="93"/>
      <c r="P530" s="21"/>
      <c r="Q530" s="12"/>
      <c r="R530">
        <f t="shared" si="23"/>
        <v>1</v>
      </c>
      <c r="S530" s="21" t="s">
        <v>99</v>
      </c>
      <c r="T530" s="21" t="s">
        <v>99</v>
      </c>
      <c r="W530" t="e">
        <f>INDEX(#REF!,MATCH($E530,#REF!,0))</f>
        <v>#REF!</v>
      </c>
      <c r="X530" t="e">
        <f>INDEX(#REF!,MATCH($E530,#REF!,0))</f>
        <v>#REF!</v>
      </c>
      <c r="Y530" t="e">
        <f>INDEX(#REF!,MATCH($E530,#REF!,0))</f>
        <v>#REF!</v>
      </c>
      <c r="Z530" t="e">
        <f>INDEX(#REF!,MATCH($E530,#REF!,0))</f>
        <v>#REF!</v>
      </c>
      <c r="AA530" t="e">
        <f>INDEX(#REF!,MATCH($E530,#REF!,0))</f>
        <v>#REF!</v>
      </c>
      <c r="AB530" t="e">
        <f>INDEX(#REF!,MATCH($E530,#REF!,0))</f>
        <v>#REF!</v>
      </c>
      <c r="AC530" t="e">
        <f>INDEX(#REF!,MATCH($E530,#REF!,0))</f>
        <v>#REF!</v>
      </c>
      <c r="AD530" t="e">
        <f>INDEX(#REF!,MATCH($E530,#REF!,0))</f>
        <v>#REF!</v>
      </c>
      <c r="AE530" t="e">
        <f t="shared" si="22"/>
        <v>#REF!</v>
      </c>
    </row>
    <row r="531" spans="2:31" x14ac:dyDescent="0.25">
      <c r="B531" s="45" t="s">
        <v>1828</v>
      </c>
      <c r="C531" s="45" t="s">
        <v>785</v>
      </c>
      <c r="D531" s="89" t="s">
        <v>784</v>
      </c>
      <c r="E531" s="89">
        <v>112801</v>
      </c>
      <c r="F531" s="89">
        <v>1081</v>
      </c>
      <c r="G531" s="90">
        <v>19</v>
      </c>
      <c r="H531" s="90">
        <v>3</v>
      </c>
      <c r="I531" s="90" t="s">
        <v>210</v>
      </c>
      <c r="J531" s="90">
        <v>100</v>
      </c>
      <c r="K531" s="90">
        <v>0</v>
      </c>
      <c r="L531" s="91"/>
      <c r="M531" s="92"/>
      <c r="N531" s="93"/>
      <c r="P531" s="21"/>
      <c r="Q531" s="12"/>
      <c r="R531">
        <f t="shared" si="23"/>
        <v>1</v>
      </c>
      <c r="S531" s="21" t="s">
        <v>99</v>
      </c>
      <c r="T531" s="21" t="s">
        <v>99</v>
      </c>
      <c r="W531" t="e">
        <f>INDEX(#REF!,MATCH($E531,#REF!,0))</f>
        <v>#REF!</v>
      </c>
      <c r="X531" t="e">
        <f>INDEX(#REF!,MATCH($E531,#REF!,0))</f>
        <v>#REF!</v>
      </c>
      <c r="Y531" t="e">
        <f>INDEX(#REF!,MATCH($E531,#REF!,0))</f>
        <v>#REF!</v>
      </c>
      <c r="Z531" t="e">
        <f>INDEX(#REF!,MATCH($E531,#REF!,0))</f>
        <v>#REF!</v>
      </c>
      <c r="AA531" t="e">
        <f>INDEX(#REF!,MATCH($E531,#REF!,0))</f>
        <v>#REF!</v>
      </c>
      <c r="AB531" t="e">
        <f>INDEX(#REF!,MATCH($E531,#REF!,0))</f>
        <v>#REF!</v>
      </c>
      <c r="AC531" t="e">
        <f>INDEX(#REF!,MATCH($E531,#REF!,0))</f>
        <v>#REF!</v>
      </c>
      <c r="AD531" t="e">
        <f>INDEX(#REF!,MATCH($E531,#REF!,0))</f>
        <v>#REF!</v>
      </c>
      <c r="AE531" t="e">
        <f t="shared" si="22"/>
        <v>#REF!</v>
      </c>
    </row>
    <row r="532" spans="2:31" x14ac:dyDescent="0.25">
      <c r="B532" s="45" t="s">
        <v>1829</v>
      </c>
      <c r="C532" s="45" t="s">
        <v>787</v>
      </c>
      <c r="D532" s="89" t="s">
        <v>786</v>
      </c>
      <c r="E532" s="89">
        <v>112802</v>
      </c>
      <c r="F532" s="89">
        <v>1081</v>
      </c>
      <c r="G532" s="90">
        <v>20</v>
      </c>
      <c r="H532" s="90">
        <v>3</v>
      </c>
      <c r="I532" s="90" t="s">
        <v>210</v>
      </c>
      <c r="J532" s="90">
        <v>100</v>
      </c>
      <c r="K532" s="90">
        <v>0</v>
      </c>
      <c r="L532" s="91"/>
      <c r="M532" s="92"/>
      <c r="N532" s="93"/>
      <c r="P532" s="21"/>
      <c r="Q532" s="12"/>
      <c r="R532">
        <f t="shared" si="23"/>
        <v>1</v>
      </c>
      <c r="S532" s="21" t="s">
        <v>99</v>
      </c>
      <c r="T532" s="21" t="s">
        <v>99</v>
      </c>
      <c r="W532" t="e">
        <f>INDEX(#REF!,MATCH($E532,#REF!,0))</f>
        <v>#REF!</v>
      </c>
      <c r="X532" t="e">
        <f>INDEX(#REF!,MATCH($E532,#REF!,0))</f>
        <v>#REF!</v>
      </c>
      <c r="Y532" t="e">
        <f>INDEX(#REF!,MATCH($E532,#REF!,0))</f>
        <v>#REF!</v>
      </c>
      <c r="Z532" t="e">
        <f>INDEX(#REF!,MATCH($E532,#REF!,0))</f>
        <v>#REF!</v>
      </c>
      <c r="AA532" t="e">
        <f>INDEX(#REF!,MATCH($E532,#REF!,0))</f>
        <v>#REF!</v>
      </c>
      <c r="AB532" t="e">
        <f>INDEX(#REF!,MATCH($E532,#REF!,0))</f>
        <v>#REF!</v>
      </c>
      <c r="AC532" t="e">
        <f>INDEX(#REF!,MATCH($E532,#REF!,0))</f>
        <v>#REF!</v>
      </c>
      <c r="AD532" t="e">
        <f>INDEX(#REF!,MATCH($E532,#REF!,0))</f>
        <v>#REF!</v>
      </c>
      <c r="AE532" t="e">
        <f t="shared" ref="AE532:AE595" si="24">AND(X532=F532,G532=Y532,AC532=J532,AD532=H532)</f>
        <v>#REF!</v>
      </c>
    </row>
    <row r="533" spans="2:31" x14ac:dyDescent="0.25">
      <c r="B533" s="45" t="s">
        <v>1830</v>
      </c>
      <c r="C533" s="45" t="s">
        <v>789</v>
      </c>
      <c r="D533" s="89" t="s">
        <v>788</v>
      </c>
      <c r="E533" s="89">
        <v>112803</v>
      </c>
      <c r="F533" s="89">
        <v>1081</v>
      </c>
      <c r="G533" s="90">
        <v>21</v>
      </c>
      <c r="H533" s="90">
        <v>3</v>
      </c>
      <c r="I533" s="90" t="s">
        <v>210</v>
      </c>
      <c r="J533" s="90">
        <v>100</v>
      </c>
      <c r="K533" s="90">
        <v>0</v>
      </c>
      <c r="L533" s="91"/>
      <c r="M533" s="92"/>
      <c r="N533" s="93"/>
      <c r="P533" s="21"/>
      <c r="Q533" s="12"/>
      <c r="R533">
        <f t="shared" si="23"/>
        <v>1</v>
      </c>
      <c r="S533" s="21" t="s">
        <v>99</v>
      </c>
      <c r="T533" s="21" t="s">
        <v>99</v>
      </c>
      <c r="W533" t="e">
        <f>INDEX(#REF!,MATCH($E533,#REF!,0))</f>
        <v>#REF!</v>
      </c>
      <c r="X533" t="e">
        <f>INDEX(#REF!,MATCH($E533,#REF!,0))</f>
        <v>#REF!</v>
      </c>
      <c r="Y533" t="e">
        <f>INDEX(#REF!,MATCH($E533,#REF!,0))</f>
        <v>#REF!</v>
      </c>
      <c r="Z533" t="e">
        <f>INDEX(#REF!,MATCH($E533,#REF!,0))</f>
        <v>#REF!</v>
      </c>
      <c r="AA533" t="e">
        <f>INDEX(#REF!,MATCH($E533,#REF!,0))</f>
        <v>#REF!</v>
      </c>
      <c r="AB533" t="e">
        <f>INDEX(#REF!,MATCH($E533,#REF!,0))</f>
        <v>#REF!</v>
      </c>
      <c r="AC533" t="e">
        <f>INDEX(#REF!,MATCH($E533,#REF!,0))</f>
        <v>#REF!</v>
      </c>
      <c r="AD533" t="e">
        <f>INDEX(#REF!,MATCH($E533,#REF!,0))</f>
        <v>#REF!</v>
      </c>
      <c r="AE533" t="e">
        <f t="shared" si="24"/>
        <v>#REF!</v>
      </c>
    </row>
    <row r="534" spans="2:31" x14ac:dyDescent="0.25">
      <c r="B534" s="45" t="s">
        <v>1831</v>
      </c>
      <c r="C534" s="45" t="s">
        <v>791</v>
      </c>
      <c r="D534" s="89" t="s">
        <v>790</v>
      </c>
      <c r="E534" s="89">
        <v>112804</v>
      </c>
      <c r="F534" s="89">
        <v>1081</v>
      </c>
      <c r="G534" s="90">
        <v>22</v>
      </c>
      <c r="H534" s="90">
        <v>3</v>
      </c>
      <c r="I534" s="90" t="s">
        <v>210</v>
      </c>
      <c r="J534" s="90">
        <v>100</v>
      </c>
      <c r="K534" s="90">
        <v>0</v>
      </c>
      <c r="L534" s="91"/>
      <c r="M534" s="92"/>
      <c r="N534" s="93"/>
      <c r="P534" s="21"/>
      <c r="Q534" s="12"/>
      <c r="R534">
        <f t="shared" si="23"/>
        <v>1</v>
      </c>
      <c r="S534" s="21" t="s">
        <v>99</v>
      </c>
      <c r="T534" s="21" t="s">
        <v>99</v>
      </c>
      <c r="W534" t="e">
        <f>INDEX(#REF!,MATCH($E534,#REF!,0))</f>
        <v>#REF!</v>
      </c>
      <c r="X534" t="e">
        <f>INDEX(#REF!,MATCH($E534,#REF!,0))</f>
        <v>#REF!</v>
      </c>
      <c r="Y534" t="e">
        <f>INDEX(#REF!,MATCH($E534,#REF!,0))</f>
        <v>#REF!</v>
      </c>
      <c r="Z534" t="e">
        <f>INDEX(#REF!,MATCH($E534,#REF!,0))</f>
        <v>#REF!</v>
      </c>
      <c r="AA534" t="e">
        <f>INDEX(#REF!,MATCH($E534,#REF!,0))</f>
        <v>#REF!</v>
      </c>
      <c r="AB534" t="e">
        <f>INDEX(#REF!,MATCH($E534,#REF!,0))</f>
        <v>#REF!</v>
      </c>
      <c r="AC534" t="e">
        <f>INDEX(#REF!,MATCH($E534,#REF!,0))</f>
        <v>#REF!</v>
      </c>
      <c r="AD534" t="e">
        <f>INDEX(#REF!,MATCH($E534,#REF!,0))</f>
        <v>#REF!</v>
      </c>
      <c r="AE534" t="e">
        <f t="shared" si="24"/>
        <v>#REF!</v>
      </c>
    </row>
    <row r="535" spans="2:31" x14ac:dyDescent="0.25">
      <c r="B535" s="45" t="s">
        <v>1832</v>
      </c>
      <c r="C535" s="45" t="s">
        <v>793</v>
      </c>
      <c r="D535" s="89" t="s">
        <v>792</v>
      </c>
      <c r="E535" s="89">
        <v>112805</v>
      </c>
      <c r="F535" s="89">
        <v>1081</v>
      </c>
      <c r="G535" s="90">
        <v>23</v>
      </c>
      <c r="H535" s="90">
        <v>3</v>
      </c>
      <c r="I535" s="90" t="s">
        <v>210</v>
      </c>
      <c r="J535" s="90">
        <v>100</v>
      </c>
      <c r="K535" s="90">
        <v>0</v>
      </c>
      <c r="L535" s="91"/>
      <c r="M535" s="92"/>
      <c r="N535" s="93"/>
      <c r="P535" s="21"/>
      <c r="Q535" s="12"/>
      <c r="R535">
        <f t="shared" si="23"/>
        <v>1</v>
      </c>
      <c r="S535" s="21" t="s">
        <v>99</v>
      </c>
      <c r="T535" s="21" t="s">
        <v>99</v>
      </c>
      <c r="W535" t="e">
        <f>INDEX(#REF!,MATCH($E535,#REF!,0))</f>
        <v>#REF!</v>
      </c>
      <c r="X535" t="e">
        <f>INDEX(#REF!,MATCH($E535,#REF!,0))</f>
        <v>#REF!</v>
      </c>
      <c r="Y535" t="e">
        <f>INDEX(#REF!,MATCH($E535,#REF!,0))</f>
        <v>#REF!</v>
      </c>
      <c r="Z535" t="e">
        <f>INDEX(#REF!,MATCH($E535,#REF!,0))</f>
        <v>#REF!</v>
      </c>
      <c r="AA535" t="e">
        <f>INDEX(#REF!,MATCH($E535,#REF!,0))</f>
        <v>#REF!</v>
      </c>
      <c r="AB535" t="e">
        <f>INDEX(#REF!,MATCH($E535,#REF!,0))</f>
        <v>#REF!</v>
      </c>
      <c r="AC535" t="e">
        <f>INDEX(#REF!,MATCH($E535,#REF!,0))</f>
        <v>#REF!</v>
      </c>
      <c r="AD535" t="e">
        <f>INDEX(#REF!,MATCH($E535,#REF!,0))</f>
        <v>#REF!</v>
      </c>
      <c r="AE535" t="e">
        <f t="shared" si="24"/>
        <v>#REF!</v>
      </c>
    </row>
    <row r="536" spans="2:31" x14ac:dyDescent="0.25">
      <c r="B536" s="45" t="s">
        <v>1833</v>
      </c>
      <c r="C536" s="45" t="s">
        <v>795</v>
      </c>
      <c r="D536" s="89" t="s">
        <v>794</v>
      </c>
      <c r="E536" s="89">
        <v>112806</v>
      </c>
      <c r="F536" s="89">
        <v>1081</v>
      </c>
      <c r="G536" s="90">
        <v>24</v>
      </c>
      <c r="H536" s="90">
        <v>3</v>
      </c>
      <c r="I536" s="90" t="s">
        <v>210</v>
      </c>
      <c r="J536" s="90">
        <v>100</v>
      </c>
      <c r="K536" s="90">
        <v>0</v>
      </c>
      <c r="L536" s="91"/>
      <c r="M536" s="92"/>
      <c r="N536" s="93"/>
      <c r="P536" s="21"/>
      <c r="Q536" s="12"/>
      <c r="R536">
        <f t="shared" si="23"/>
        <v>1</v>
      </c>
      <c r="S536" s="21" t="s">
        <v>99</v>
      </c>
      <c r="T536" s="21" t="s">
        <v>99</v>
      </c>
      <c r="W536" t="e">
        <f>INDEX(#REF!,MATCH($E536,#REF!,0))</f>
        <v>#REF!</v>
      </c>
      <c r="X536" t="e">
        <f>INDEX(#REF!,MATCH($E536,#REF!,0))</f>
        <v>#REF!</v>
      </c>
      <c r="Y536" t="e">
        <f>INDEX(#REF!,MATCH($E536,#REF!,0))</f>
        <v>#REF!</v>
      </c>
      <c r="Z536" t="e">
        <f>INDEX(#REF!,MATCH($E536,#REF!,0))</f>
        <v>#REF!</v>
      </c>
      <c r="AA536" t="e">
        <f>INDEX(#REF!,MATCH($E536,#REF!,0))</f>
        <v>#REF!</v>
      </c>
      <c r="AB536" t="e">
        <f>INDEX(#REF!,MATCH($E536,#REF!,0))</f>
        <v>#REF!</v>
      </c>
      <c r="AC536" t="e">
        <f>INDEX(#REF!,MATCH($E536,#REF!,0))</f>
        <v>#REF!</v>
      </c>
      <c r="AD536" t="e">
        <f>INDEX(#REF!,MATCH($E536,#REF!,0))</f>
        <v>#REF!</v>
      </c>
      <c r="AE536" t="e">
        <f t="shared" si="24"/>
        <v>#REF!</v>
      </c>
    </row>
    <row r="537" spans="2:31" x14ac:dyDescent="0.25">
      <c r="B537" s="45" t="s">
        <v>1834</v>
      </c>
      <c r="C537" s="45" t="s">
        <v>797</v>
      </c>
      <c r="D537" s="89" t="s">
        <v>796</v>
      </c>
      <c r="E537" s="89">
        <v>112807</v>
      </c>
      <c r="F537" s="89">
        <v>1094</v>
      </c>
      <c r="G537" s="90">
        <v>0</v>
      </c>
      <c r="H537" s="90">
        <v>3</v>
      </c>
      <c r="I537" s="90" t="s">
        <v>210</v>
      </c>
      <c r="J537" s="90">
        <v>100</v>
      </c>
      <c r="K537" s="90">
        <v>0</v>
      </c>
      <c r="L537" s="91"/>
      <c r="M537" s="92"/>
      <c r="N537" s="93"/>
      <c r="P537" s="21"/>
      <c r="Q537" s="12"/>
      <c r="R537">
        <f t="shared" si="23"/>
        <v>1</v>
      </c>
      <c r="S537" s="21" t="s">
        <v>99</v>
      </c>
      <c r="T537" s="21" t="s">
        <v>99</v>
      </c>
      <c r="W537" t="e">
        <f>INDEX(#REF!,MATCH($E537,#REF!,0))</f>
        <v>#REF!</v>
      </c>
      <c r="X537" t="e">
        <f>INDEX(#REF!,MATCH($E537,#REF!,0))</f>
        <v>#REF!</v>
      </c>
      <c r="Y537" t="e">
        <f>INDEX(#REF!,MATCH($E537,#REF!,0))</f>
        <v>#REF!</v>
      </c>
      <c r="Z537" t="e">
        <f>INDEX(#REF!,MATCH($E537,#REF!,0))</f>
        <v>#REF!</v>
      </c>
      <c r="AA537" t="e">
        <f>INDEX(#REF!,MATCH($E537,#REF!,0))</f>
        <v>#REF!</v>
      </c>
      <c r="AB537" t="e">
        <f>INDEX(#REF!,MATCH($E537,#REF!,0))</f>
        <v>#REF!</v>
      </c>
      <c r="AC537" t="e">
        <f>INDEX(#REF!,MATCH($E537,#REF!,0))</f>
        <v>#REF!</v>
      </c>
      <c r="AD537" t="e">
        <f>INDEX(#REF!,MATCH($E537,#REF!,0))</f>
        <v>#REF!</v>
      </c>
      <c r="AE537" t="e">
        <f t="shared" si="24"/>
        <v>#REF!</v>
      </c>
    </row>
    <row r="538" spans="2:31" x14ac:dyDescent="0.25">
      <c r="B538" s="45" t="s">
        <v>1835</v>
      </c>
      <c r="C538" s="45" t="s">
        <v>799</v>
      </c>
      <c r="D538" s="89" t="s">
        <v>798</v>
      </c>
      <c r="E538" s="89">
        <v>112808</v>
      </c>
      <c r="F538" s="89">
        <v>1094</v>
      </c>
      <c r="G538" s="90">
        <v>1</v>
      </c>
      <c r="H538" s="90">
        <v>3</v>
      </c>
      <c r="I538" s="90" t="s">
        <v>210</v>
      </c>
      <c r="J538" s="90">
        <v>100</v>
      </c>
      <c r="K538" s="90">
        <v>0</v>
      </c>
      <c r="L538" s="91"/>
      <c r="M538" s="92"/>
      <c r="N538" s="93"/>
      <c r="P538" s="21"/>
      <c r="Q538" s="12"/>
      <c r="R538">
        <f t="shared" si="23"/>
        <v>1</v>
      </c>
      <c r="S538" s="21" t="s">
        <v>99</v>
      </c>
      <c r="T538" s="21" t="s">
        <v>99</v>
      </c>
      <c r="W538" t="e">
        <f>INDEX(#REF!,MATCH($E538,#REF!,0))</f>
        <v>#REF!</v>
      </c>
      <c r="X538" t="e">
        <f>INDEX(#REF!,MATCH($E538,#REF!,0))</f>
        <v>#REF!</v>
      </c>
      <c r="Y538" t="e">
        <f>INDEX(#REF!,MATCH($E538,#REF!,0))</f>
        <v>#REF!</v>
      </c>
      <c r="Z538" t="e">
        <f>INDEX(#REF!,MATCH($E538,#REF!,0))</f>
        <v>#REF!</v>
      </c>
      <c r="AA538" t="e">
        <f>INDEX(#REF!,MATCH($E538,#REF!,0))</f>
        <v>#REF!</v>
      </c>
      <c r="AB538" t="e">
        <f>INDEX(#REF!,MATCH($E538,#REF!,0))</f>
        <v>#REF!</v>
      </c>
      <c r="AC538" t="e">
        <f>INDEX(#REF!,MATCH($E538,#REF!,0))</f>
        <v>#REF!</v>
      </c>
      <c r="AD538" t="e">
        <f>INDEX(#REF!,MATCH($E538,#REF!,0))</f>
        <v>#REF!</v>
      </c>
      <c r="AE538" t="e">
        <f t="shared" si="24"/>
        <v>#REF!</v>
      </c>
    </row>
    <row r="539" spans="2:31" x14ac:dyDescent="0.25">
      <c r="B539" s="45" t="s">
        <v>1836</v>
      </c>
      <c r="C539" s="45" t="s">
        <v>801</v>
      </c>
      <c r="D539" s="89" t="s">
        <v>800</v>
      </c>
      <c r="E539" s="89">
        <v>112809</v>
      </c>
      <c r="F539" s="89">
        <v>1094</v>
      </c>
      <c r="G539" s="90">
        <v>2</v>
      </c>
      <c r="H539" s="90">
        <v>3</v>
      </c>
      <c r="I539" s="90" t="s">
        <v>210</v>
      </c>
      <c r="J539" s="90">
        <v>100</v>
      </c>
      <c r="K539" s="90">
        <v>0</v>
      </c>
      <c r="L539" s="91"/>
      <c r="M539" s="92"/>
      <c r="N539" s="93"/>
      <c r="P539" s="21"/>
      <c r="Q539" s="12"/>
      <c r="R539">
        <f t="shared" si="23"/>
        <v>1</v>
      </c>
      <c r="S539" s="21" t="s">
        <v>99</v>
      </c>
      <c r="T539" s="21" t="s">
        <v>99</v>
      </c>
      <c r="W539" t="e">
        <f>INDEX(#REF!,MATCH($E539,#REF!,0))</f>
        <v>#REF!</v>
      </c>
      <c r="X539" t="e">
        <f>INDEX(#REF!,MATCH($E539,#REF!,0))</f>
        <v>#REF!</v>
      </c>
      <c r="Y539" t="e">
        <f>INDEX(#REF!,MATCH($E539,#REF!,0))</f>
        <v>#REF!</v>
      </c>
      <c r="Z539" t="e">
        <f>INDEX(#REF!,MATCH($E539,#REF!,0))</f>
        <v>#REF!</v>
      </c>
      <c r="AA539" t="e">
        <f>INDEX(#REF!,MATCH($E539,#REF!,0))</f>
        <v>#REF!</v>
      </c>
      <c r="AB539" t="e">
        <f>INDEX(#REF!,MATCH($E539,#REF!,0))</f>
        <v>#REF!</v>
      </c>
      <c r="AC539" t="e">
        <f>INDEX(#REF!,MATCH($E539,#REF!,0))</f>
        <v>#REF!</v>
      </c>
      <c r="AD539" t="e">
        <f>INDEX(#REF!,MATCH($E539,#REF!,0))</f>
        <v>#REF!</v>
      </c>
      <c r="AE539" t="e">
        <f t="shared" si="24"/>
        <v>#REF!</v>
      </c>
    </row>
    <row r="540" spans="2:31" x14ac:dyDescent="0.25">
      <c r="B540" s="45" t="s">
        <v>1837</v>
      </c>
      <c r="C540" s="45" t="s">
        <v>803</v>
      </c>
      <c r="D540" s="89" t="s">
        <v>802</v>
      </c>
      <c r="E540" s="89">
        <v>112810</v>
      </c>
      <c r="F540" s="89">
        <v>1094</v>
      </c>
      <c r="G540" s="90">
        <v>3</v>
      </c>
      <c r="H540" s="90">
        <v>3</v>
      </c>
      <c r="I540" s="90" t="s">
        <v>210</v>
      </c>
      <c r="J540" s="90">
        <v>100</v>
      </c>
      <c r="K540" s="90">
        <v>0</v>
      </c>
      <c r="L540" s="91"/>
      <c r="M540" s="92"/>
      <c r="N540" s="93"/>
      <c r="P540" s="21"/>
      <c r="Q540" s="12"/>
      <c r="R540">
        <f t="shared" si="23"/>
        <v>1</v>
      </c>
      <c r="S540" s="21" t="s">
        <v>99</v>
      </c>
      <c r="T540" s="21" t="s">
        <v>99</v>
      </c>
      <c r="W540" t="e">
        <f>INDEX(#REF!,MATCH($E540,#REF!,0))</f>
        <v>#REF!</v>
      </c>
      <c r="X540" t="e">
        <f>INDEX(#REF!,MATCH($E540,#REF!,0))</f>
        <v>#REF!</v>
      </c>
      <c r="Y540" t="e">
        <f>INDEX(#REF!,MATCH($E540,#REF!,0))</f>
        <v>#REF!</v>
      </c>
      <c r="Z540" t="e">
        <f>INDEX(#REF!,MATCH($E540,#REF!,0))</f>
        <v>#REF!</v>
      </c>
      <c r="AA540" t="e">
        <f>INDEX(#REF!,MATCH($E540,#REF!,0))</f>
        <v>#REF!</v>
      </c>
      <c r="AB540" t="e">
        <f>INDEX(#REF!,MATCH($E540,#REF!,0))</f>
        <v>#REF!</v>
      </c>
      <c r="AC540" t="e">
        <f>INDEX(#REF!,MATCH($E540,#REF!,0))</f>
        <v>#REF!</v>
      </c>
      <c r="AD540" t="e">
        <f>INDEX(#REF!,MATCH($E540,#REF!,0))</f>
        <v>#REF!</v>
      </c>
      <c r="AE540" t="e">
        <f t="shared" si="24"/>
        <v>#REF!</v>
      </c>
    </row>
    <row r="541" spans="2:31" x14ac:dyDescent="0.25">
      <c r="B541" s="45" t="s">
        <v>1838</v>
      </c>
      <c r="C541" s="45" t="s">
        <v>805</v>
      </c>
      <c r="D541" s="89" t="s">
        <v>804</v>
      </c>
      <c r="E541" s="89">
        <v>112811</v>
      </c>
      <c r="F541" s="89">
        <v>1094</v>
      </c>
      <c r="G541" s="90">
        <v>4</v>
      </c>
      <c r="H541" s="90">
        <v>3</v>
      </c>
      <c r="I541" s="90" t="s">
        <v>210</v>
      </c>
      <c r="J541" s="90">
        <v>100</v>
      </c>
      <c r="K541" s="90">
        <v>0</v>
      </c>
      <c r="L541" s="91"/>
      <c r="M541" s="92"/>
      <c r="N541" s="93"/>
      <c r="P541" s="21"/>
      <c r="Q541" s="12"/>
      <c r="R541">
        <f t="shared" si="23"/>
        <v>1</v>
      </c>
      <c r="S541" s="21" t="s">
        <v>99</v>
      </c>
      <c r="T541" s="21" t="s">
        <v>99</v>
      </c>
      <c r="W541" t="e">
        <f>INDEX(#REF!,MATCH($E541,#REF!,0))</f>
        <v>#REF!</v>
      </c>
      <c r="X541" t="e">
        <f>INDEX(#REF!,MATCH($E541,#REF!,0))</f>
        <v>#REF!</v>
      </c>
      <c r="Y541" t="e">
        <f>INDEX(#REF!,MATCH($E541,#REF!,0))</f>
        <v>#REF!</v>
      </c>
      <c r="Z541" t="e">
        <f>INDEX(#REF!,MATCH($E541,#REF!,0))</f>
        <v>#REF!</v>
      </c>
      <c r="AA541" t="e">
        <f>INDEX(#REF!,MATCH($E541,#REF!,0))</f>
        <v>#REF!</v>
      </c>
      <c r="AB541" t="e">
        <f>INDEX(#REF!,MATCH($E541,#REF!,0))</f>
        <v>#REF!</v>
      </c>
      <c r="AC541" t="e">
        <f>INDEX(#REF!,MATCH($E541,#REF!,0))</f>
        <v>#REF!</v>
      </c>
      <c r="AD541" t="e">
        <f>INDEX(#REF!,MATCH($E541,#REF!,0))</f>
        <v>#REF!</v>
      </c>
      <c r="AE541" t="e">
        <f t="shared" si="24"/>
        <v>#REF!</v>
      </c>
    </row>
    <row r="542" spans="2:31" x14ac:dyDescent="0.25">
      <c r="B542" s="45" t="s">
        <v>1839</v>
      </c>
      <c r="C542" s="45" t="s">
        <v>807</v>
      </c>
      <c r="D542" s="89" t="s">
        <v>806</v>
      </c>
      <c r="E542" s="89">
        <v>112812</v>
      </c>
      <c r="F542" s="89">
        <v>1094</v>
      </c>
      <c r="G542" s="90">
        <v>5</v>
      </c>
      <c r="H542" s="90">
        <v>3</v>
      </c>
      <c r="I542" s="90" t="s">
        <v>210</v>
      </c>
      <c r="J542" s="90">
        <v>100</v>
      </c>
      <c r="K542" s="90">
        <v>0</v>
      </c>
      <c r="L542" s="91"/>
      <c r="M542" s="92"/>
      <c r="N542" s="93"/>
      <c r="P542" s="21"/>
      <c r="Q542" s="12"/>
      <c r="R542">
        <f t="shared" si="23"/>
        <v>1</v>
      </c>
      <c r="S542" s="21" t="s">
        <v>99</v>
      </c>
      <c r="T542" s="21" t="s">
        <v>99</v>
      </c>
      <c r="W542" t="e">
        <f>INDEX(#REF!,MATCH($E542,#REF!,0))</f>
        <v>#REF!</v>
      </c>
      <c r="X542" t="e">
        <f>INDEX(#REF!,MATCH($E542,#REF!,0))</f>
        <v>#REF!</v>
      </c>
      <c r="Y542" t="e">
        <f>INDEX(#REF!,MATCH($E542,#REF!,0))</f>
        <v>#REF!</v>
      </c>
      <c r="Z542" t="e">
        <f>INDEX(#REF!,MATCH($E542,#REF!,0))</f>
        <v>#REF!</v>
      </c>
      <c r="AA542" t="e">
        <f>INDEX(#REF!,MATCH($E542,#REF!,0))</f>
        <v>#REF!</v>
      </c>
      <c r="AB542" t="e">
        <f>INDEX(#REF!,MATCH($E542,#REF!,0))</f>
        <v>#REF!</v>
      </c>
      <c r="AC542" t="e">
        <f>INDEX(#REF!,MATCH($E542,#REF!,0))</f>
        <v>#REF!</v>
      </c>
      <c r="AD542" t="e">
        <f>INDEX(#REF!,MATCH($E542,#REF!,0))</f>
        <v>#REF!</v>
      </c>
      <c r="AE542" t="e">
        <f t="shared" si="24"/>
        <v>#REF!</v>
      </c>
    </row>
    <row r="543" spans="2:31" x14ac:dyDescent="0.25">
      <c r="B543" s="45" t="s">
        <v>1840</v>
      </c>
      <c r="C543" s="45" t="s">
        <v>809</v>
      </c>
      <c r="D543" s="89" t="s">
        <v>808</v>
      </c>
      <c r="E543" s="89">
        <v>112813</v>
      </c>
      <c r="F543" s="89">
        <v>1094</v>
      </c>
      <c r="G543" s="90">
        <v>6</v>
      </c>
      <c r="H543" s="90">
        <v>3</v>
      </c>
      <c r="I543" s="90" t="s">
        <v>210</v>
      </c>
      <c r="J543" s="90">
        <v>100</v>
      </c>
      <c r="K543" s="90">
        <v>0</v>
      </c>
      <c r="L543" s="91"/>
      <c r="M543" s="92"/>
      <c r="N543" s="93"/>
      <c r="P543" s="21"/>
      <c r="Q543" s="12"/>
      <c r="R543">
        <f t="shared" si="23"/>
        <v>1</v>
      </c>
      <c r="S543" s="21" t="s">
        <v>99</v>
      </c>
      <c r="T543" s="21" t="s">
        <v>99</v>
      </c>
      <c r="W543" t="e">
        <f>INDEX(#REF!,MATCH($E543,#REF!,0))</f>
        <v>#REF!</v>
      </c>
      <c r="X543" t="e">
        <f>INDEX(#REF!,MATCH($E543,#REF!,0))</f>
        <v>#REF!</v>
      </c>
      <c r="Y543" t="e">
        <f>INDEX(#REF!,MATCH($E543,#REF!,0))</f>
        <v>#REF!</v>
      </c>
      <c r="Z543" t="e">
        <f>INDEX(#REF!,MATCH($E543,#REF!,0))</f>
        <v>#REF!</v>
      </c>
      <c r="AA543" t="e">
        <f>INDEX(#REF!,MATCH($E543,#REF!,0))</f>
        <v>#REF!</v>
      </c>
      <c r="AB543" t="e">
        <f>INDEX(#REF!,MATCH($E543,#REF!,0))</f>
        <v>#REF!</v>
      </c>
      <c r="AC543" t="e">
        <f>INDEX(#REF!,MATCH($E543,#REF!,0))</f>
        <v>#REF!</v>
      </c>
      <c r="AD543" t="e">
        <f>INDEX(#REF!,MATCH($E543,#REF!,0))</f>
        <v>#REF!</v>
      </c>
      <c r="AE543" t="e">
        <f t="shared" si="24"/>
        <v>#REF!</v>
      </c>
    </row>
    <row r="544" spans="2:31" x14ac:dyDescent="0.25">
      <c r="B544" s="45" t="s">
        <v>1841</v>
      </c>
      <c r="C544" s="45" t="s">
        <v>811</v>
      </c>
      <c r="D544" s="89" t="s">
        <v>810</v>
      </c>
      <c r="E544" s="89">
        <v>112814</v>
      </c>
      <c r="F544" s="89">
        <v>1094</v>
      </c>
      <c r="G544" s="90">
        <v>7</v>
      </c>
      <c r="H544" s="90">
        <v>3</v>
      </c>
      <c r="I544" s="90" t="s">
        <v>210</v>
      </c>
      <c r="J544" s="90">
        <v>100</v>
      </c>
      <c r="K544" s="90">
        <v>0</v>
      </c>
      <c r="L544" s="91"/>
      <c r="M544" s="92"/>
      <c r="N544" s="93"/>
      <c r="P544" s="21"/>
      <c r="Q544" s="12"/>
      <c r="R544">
        <f t="shared" si="23"/>
        <v>1</v>
      </c>
      <c r="S544" s="21" t="s">
        <v>99</v>
      </c>
      <c r="T544" s="21" t="s">
        <v>99</v>
      </c>
      <c r="W544" t="e">
        <f>INDEX(#REF!,MATCH($E544,#REF!,0))</f>
        <v>#REF!</v>
      </c>
      <c r="X544" t="e">
        <f>INDEX(#REF!,MATCH($E544,#REF!,0))</f>
        <v>#REF!</v>
      </c>
      <c r="Y544" t="e">
        <f>INDEX(#REF!,MATCH($E544,#REF!,0))</f>
        <v>#REF!</v>
      </c>
      <c r="Z544" t="e">
        <f>INDEX(#REF!,MATCH($E544,#REF!,0))</f>
        <v>#REF!</v>
      </c>
      <c r="AA544" t="e">
        <f>INDEX(#REF!,MATCH($E544,#REF!,0))</f>
        <v>#REF!</v>
      </c>
      <c r="AB544" t="e">
        <f>INDEX(#REF!,MATCH($E544,#REF!,0))</f>
        <v>#REF!</v>
      </c>
      <c r="AC544" t="e">
        <f>INDEX(#REF!,MATCH($E544,#REF!,0))</f>
        <v>#REF!</v>
      </c>
      <c r="AD544" t="e">
        <f>INDEX(#REF!,MATCH($E544,#REF!,0))</f>
        <v>#REF!</v>
      </c>
      <c r="AE544" t="e">
        <f t="shared" si="24"/>
        <v>#REF!</v>
      </c>
    </row>
    <row r="545" spans="2:31" x14ac:dyDescent="0.25">
      <c r="B545" s="45" t="s">
        <v>1842</v>
      </c>
      <c r="C545" s="45" t="s">
        <v>813</v>
      </c>
      <c r="D545" s="89" t="s">
        <v>812</v>
      </c>
      <c r="E545" s="89">
        <v>112815</v>
      </c>
      <c r="F545" s="89">
        <v>1094</v>
      </c>
      <c r="G545" s="90">
        <v>8</v>
      </c>
      <c r="H545" s="90">
        <v>3</v>
      </c>
      <c r="I545" s="90" t="s">
        <v>210</v>
      </c>
      <c r="J545" s="90">
        <v>100</v>
      </c>
      <c r="K545" s="90">
        <v>0</v>
      </c>
      <c r="L545" s="91"/>
      <c r="M545" s="92"/>
      <c r="N545" s="93"/>
      <c r="P545" s="21"/>
      <c r="Q545" s="12"/>
      <c r="R545">
        <f t="shared" si="23"/>
        <v>1</v>
      </c>
      <c r="S545" s="21" t="s">
        <v>99</v>
      </c>
      <c r="T545" s="21" t="s">
        <v>99</v>
      </c>
      <c r="W545" t="e">
        <f>INDEX(#REF!,MATCH($E545,#REF!,0))</f>
        <v>#REF!</v>
      </c>
      <c r="X545" t="e">
        <f>INDEX(#REF!,MATCH($E545,#REF!,0))</f>
        <v>#REF!</v>
      </c>
      <c r="Y545" t="e">
        <f>INDEX(#REF!,MATCH($E545,#REF!,0))</f>
        <v>#REF!</v>
      </c>
      <c r="Z545" t="e">
        <f>INDEX(#REF!,MATCH($E545,#REF!,0))</f>
        <v>#REF!</v>
      </c>
      <c r="AA545" t="e">
        <f>INDEX(#REF!,MATCH($E545,#REF!,0))</f>
        <v>#REF!</v>
      </c>
      <c r="AB545" t="e">
        <f>INDEX(#REF!,MATCH($E545,#REF!,0))</f>
        <v>#REF!</v>
      </c>
      <c r="AC545" t="e">
        <f>INDEX(#REF!,MATCH($E545,#REF!,0))</f>
        <v>#REF!</v>
      </c>
      <c r="AD545" t="e">
        <f>INDEX(#REF!,MATCH($E545,#REF!,0))</f>
        <v>#REF!</v>
      </c>
      <c r="AE545" t="e">
        <f t="shared" si="24"/>
        <v>#REF!</v>
      </c>
    </row>
    <row r="546" spans="2:31" x14ac:dyDescent="0.25">
      <c r="B546" s="45" t="s">
        <v>1843</v>
      </c>
      <c r="C546" s="45" t="s">
        <v>815</v>
      </c>
      <c r="D546" s="89" t="s">
        <v>814</v>
      </c>
      <c r="E546" s="89">
        <v>112816</v>
      </c>
      <c r="F546" s="89">
        <v>1094</v>
      </c>
      <c r="G546" s="90">
        <v>9</v>
      </c>
      <c r="H546" s="90">
        <v>3</v>
      </c>
      <c r="I546" s="90" t="s">
        <v>210</v>
      </c>
      <c r="J546" s="90">
        <v>100</v>
      </c>
      <c r="K546" s="90">
        <v>0</v>
      </c>
      <c r="L546" s="91"/>
      <c r="M546" s="92"/>
      <c r="N546" s="93"/>
      <c r="P546" s="21"/>
      <c r="Q546" s="12"/>
      <c r="R546">
        <f t="shared" si="23"/>
        <v>1</v>
      </c>
      <c r="S546" s="21" t="s">
        <v>99</v>
      </c>
      <c r="T546" s="21" t="s">
        <v>99</v>
      </c>
      <c r="W546" t="e">
        <f>INDEX(#REF!,MATCH($E546,#REF!,0))</f>
        <v>#REF!</v>
      </c>
      <c r="X546" t="e">
        <f>INDEX(#REF!,MATCH($E546,#REF!,0))</f>
        <v>#REF!</v>
      </c>
      <c r="Y546" t="e">
        <f>INDEX(#REF!,MATCH($E546,#REF!,0))</f>
        <v>#REF!</v>
      </c>
      <c r="Z546" t="e">
        <f>INDEX(#REF!,MATCH($E546,#REF!,0))</f>
        <v>#REF!</v>
      </c>
      <c r="AA546" t="e">
        <f>INDEX(#REF!,MATCH($E546,#REF!,0))</f>
        <v>#REF!</v>
      </c>
      <c r="AB546" t="e">
        <f>INDEX(#REF!,MATCH($E546,#REF!,0))</f>
        <v>#REF!</v>
      </c>
      <c r="AC546" t="e">
        <f>INDEX(#REF!,MATCH($E546,#REF!,0))</f>
        <v>#REF!</v>
      </c>
      <c r="AD546" t="e">
        <f>INDEX(#REF!,MATCH($E546,#REF!,0))</f>
        <v>#REF!</v>
      </c>
      <c r="AE546" t="e">
        <f t="shared" si="24"/>
        <v>#REF!</v>
      </c>
    </row>
    <row r="547" spans="2:31" x14ac:dyDescent="0.25">
      <c r="B547" s="45" t="s">
        <v>1844</v>
      </c>
      <c r="C547" s="45" t="s">
        <v>817</v>
      </c>
      <c r="D547" s="89" t="s">
        <v>816</v>
      </c>
      <c r="E547" s="89">
        <v>112817</v>
      </c>
      <c r="F547" s="89">
        <v>1094</v>
      </c>
      <c r="G547" s="90">
        <v>10</v>
      </c>
      <c r="H547" s="90">
        <v>3</v>
      </c>
      <c r="I547" s="90" t="s">
        <v>210</v>
      </c>
      <c r="J547" s="90">
        <v>100</v>
      </c>
      <c r="K547" s="90">
        <v>0</v>
      </c>
      <c r="L547" s="91"/>
      <c r="M547" s="92"/>
      <c r="N547" s="93"/>
      <c r="P547" s="21"/>
      <c r="Q547" s="12"/>
      <c r="R547">
        <f t="shared" si="23"/>
        <v>1</v>
      </c>
      <c r="S547" s="21" t="s">
        <v>99</v>
      </c>
      <c r="T547" s="21" t="s">
        <v>99</v>
      </c>
      <c r="W547" t="e">
        <f>INDEX(#REF!,MATCH($E547,#REF!,0))</f>
        <v>#REF!</v>
      </c>
      <c r="X547" t="e">
        <f>INDEX(#REF!,MATCH($E547,#REF!,0))</f>
        <v>#REF!</v>
      </c>
      <c r="Y547" t="e">
        <f>INDEX(#REF!,MATCH($E547,#REF!,0))</f>
        <v>#REF!</v>
      </c>
      <c r="Z547" t="e">
        <f>INDEX(#REF!,MATCH($E547,#REF!,0))</f>
        <v>#REF!</v>
      </c>
      <c r="AA547" t="e">
        <f>INDEX(#REF!,MATCH($E547,#REF!,0))</f>
        <v>#REF!</v>
      </c>
      <c r="AB547" t="e">
        <f>INDEX(#REF!,MATCH($E547,#REF!,0))</f>
        <v>#REF!</v>
      </c>
      <c r="AC547" t="e">
        <f>INDEX(#REF!,MATCH($E547,#REF!,0))</f>
        <v>#REF!</v>
      </c>
      <c r="AD547" t="e">
        <f>INDEX(#REF!,MATCH($E547,#REF!,0))</f>
        <v>#REF!</v>
      </c>
      <c r="AE547" t="e">
        <f t="shared" si="24"/>
        <v>#REF!</v>
      </c>
    </row>
    <row r="548" spans="2:31" x14ac:dyDescent="0.25">
      <c r="B548" s="45" t="s">
        <v>1845</v>
      </c>
      <c r="C548" s="45" t="s">
        <v>819</v>
      </c>
      <c r="D548" s="89" t="s">
        <v>818</v>
      </c>
      <c r="E548" s="89">
        <v>112818</v>
      </c>
      <c r="F548" s="89">
        <v>1094</v>
      </c>
      <c r="G548" s="90">
        <v>11</v>
      </c>
      <c r="H548" s="90">
        <v>3</v>
      </c>
      <c r="I548" s="90" t="s">
        <v>210</v>
      </c>
      <c r="J548" s="90">
        <v>100</v>
      </c>
      <c r="K548" s="90">
        <v>0</v>
      </c>
      <c r="L548" s="91"/>
      <c r="M548" s="92"/>
      <c r="N548" s="93"/>
      <c r="P548" s="21"/>
      <c r="Q548" s="12"/>
      <c r="R548">
        <f t="shared" ref="R548:R611" si="25">COUNTIF(C:C,C548)</f>
        <v>1</v>
      </c>
      <c r="S548" s="21" t="s">
        <v>99</v>
      </c>
      <c r="T548" s="21" t="s">
        <v>99</v>
      </c>
      <c r="W548" t="e">
        <f>INDEX(#REF!,MATCH($E548,#REF!,0))</f>
        <v>#REF!</v>
      </c>
      <c r="X548" t="e">
        <f>INDEX(#REF!,MATCH($E548,#REF!,0))</f>
        <v>#REF!</v>
      </c>
      <c r="Y548" t="e">
        <f>INDEX(#REF!,MATCH($E548,#REF!,0))</f>
        <v>#REF!</v>
      </c>
      <c r="Z548" t="e">
        <f>INDEX(#REF!,MATCH($E548,#REF!,0))</f>
        <v>#REF!</v>
      </c>
      <c r="AA548" t="e">
        <f>INDEX(#REF!,MATCH($E548,#REF!,0))</f>
        <v>#REF!</v>
      </c>
      <c r="AB548" t="e">
        <f>INDEX(#REF!,MATCH($E548,#REF!,0))</f>
        <v>#REF!</v>
      </c>
      <c r="AC548" t="e">
        <f>INDEX(#REF!,MATCH($E548,#REF!,0))</f>
        <v>#REF!</v>
      </c>
      <c r="AD548" t="e">
        <f>INDEX(#REF!,MATCH($E548,#REF!,0))</f>
        <v>#REF!</v>
      </c>
      <c r="AE548" t="e">
        <f t="shared" si="24"/>
        <v>#REF!</v>
      </c>
    </row>
    <row r="549" spans="2:31" x14ac:dyDescent="0.25">
      <c r="B549" s="45" t="s">
        <v>1846</v>
      </c>
      <c r="C549" s="45" t="s">
        <v>821</v>
      </c>
      <c r="D549" s="89" t="s">
        <v>820</v>
      </c>
      <c r="E549" s="89">
        <v>112819</v>
      </c>
      <c r="F549" s="89">
        <v>1094</v>
      </c>
      <c r="G549" s="90">
        <v>12</v>
      </c>
      <c r="H549" s="90">
        <v>3</v>
      </c>
      <c r="I549" s="90" t="s">
        <v>210</v>
      </c>
      <c r="J549" s="90">
        <v>100</v>
      </c>
      <c r="K549" s="90">
        <v>0</v>
      </c>
      <c r="L549" s="91"/>
      <c r="M549" s="92"/>
      <c r="N549" s="93"/>
      <c r="P549" s="21"/>
      <c r="Q549" s="12"/>
      <c r="R549">
        <f t="shared" si="25"/>
        <v>1</v>
      </c>
      <c r="S549" s="21" t="s">
        <v>99</v>
      </c>
      <c r="T549" s="21" t="s">
        <v>99</v>
      </c>
      <c r="W549" t="e">
        <f>INDEX(#REF!,MATCH($E549,#REF!,0))</f>
        <v>#REF!</v>
      </c>
      <c r="X549" t="e">
        <f>INDEX(#REF!,MATCH($E549,#REF!,0))</f>
        <v>#REF!</v>
      </c>
      <c r="Y549" t="e">
        <f>INDEX(#REF!,MATCH($E549,#REF!,0))</f>
        <v>#REF!</v>
      </c>
      <c r="Z549" t="e">
        <f>INDEX(#REF!,MATCH($E549,#REF!,0))</f>
        <v>#REF!</v>
      </c>
      <c r="AA549" t="e">
        <f>INDEX(#REF!,MATCH($E549,#REF!,0))</f>
        <v>#REF!</v>
      </c>
      <c r="AB549" t="e">
        <f>INDEX(#REF!,MATCH($E549,#REF!,0))</f>
        <v>#REF!</v>
      </c>
      <c r="AC549" t="e">
        <f>INDEX(#REF!,MATCH($E549,#REF!,0))</f>
        <v>#REF!</v>
      </c>
      <c r="AD549" t="e">
        <f>INDEX(#REF!,MATCH($E549,#REF!,0))</f>
        <v>#REF!</v>
      </c>
      <c r="AE549" t="e">
        <f t="shared" si="24"/>
        <v>#REF!</v>
      </c>
    </row>
    <row r="550" spans="2:31" x14ac:dyDescent="0.25">
      <c r="B550" s="45" t="s">
        <v>1847</v>
      </c>
      <c r="C550" s="45" t="s">
        <v>823</v>
      </c>
      <c r="D550" s="89" t="s">
        <v>822</v>
      </c>
      <c r="E550" s="89">
        <v>112820</v>
      </c>
      <c r="F550" s="89">
        <v>1094</v>
      </c>
      <c r="G550" s="90">
        <v>13</v>
      </c>
      <c r="H550" s="90">
        <v>3</v>
      </c>
      <c r="I550" s="90" t="s">
        <v>210</v>
      </c>
      <c r="J550" s="90">
        <v>100</v>
      </c>
      <c r="K550" s="90">
        <v>0</v>
      </c>
      <c r="L550" s="91"/>
      <c r="M550" s="92"/>
      <c r="N550" s="93"/>
      <c r="P550" s="21"/>
      <c r="Q550" s="12"/>
      <c r="R550">
        <f t="shared" si="25"/>
        <v>1</v>
      </c>
      <c r="S550" s="21" t="s">
        <v>99</v>
      </c>
      <c r="T550" s="21" t="s">
        <v>99</v>
      </c>
      <c r="W550" t="e">
        <f>INDEX(#REF!,MATCH($E550,#REF!,0))</f>
        <v>#REF!</v>
      </c>
      <c r="X550" t="e">
        <f>INDEX(#REF!,MATCH($E550,#REF!,0))</f>
        <v>#REF!</v>
      </c>
      <c r="Y550" t="e">
        <f>INDEX(#REF!,MATCH($E550,#REF!,0))</f>
        <v>#REF!</v>
      </c>
      <c r="Z550" t="e">
        <f>INDEX(#REF!,MATCH($E550,#REF!,0))</f>
        <v>#REF!</v>
      </c>
      <c r="AA550" t="e">
        <f>INDEX(#REF!,MATCH($E550,#REF!,0))</f>
        <v>#REF!</v>
      </c>
      <c r="AB550" t="e">
        <f>INDEX(#REF!,MATCH($E550,#REF!,0))</f>
        <v>#REF!</v>
      </c>
      <c r="AC550" t="e">
        <f>INDEX(#REF!,MATCH($E550,#REF!,0))</f>
        <v>#REF!</v>
      </c>
      <c r="AD550" t="e">
        <f>INDEX(#REF!,MATCH($E550,#REF!,0))</f>
        <v>#REF!</v>
      </c>
      <c r="AE550" t="e">
        <f t="shared" si="24"/>
        <v>#REF!</v>
      </c>
    </row>
    <row r="551" spans="2:31" x14ac:dyDescent="0.25">
      <c r="B551" s="45" t="s">
        <v>1848</v>
      </c>
      <c r="C551" s="45" t="s">
        <v>824</v>
      </c>
      <c r="D551" s="89" t="s">
        <v>2059</v>
      </c>
      <c r="E551" s="89">
        <v>112823</v>
      </c>
      <c r="F551" s="89">
        <v>1080</v>
      </c>
      <c r="G551" s="90">
        <v>16</v>
      </c>
      <c r="H551" s="90">
        <v>3</v>
      </c>
      <c r="I551" s="90" t="s">
        <v>26</v>
      </c>
      <c r="J551" s="90">
        <v>1</v>
      </c>
      <c r="K551" s="87" t="s">
        <v>2509</v>
      </c>
      <c r="L551" s="91"/>
      <c r="M551" s="92"/>
      <c r="N551" s="93"/>
      <c r="P551" s="21"/>
      <c r="Q551" s="12"/>
      <c r="R551">
        <f t="shared" si="25"/>
        <v>1</v>
      </c>
      <c r="S551" s="21" t="s">
        <v>99</v>
      </c>
      <c r="T551" s="21" t="s">
        <v>99</v>
      </c>
      <c r="W551" t="e">
        <f>INDEX(#REF!,MATCH($E551,#REF!,0))</f>
        <v>#REF!</v>
      </c>
      <c r="X551" t="e">
        <f>INDEX(#REF!,MATCH($E551,#REF!,0))</f>
        <v>#REF!</v>
      </c>
      <c r="Y551" t="e">
        <f>INDEX(#REF!,MATCH($E551,#REF!,0))</f>
        <v>#REF!</v>
      </c>
      <c r="Z551" t="e">
        <f>INDEX(#REF!,MATCH($E551,#REF!,0))</f>
        <v>#REF!</v>
      </c>
      <c r="AA551" t="e">
        <f>INDEX(#REF!,MATCH($E551,#REF!,0))</f>
        <v>#REF!</v>
      </c>
      <c r="AB551" t="e">
        <f>INDEX(#REF!,MATCH($E551,#REF!,0))</f>
        <v>#REF!</v>
      </c>
      <c r="AC551" t="e">
        <f>INDEX(#REF!,MATCH($E551,#REF!,0))</f>
        <v>#REF!</v>
      </c>
      <c r="AD551" t="e">
        <f>INDEX(#REF!,MATCH($E551,#REF!,0))</f>
        <v>#REF!</v>
      </c>
      <c r="AE551" t="e">
        <f t="shared" si="24"/>
        <v>#REF!</v>
      </c>
    </row>
    <row r="552" spans="2:31" x14ac:dyDescent="0.25">
      <c r="B552" s="45" t="s">
        <v>1849</v>
      </c>
      <c r="C552" s="45" t="s">
        <v>825</v>
      </c>
      <c r="D552" s="89" t="s">
        <v>2060</v>
      </c>
      <c r="E552" s="89">
        <v>112824</v>
      </c>
      <c r="F552" s="89">
        <v>1080</v>
      </c>
      <c r="G552" s="90">
        <v>17</v>
      </c>
      <c r="H552" s="90">
        <v>3</v>
      </c>
      <c r="I552" s="90" t="s">
        <v>26</v>
      </c>
      <c r="J552" s="90">
        <v>1</v>
      </c>
      <c r="K552" s="87" t="s">
        <v>2509</v>
      </c>
      <c r="L552" s="91"/>
      <c r="M552" s="92"/>
      <c r="N552" s="93"/>
      <c r="P552" s="21"/>
      <c r="Q552" s="12"/>
      <c r="R552">
        <f t="shared" si="25"/>
        <v>1</v>
      </c>
      <c r="S552" s="21" t="s">
        <v>99</v>
      </c>
      <c r="T552" s="21" t="s">
        <v>99</v>
      </c>
      <c r="W552" t="e">
        <f>INDEX(#REF!,MATCH($E552,#REF!,0))</f>
        <v>#REF!</v>
      </c>
      <c r="X552" t="e">
        <f>INDEX(#REF!,MATCH($E552,#REF!,0))</f>
        <v>#REF!</v>
      </c>
      <c r="Y552" t="e">
        <f>INDEX(#REF!,MATCH($E552,#REF!,0))</f>
        <v>#REF!</v>
      </c>
      <c r="Z552" t="e">
        <f>INDEX(#REF!,MATCH($E552,#REF!,0))</f>
        <v>#REF!</v>
      </c>
      <c r="AA552" t="e">
        <f>INDEX(#REF!,MATCH($E552,#REF!,0))</f>
        <v>#REF!</v>
      </c>
      <c r="AB552" t="e">
        <f>INDEX(#REF!,MATCH($E552,#REF!,0))</f>
        <v>#REF!</v>
      </c>
      <c r="AC552" t="e">
        <f>INDEX(#REF!,MATCH($E552,#REF!,0))</f>
        <v>#REF!</v>
      </c>
      <c r="AD552" t="e">
        <f>INDEX(#REF!,MATCH($E552,#REF!,0))</f>
        <v>#REF!</v>
      </c>
      <c r="AE552" t="e">
        <f t="shared" si="24"/>
        <v>#REF!</v>
      </c>
    </row>
    <row r="553" spans="2:31" x14ac:dyDescent="0.25">
      <c r="B553" s="45" t="s">
        <v>1850</v>
      </c>
      <c r="C553" s="45" t="s">
        <v>827</v>
      </c>
      <c r="D553" s="89" t="s">
        <v>826</v>
      </c>
      <c r="E553" s="89">
        <v>112841</v>
      </c>
      <c r="F553" s="89">
        <v>1093</v>
      </c>
      <c r="G553" s="90">
        <v>4</v>
      </c>
      <c r="H553" s="90">
        <v>3</v>
      </c>
      <c r="I553" s="90" t="s">
        <v>210</v>
      </c>
      <c r="J553" s="90">
        <v>100</v>
      </c>
      <c r="K553" s="90">
        <v>0</v>
      </c>
      <c r="L553" s="91"/>
      <c r="M553" s="92"/>
      <c r="N553" s="93"/>
      <c r="P553" s="21"/>
      <c r="Q553" s="12"/>
      <c r="R553">
        <f t="shared" si="25"/>
        <v>1</v>
      </c>
      <c r="S553" s="21" t="s">
        <v>99</v>
      </c>
      <c r="T553" s="21" t="s">
        <v>99</v>
      </c>
      <c r="W553" t="e">
        <f>INDEX(#REF!,MATCH($E553,#REF!,0))</f>
        <v>#REF!</v>
      </c>
      <c r="X553" t="e">
        <f>INDEX(#REF!,MATCH($E553,#REF!,0))</f>
        <v>#REF!</v>
      </c>
      <c r="Y553" t="e">
        <f>INDEX(#REF!,MATCH($E553,#REF!,0))</f>
        <v>#REF!</v>
      </c>
      <c r="Z553" t="e">
        <f>INDEX(#REF!,MATCH($E553,#REF!,0))</f>
        <v>#REF!</v>
      </c>
      <c r="AA553" t="e">
        <f>INDEX(#REF!,MATCH($E553,#REF!,0))</f>
        <v>#REF!</v>
      </c>
      <c r="AB553" t="e">
        <f>INDEX(#REF!,MATCH($E553,#REF!,0))</f>
        <v>#REF!</v>
      </c>
      <c r="AC553" t="e">
        <f>INDEX(#REF!,MATCH($E553,#REF!,0))</f>
        <v>#REF!</v>
      </c>
      <c r="AD553" t="e">
        <f>INDEX(#REF!,MATCH($E553,#REF!,0))</f>
        <v>#REF!</v>
      </c>
      <c r="AE553" t="e">
        <f t="shared" si="24"/>
        <v>#REF!</v>
      </c>
    </row>
    <row r="554" spans="2:31" x14ac:dyDescent="0.25">
      <c r="B554" s="45" t="s">
        <v>1851</v>
      </c>
      <c r="C554" s="45" t="s">
        <v>829</v>
      </c>
      <c r="D554" s="89" t="s">
        <v>828</v>
      </c>
      <c r="E554" s="89">
        <v>112843</v>
      </c>
      <c r="F554" s="89">
        <v>1093</v>
      </c>
      <c r="G554" s="90">
        <v>5</v>
      </c>
      <c r="H554" s="90">
        <v>3</v>
      </c>
      <c r="I554" s="90" t="s">
        <v>18</v>
      </c>
      <c r="J554" s="90">
        <v>1</v>
      </c>
      <c r="K554" s="90">
        <v>0</v>
      </c>
      <c r="L554" s="91"/>
      <c r="M554" s="92"/>
      <c r="N554" s="93"/>
      <c r="P554" s="21"/>
      <c r="Q554" s="12"/>
      <c r="R554">
        <f t="shared" si="25"/>
        <v>1</v>
      </c>
      <c r="S554" s="21" t="s">
        <v>99</v>
      </c>
      <c r="T554" s="21" t="s">
        <v>99</v>
      </c>
      <c r="W554" t="e">
        <f>INDEX(#REF!,MATCH($E554,#REF!,0))</f>
        <v>#REF!</v>
      </c>
      <c r="X554" t="e">
        <f>INDEX(#REF!,MATCH($E554,#REF!,0))</f>
        <v>#REF!</v>
      </c>
      <c r="Y554" t="e">
        <f>INDEX(#REF!,MATCH($E554,#REF!,0))</f>
        <v>#REF!</v>
      </c>
      <c r="Z554" t="e">
        <f>INDEX(#REF!,MATCH($E554,#REF!,0))</f>
        <v>#REF!</v>
      </c>
      <c r="AA554" t="e">
        <f>INDEX(#REF!,MATCH($E554,#REF!,0))</f>
        <v>#REF!</v>
      </c>
      <c r="AB554" t="e">
        <f>INDEX(#REF!,MATCH($E554,#REF!,0))</f>
        <v>#REF!</v>
      </c>
      <c r="AC554" t="e">
        <f>INDEX(#REF!,MATCH($E554,#REF!,0))</f>
        <v>#REF!</v>
      </c>
      <c r="AD554" t="e">
        <f>INDEX(#REF!,MATCH($E554,#REF!,0))</f>
        <v>#REF!</v>
      </c>
      <c r="AE554" t="e">
        <f t="shared" si="24"/>
        <v>#REF!</v>
      </c>
    </row>
    <row r="555" spans="2:31" x14ac:dyDescent="0.25">
      <c r="B555" s="45" t="s">
        <v>1852</v>
      </c>
      <c r="C555" s="45" t="s">
        <v>831</v>
      </c>
      <c r="D555" s="89" t="s">
        <v>830</v>
      </c>
      <c r="E555" s="89">
        <v>112992</v>
      </c>
      <c r="F555" s="89">
        <v>1093</v>
      </c>
      <c r="G555" s="90">
        <v>7</v>
      </c>
      <c r="H555" s="90">
        <v>3</v>
      </c>
      <c r="I555" s="90" t="s">
        <v>26</v>
      </c>
      <c r="J555" s="90">
        <v>1</v>
      </c>
      <c r="K555" s="90">
        <v>0</v>
      </c>
      <c r="L555" s="91"/>
      <c r="M555" s="92"/>
      <c r="N555" s="93"/>
      <c r="P555" s="21"/>
      <c r="Q555" s="12"/>
      <c r="R555">
        <f t="shared" si="25"/>
        <v>1</v>
      </c>
      <c r="S555" s="21" t="s">
        <v>99</v>
      </c>
      <c r="T555" s="21" t="s">
        <v>99</v>
      </c>
      <c r="W555" t="e">
        <f>INDEX(#REF!,MATCH($E555,#REF!,0))</f>
        <v>#REF!</v>
      </c>
      <c r="X555" t="e">
        <f>INDEX(#REF!,MATCH($E555,#REF!,0))</f>
        <v>#REF!</v>
      </c>
      <c r="Y555" t="e">
        <f>INDEX(#REF!,MATCH($E555,#REF!,0))</f>
        <v>#REF!</v>
      </c>
      <c r="Z555" t="e">
        <f>INDEX(#REF!,MATCH($E555,#REF!,0))</f>
        <v>#REF!</v>
      </c>
      <c r="AA555" t="e">
        <f>INDEX(#REF!,MATCH($E555,#REF!,0))</f>
        <v>#REF!</v>
      </c>
      <c r="AB555" t="e">
        <f>INDEX(#REF!,MATCH($E555,#REF!,0))</f>
        <v>#REF!</v>
      </c>
      <c r="AC555" t="e">
        <f>INDEX(#REF!,MATCH($E555,#REF!,0))</f>
        <v>#REF!</v>
      </c>
      <c r="AD555" t="e">
        <f>INDEX(#REF!,MATCH($E555,#REF!,0))</f>
        <v>#REF!</v>
      </c>
      <c r="AE555" t="e">
        <f t="shared" si="24"/>
        <v>#REF!</v>
      </c>
    </row>
    <row r="556" spans="2:31" x14ac:dyDescent="0.25">
      <c r="B556" s="45" t="s">
        <v>1853</v>
      </c>
      <c r="C556" s="45" t="s">
        <v>833</v>
      </c>
      <c r="D556" s="89" t="s">
        <v>832</v>
      </c>
      <c r="E556" s="89">
        <v>112993</v>
      </c>
      <c r="F556" s="89">
        <v>1093</v>
      </c>
      <c r="G556" s="90">
        <v>8</v>
      </c>
      <c r="H556" s="90">
        <v>3</v>
      </c>
      <c r="I556" s="90" t="s">
        <v>26</v>
      </c>
      <c r="J556" s="90">
        <v>1</v>
      </c>
      <c r="K556" s="90">
        <v>0</v>
      </c>
      <c r="L556" s="91"/>
      <c r="M556" s="92"/>
      <c r="N556" s="93"/>
      <c r="P556" s="21"/>
      <c r="Q556" s="12"/>
      <c r="R556">
        <f t="shared" si="25"/>
        <v>1</v>
      </c>
      <c r="S556" s="21" t="s">
        <v>99</v>
      </c>
      <c r="T556" s="21" t="s">
        <v>99</v>
      </c>
      <c r="W556" t="e">
        <f>INDEX(#REF!,MATCH($E556,#REF!,0))</f>
        <v>#REF!</v>
      </c>
      <c r="X556" t="e">
        <f>INDEX(#REF!,MATCH($E556,#REF!,0))</f>
        <v>#REF!</v>
      </c>
      <c r="Y556" t="e">
        <f>INDEX(#REF!,MATCH($E556,#REF!,0))</f>
        <v>#REF!</v>
      </c>
      <c r="Z556" t="e">
        <f>INDEX(#REF!,MATCH($E556,#REF!,0))</f>
        <v>#REF!</v>
      </c>
      <c r="AA556" t="e">
        <f>INDEX(#REF!,MATCH($E556,#REF!,0))</f>
        <v>#REF!</v>
      </c>
      <c r="AB556" t="e">
        <f>INDEX(#REF!,MATCH($E556,#REF!,0))</f>
        <v>#REF!</v>
      </c>
      <c r="AC556" t="e">
        <f>INDEX(#REF!,MATCH($E556,#REF!,0))</f>
        <v>#REF!</v>
      </c>
      <c r="AD556" t="e">
        <f>INDEX(#REF!,MATCH($E556,#REF!,0))</f>
        <v>#REF!</v>
      </c>
      <c r="AE556" t="e">
        <f t="shared" si="24"/>
        <v>#REF!</v>
      </c>
    </row>
    <row r="557" spans="2:31" x14ac:dyDescent="0.25">
      <c r="B557" s="45" t="s">
        <v>1854</v>
      </c>
      <c r="C557" s="45" t="s">
        <v>835</v>
      </c>
      <c r="D557" s="89" t="s">
        <v>834</v>
      </c>
      <c r="E557" s="89">
        <v>112994</v>
      </c>
      <c r="F557" s="89">
        <v>1093</v>
      </c>
      <c r="G557" s="90">
        <v>9</v>
      </c>
      <c r="H557" s="90">
        <v>3</v>
      </c>
      <c r="I557" s="90" t="s">
        <v>26</v>
      </c>
      <c r="J557" s="90">
        <v>1</v>
      </c>
      <c r="K557" s="90">
        <v>0</v>
      </c>
      <c r="L557" s="91"/>
      <c r="M557" s="92"/>
      <c r="N557" s="93"/>
      <c r="P557" s="21"/>
      <c r="Q557" s="12"/>
      <c r="R557">
        <f t="shared" si="25"/>
        <v>1</v>
      </c>
      <c r="S557" s="21" t="s">
        <v>99</v>
      </c>
      <c r="T557" s="21" t="s">
        <v>99</v>
      </c>
      <c r="W557" t="e">
        <f>INDEX(#REF!,MATCH($E557,#REF!,0))</f>
        <v>#REF!</v>
      </c>
      <c r="X557" t="e">
        <f>INDEX(#REF!,MATCH($E557,#REF!,0))</f>
        <v>#REF!</v>
      </c>
      <c r="Y557" t="e">
        <f>INDEX(#REF!,MATCH($E557,#REF!,0))</f>
        <v>#REF!</v>
      </c>
      <c r="Z557" t="e">
        <f>INDEX(#REF!,MATCH($E557,#REF!,0))</f>
        <v>#REF!</v>
      </c>
      <c r="AA557" t="e">
        <f>INDEX(#REF!,MATCH($E557,#REF!,0))</f>
        <v>#REF!</v>
      </c>
      <c r="AB557" t="e">
        <f>INDEX(#REF!,MATCH($E557,#REF!,0))</f>
        <v>#REF!</v>
      </c>
      <c r="AC557" t="e">
        <f>INDEX(#REF!,MATCH($E557,#REF!,0))</f>
        <v>#REF!</v>
      </c>
      <c r="AD557" t="e">
        <f>INDEX(#REF!,MATCH($E557,#REF!,0))</f>
        <v>#REF!</v>
      </c>
      <c r="AE557" t="e">
        <f t="shared" si="24"/>
        <v>#REF!</v>
      </c>
    </row>
    <row r="558" spans="2:31" x14ac:dyDescent="0.25">
      <c r="B558" s="45" t="s">
        <v>1855</v>
      </c>
      <c r="C558" s="45" t="s">
        <v>837</v>
      </c>
      <c r="D558" s="89" t="s">
        <v>836</v>
      </c>
      <c r="E558" s="89">
        <v>112995</v>
      </c>
      <c r="F558" s="89">
        <v>1093</v>
      </c>
      <c r="G558" s="90">
        <v>10</v>
      </c>
      <c r="H558" s="90">
        <v>3</v>
      </c>
      <c r="I558" s="90" t="s">
        <v>26</v>
      </c>
      <c r="J558" s="90">
        <v>1</v>
      </c>
      <c r="K558" s="90">
        <v>0</v>
      </c>
      <c r="L558" s="91"/>
      <c r="M558" s="92"/>
      <c r="N558" s="93"/>
      <c r="P558" s="21"/>
      <c r="Q558" s="12"/>
      <c r="R558">
        <f t="shared" si="25"/>
        <v>1</v>
      </c>
      <c r="S558" s="21" t="s">
        <v>99</v>
      </c>
      <c r="T558" s="21" t="s">
        <v>99</v>
      </c>
      <c r="W558" t="e">
        <f>INDEX(#REF!,MATCH($E558,#REF!,0))</f>
        <v>#REF!</v>
      </c>
      <c r="X558" t="e">
        <f>INDEX(#REF!,MATCH($E558,#REF!,0))</f>
        <v>#REF!</v>
      </c>
      <c r="Y558" t="e">
        <f>INDEX(#REF!,MATCH($E558,#REF!,0))</f>
        <v>#REF!</v>
      </c>
      <c r="Z558" t="e">
        <f>INDEX(#REF!,MATCH($E558,#REF!,0))</f>
        <v>#REF!</v>
      </c>
      <c r="AA558" t="e">
        <f>INDEX(#REF!,MATCH($E558,#REF!,0))</f>
        <v>#REF!</v>
      </c>
      <c r="AB558" t="e">
        <f>INDEX(#REF!,MATCH($E558,#REF!,0))</f>
        <v>#REF!</v>
      </c>
      <c r="AC558" t="e">
        <f>INDEX(#REF!,MATCH($E558,#REF!,0))</f>
        <v>#REF!</v>
      </c>
      <c r="AD558" t="e">
        <f>INDEX(#REF!,MATCH($E558,#REF!,0))</f>
        <v>#REF!</v>
      </c>
      <c r="AE558" t="e">
        <f t="shared" si="24"/>
        <v>#REF!</v>
      </c>
    </row>
    <row r="559" spans="2:31" x14ac:dyDescent="0.25">
      <c r="B559" s="45" t="s">
        <v>1856</v>
      </c>
      <c r="C559" s="45" t="s">
        <v>839</v>
      </c>
      <c r="D559" s="89" t="s">
        <v>838</v>
      </c>
      <c r="E559" s="89">
        <v>112996</v>
      </c>
      <c r="F559" s="89">
        <v>1093</v>
      </c>
      <c r="G559" s="90">
        <v>11</v>
      </c>
      <c r="H559" s="90">
        <v>3</v>
      </c>
      <c r="I559" s="90" t="s">
        <v>26</v>
      </c>
      <c r="J559" s="90">
        <v>1</v>
      </c>
      <c r="K559" s="90">
        <v>0</v>
      </c>
      <c r="L559" s="91"/>
      <c r="M559" s="92"/>
      <c r="N559" s="93"/>
      <c r="P559" s="21"/>
      <c r="Q559" s="12"/>
      <c r="R559">
        <f t="shared" si="25"/>
        <v>1</v>
      </c>
      <c r="S559" s="21" t="s">
        <v>99</v>
      </c>
      <c r="T559" s="21" t="s">
        <v>99</v>
      </c>
      <c r="W559" t="e">
        <f>INDEX(#REF!,MATCH($E559,#REF!,0))</f>
        <v>#REF!</v>
      </c>
      <c r="X559" t="e">
        <f>INDEX(#REF!,MATCH($E559,#REF!,0))</f>
        <v>#REF!</v>
      </c>
      <c r="Y559" t="e">
        <f>INDEX(#REF!,MATCH($E559,#REF!,0))</f>
        <v>#REF!</v>
      </c>
      <c r="Z559" t="e">
        <f>INDEX(#REF!,MATCH($E559,#REF!,0))</f>
        <v>#REF!</v>
      </c>
      <c r="AA559" t="e">
        <f>INDEX(#REF!,MATCH($E559,#REF!,0))</f>
        <v>#REF!</v>
      </c>
      <c r="AB559" t="e">
        <f>INDEX(#REF!,MATCH($E559,#REF!,0))</f>
        <v>#REF!</v>
      </c>
      <c r="AC559" t="e">
        <f>INDEX(#REF!,MATCH($E559,#REF!,0))</f>
        <v>#REF!</v>
      </c>
      <c r="AD559" t="e">
        <f>INDEX(#REF!,MATCH($E559,#REF!,0))</f>
        <v>#REF!</v>
      </c>
      <c r="AE559" t="e">
        <f t="shared" si="24"/>
        <v>#REF!</v>
      </c>
    </row>
    <row r="560" spans="2:31" x14ac:dyDescent="0.25">
      <c r="B560" s="45" t="s">
        <v>1857</v>
      </c>
      <c r="C560" s="45" t="s">
        <v>841</v>
      </c>
      <c r="D560" s="89" t="s">
        <v>840</v>
      </c>
      <c r="E560" s="89">
        <v>112997</v>
      </c>
      <c r="F560" s="89">
        <v>1093</v>
      </c>
      <c r="G560" s="90">
        <v>12</v>
      </c>
      <c r="H560" s="90">
        <v>3</v>
      </c>
      <c r="I560" s="90" t="s">
        <v>26</v>
      </c>
      <c r="J560" s="90">
        <v>1</v>
      </c>
      <c r="K560" s="90">
        <v>0</v>
      </c>
      <c r="L560" s="91"/>
      <c r="M560" s="92"/>
      <c r="N560" s="93"/>
      <c r="P560" s="21"/>
      <c r="Q560" s="12"/>
      <c r="R560">
        <f t="shared" si="25"/>
        <v>1</v>
      </c>
      <c r="S560" s="21" t="s">
        <v>99</v>
      </c>
      <c r="T560" s="21" t="s">
        <v>99</v>
      </c>
      <c r="W560" t="e">
        <f>INDEX(#REF!,MATCH($E560,#REF!,0))</f>
        <v>#REF!</v>
      </c>
      <c r="X560" t="e">
        <f>INDEX(#REF!,MATCH($E560,#REF!,0))</f>
        <v>#REF!</v>
      </c>
      <c r="Y560" t="e">
        <f>INDEX(#REF!,MATCH($E560,#REF!,0))</f>
        <v>#REF!</v>
      </c>
      <c r="Z560" t="e">
        <f>INDEX(#REF!,MATCH($E560,#REF!,0))</f>
        <v>#REF!</v>
      </c>
      <c r="AA560" t="e">
        <f>INDEX(#REF!,MATCH($E560,#REF!,0))</f>
        <v>#REF!</v>
      </c>
      <c r="AB560" t="e">
        <f>INDEX(#REF!,MATCH($E560,#REF!,0))</f>
        <v>#REF!</v>
      </c>
      <c r="AC560" t="e">
        <f>INDEX(#REF!,MATCH($E560,#REF!,0))</f>
        <v>#REF!</v>
      </c>
      <c r="AD560" t="e">
        <f>INDEX(#REF!,MATCH($E560,#REF!,0))</f>
        <v>#REF!</v>
      </c>
      <c r="AE560" t="e">
        <f t="shared" si="24"/>
        <v>#REF!</v>
      </c>
    </row>
    <row r="561" spans="2:31" x14ac:dyDescent="0.25">
      <c r="B561" s="45" t="s">
        <v>1858</v>
      </c>
      <c r="C561" s="45" t="s">
        <v>843</v>
      </c>
      <c r="D561" s="89" t="s">
        <v>842</v>
      </c>
      <c r="E561" s="89">
        <v>112998</v>
      </c>
      <c r="F561" s="89">
        <v>1093</v>
      </c>
      <c r="G561" s="90">
        <v>13</v>
      </c>
      <c r="H561" s="90">
        <v>3</v>
      </c>
      <c r="I561" s="90" t="s">
        <v>26</v>
      </c>
      <c r="J561" s="90">
        <v>1</v>
      </c>
      <c r="K561" s="90">
        <v>0</v>
      </c>
      <c r="L561" s="91"/>
      <c r="M561" s="92"/>
      <c r="N561" s="93"/>
      <c r="P561" s="21"/>
      <c r="Q561" s="12"/>
      <c r="R561">
        <f t="shared" si="25"/>
        <v>1</v>
      </c>
      <c r="S561" s="21" t="s">
        <v>99</v>
      </c>
      <c r="T561" s="21" t="s">
        <v>99</v>
      </c>
      <c r="W561" t="e">
        <f>INDEX(#REF!,MATCH($E561,#REF!,0))</f>
        <v>#REF!</v>
      </c>
      <c r="X561" t="e">
        <f>INDEX(#REF!,MATCH($E561,#REF!,0))</f>
        <v>#REF!</v>
      </c>
      <c r="Y561" t="e">
        <f>INDEX(#REF!,MATCH($E561,#REF!,0))</f>
        <v>#REF!</v>
      </c>
      <c r="Z561" t="e">
        <f>INDEX(#REF!,MATCH($E561,#REF!,0))</f>
        <v>#REF!</v>
      </c>
      <c r="AA561" t="e">
        <f>INDEX(#REF!,MATCH($E561,#REF!,0))</f>
        <v>#REF!</v>
      </c>
      <c r="AB561" t="e">
        <f>INDEX(#REF!,MATCH($E561,#REF!,0))</f>
        <v>#REF!</v>
      </c>
      <c r="AC561" t="e">
        <f>INDEX(#REF!,MATCH($E561,#REF!,0))</f>
        <v>#REF!</v>
      </c>
      <c r="AD561" t="e">
        <f>INDEX(#REF!,MATCH($E561,#REF!,0))</f>
        <v>#REF!</v>
      </c>
      <c r="AE561" t="e">
        <f t="shared" si="24"/>
        <v>#REF!</v>
      </c>
    </row>
    <row r="562" spans="2:31" x14ac:dyDescent="0.25">
      <c r="B562" s="45" t="s">
        <v>1859</v>
      </c>
      <c r="C562" s="45" t="s">
        <v>845</v>
      </c>
      <c r="D562" s="89" t="s">
        <v>844</v>
      </c>
      <c r="E562" s="89">
        <v>112999</v>
      </c>
      <c r="F562" s="89">
        <v>1093</v>
      </c>
      <c r="G562" s="90">
        <v>14</v>
      </c>
      <c r="H562" s="90">
        <v>3</v>
      </c>
      <c r="I562" s="90" t="s">
        <v>26</v>
      </c>
      <c r="J562" s="90">
        <v>1</v>
      </c>
      <c r="K562" s="90">
        <v>0</v>
      </c>
      <c r="L562" s="91"/>
      <c r="M562" s="92"/>
      <c r="N562" s="93"/>
      <c r="P562" s="21"/>
      <c r="Q562" s="12"/>
      <c r="R562">
        <f t="shared" si="25"/>
        <v>1</v>
      </c>
      <c r="S562" s="21" t="s">
        <v>99</v>
      </c>
      <c r="T562" s="21" t="s">
        <v>99</v>
      </c>
      <c r="W562" t="e">
        <f>INDEX(#REF!,MATCH($E562,#REF!,0))</f>
        <v>#REF!</v>
      </c>
      <c r="X562" t="e">
        <f>INDEX(#REF!,MATCH($E562,#REF!,0))</f>
        <v>#REF!</v>
      </c>
      <c r="Y562" t="e">
        <f>INDEX(#REF!,MATCH($E562,#REF!,0))</f>
        <v>#REF!</v>
      </c>
      <c r="Z562" t="e">
        <f>INDEX(#REF!,MATCH($E562,#REF!,0))</f>
        <v>#REF!</v>
      </c>
      <c r="AA562" t="e">
        <f>INDEX(#REF!,MATCH($E562,#REF!,0))</f>
        <v>#REF!</v>
      </c>
      <c r="AB562" t="e">
        <f>INDEX(#REF!,MATCH($E562,#REF!,0))</f>
        <v>#REF!</v>
      </c>
      <c r="AC562" t="e">
        <f>INDEX(#REF!,MATCH($E562,#REF!,0))</f>
        <v>#REF!</v>
      </c>
      <c r="AD562" t="e">
        <f>INDEX(#REF!,MATCH($E562,#REF!,0))</f>
        <v>#REF!</v>
      </c>
      <c r="AE562" t="e">
        <f t="shared" si="24"/>
        <v>#REF!</v>
      </c>
    </row>
    <row r="563" spans="2:31" x14ac:dyDescent="0.25">
      <c r="B563" s="45" t="s">
        <v>1860</v>
      </c>
      <c r="C563" s="45" t="s">
        <v>847</v>
      </c>
      <c r="D563" s="89" t="s">
        <v>846</v>
      </c>
      <c r="E563" s="89">
        <v>114391</v>
      </c>
      <c r="F563" s="89">
        <v>1171</v>
      </c>
      <c r="G563" s="90">
        <v>0</v>
      </c>
      <c r="H563" s="90">
        <v>31</v>
      </c>
      <c r="I563" s="90" t="s">
        <v>18</v>
      </c>
      <c r="J563" s="90">
        <v>1</v>
      </c>
      <c r="K563" s="90">
        <v>0</v>
      </c>
      <c r="L563" s="91"/>
      <c r="M563" s="92" t="s">
        <v>2402</v>
      </c>
      <c r="N563" s="93"/>
      <c r="P563" s="21"/>
      <c r="Q563" s="12"/>
      <c r="R563">
        <f t="shared" si="25"/>
        <v>1</v>
      </c>
      <c r="S563" s="21" t="s">
        <v>99</v>
      </c>
      <c r="T563" s="21" t="s">
        <v>99</v>
      </c>
      <c r="W563" t="e">
        <f>INDEX(#REF!,MATCH($E563,#REF!,0))</f>
        <v>#REF!</v>
      </c>
      <c r="X563" t="e">
        <f>INDEX(#REF!,MATCH($E563,#REF!,0))</f>
        <v>#REF!</v>
      </c>
      <c r="Y563" t="e">
        <f>INDEX(#REF!,MATCH($E563,#REF!,0))</f>
        <v>#REF!</v>
      </c>
      <c r="Z563" t="e">
        <f>INDEX(#REF!,MATCH($E563,#REF!,0))</f>
        <v>#REF!</v>
      </c>
      <c r="AA563" t="e">
        <f>INDEX(#REF!,MATCH($E563,#REF!,0))</f>
        <v>#REF!</v>
      </c>
      <c r="AB563" t="e">
        <f>INDEX(#REF!,MATCH($E563,#REF!,0))</f>
        <v>#REF!</v>
      </c>
      <c r="AC563" t="e">
        <f>INDEX(#REF!,MATCH($E563,#REF!,0))</f>
        <v>#REF!</v>
      </c>
      <c r="AD563" t="e">
        <f>INDEX(#REF!,MATCH($E563,#REF!,0))</f>
        <v>#REF!</v>
      </c>
      <c r="AE563" t="e">
        <f t="shared" si="24"/>
        <v>#REF!</v>
      </c>
    </row>
    <row r="564" spans="2:31" x14ac:dyDescent="0.25">
      <c r="B564" s="45" t="s">
        <v>2179</v>
      </c>
      <c r="C564" s="45" t="s">
        <v>2178</v>
      </c>
      <c r="D564" s="89" t="s">
        <v>2182</v>
      </c>
      <c r="E564" s="89">
        <v>116003</v>
      </c>
      <c r="F564" s="89">
        <v>1210</v>
      </c>
      <c r="G564" s="90">
        <v>2</v>
      </c>
      <c r="H564" s="90">
        <v>7</v>
      </c>
      <c r="I564" s="90" t="s">
        <v>26</v>
      </c>
      <c r="J564" s="90">
        <v>1</v>
      </c>
      <c r="K564" s="90" t="s">
        <v>2511</v>
      </c>
      <c r="L564" s="91"/>
      <c r="M564" s="92" t="s">
        <v>2317</v>
      </c>
      <c r="N564" s="93"/>
      <c r="P564" s="21" t="s">
        <v>2517</v>
      </c>
      <c r="Q564" s="12" t="s">
        <v>2176</v>
      </c>
      <c r="R564">
        <f t="shared" si="25"/>
        <v>1</v>
      </c>
      <c r="S564" s="37"/>
      <c r="T564" s="37"/>
      <c r="W564" t="e">
        <f>INDEX(#REF!,MATCH($E564,#REF!,0))</f>
        <v>#REF!</v>
      </c>
      <c r="X564" t="e">
        <f>INDEX(#REF!,MATCH($E564,#REF!,0))</f>
        <v>#REF!</v>
      </c>
      <c r="Y564" t="e">
        <f>INDEX(#REF!,MATCH($E564,#REF!,0))</f>
        <v>#REF!</v>
      </c>
      <c r="Z564" t="e">
        <f>INDEX(#REF!,MATCH($E564,#REF!,0))</f>
        <v>#REF!</v>
      </c>
      <c r="AA564" t="e">
        <f>INDEX(#REF!,MATCH($E564,#REF!,0))</f>
        <v>#REF!</v>
      </c>
      <c r="AB564" t="e">
        <f>INDEX(#REF!,MATCH($E564,#REF!,0))</f>
        <v>#REF!</v>
      </c>
      <c r="AC564" t="e">
        <f>INDEX(#REF!,MATCH($E564,#REF!,0))</f>
        <v>#REF!</v>
      </c>
      <c r="AD564" t="e">
        <f>INDEX(#REF!,MATCH($E564,#REF!,0))</f>
        <v>#REF!</v>
      </c>
      <c r="AE564" t="e">
        <f t="shared" si="24"/>
        <v>#REF!</v>
      </c>
    </row>
    <row r="565" spans="2:31" x14ac:dyDescent="0.25">
      <c r="B565" s="45" t="s">
        <v>1861</v>
      </c>
      <c r="C565" s="45" t="s">
        <v>1363</v>
      </c>
      <c r="D565" s="89" t="s">
        <v>1387</v>
      </c>
      <c r="E565" s="89">
        <v>116005</v>
      </c>
      <c r="F565" s="89">
        <v>1210</v>
      </c>
      <c r="G565" s="90">
        <v>4</v>
      </c>
      <c r="H565" s="90">
        <v>7</v>
      </c>
      <c r="I565" s="90" t="s">
        <v>210</v>
      </c>
      <c r="J565" s="90">
        <v>100</v>
      </c>
      <c r="K565" s="90">
        <v>0</v>
      </c>
      <c r="L565" s="91"/>
      <c r="M565" s="92" t="s">
        <v>1137</v>
      </c>
      <c r="N565" s="93"/>
      <c r="P565" s="21"/>
      <c r="Q565" s="12" t="s">
        <v>1411</v>
      </c>
      <c r="R565">
        <f t="shared" si="25"/>
        <v>1</v>
      </c>
      <c r="S565" s="37"/>
      <c r="T565" s="37"/>
      <c r="W565" t="e">
        <f>INDEX(#REF!,MATCH($E565,#REF!,0))</f>
        <v>#REF!</v>
      </c>
      <c r="X565" t="e">
        <f>INDEX(#REF!,MATCH($E565,#REF!,0))</f>
        <v>#REF!</v>
      </c>
      <c r="Y565" t="e">
        <f>INDEX(#REF!,MATCH($E565,#REF!,0))</f>
        <v>#REF!</v>
      </c>
      <c r="Z565" t="e">
        <f>INDEX(#REF!,MATCH($E565,#REF!,0))</f>
        <v>#REF!</v>
      </c>
      <c r="AA565" t="e">
        <f>INDEX(#REF!,MATCH($E565,#REF!,0))</f>
        <v>#REF!</v>
      </c>
      <c r="AB565" t="e">
        <f>INDEX(#REF!,MATCH($E565,#REF!,0))</f>
        <v>#REF!</v>
      </c>
      <c r="AC565" t="e">
        <f>INDEX(#REF!,MATCH($E565,#REF!,0))</f>
        <v>#REF!</v>
      </c>
      <c r="AD565" t="e">
        <f>INDEX(#REF!,MATCH($E565,#REF!,0))</f>
        <v>#REF!</v>
      </c>
      <c r="AE565" t="e">
        <f t="shared" si="24"/>
        <v>#REF!</v>
      </c>
    </row>
    <row r="566" spans="2:31" x14ac:dyDescent="0.25">
      <c r="B566" s="45" t="s">
        <v>1862</v>
      </c>
      <c r="C566" s="45" t="s">
        <v>1364</v>
      </c>
      <c r="D566" s="89" t="s">
        <v>1388</v>
      </c>
      <c r="E566" s="89">
        <v>116006</v>
      </c>
      <c r="F566" s="89">
        <v>1210</v>
      </c>
      <c r="G566" s="90">
        <v>5</v>
      </c>
      <c r="H566" s="90">
        <v>7</v>
      </c>
      <c r="I566" s="90" t="s">
        <v>207</v>
      </c>
      <c r="J566" s="90">
        <v>1000</v>
      </c>
      <c r="K566" s="90">
        <v>0</v>
      </c>
      <c r="L566" s="91"/>
      <c r="M566" s="92" t="s">
        <v>1138</v>
      </c>
      <c r="N566" s="93"/>
      <c r="P566" s="21"/>
      <c r="Q566" s="12" t="s">
        <v>1411</v>
      </c>
      <c r="R566">
        <f t="shared" si="25"/>
        <v>1</v>
      </c>
      <c r="S566" s="37"/>
      <c r="T566" s="37"/>
      <c r="W566" t="e">
        <f>INDEX(#REF!,MATCH($E566,#REF!,0))</f>
        <v>#REF!</v>
      </c>
      <c r="X566" t="e">
        <f>INDEX(#REF!,MATCH($E566,#REF!,0))</f>
        <v>#REF!</v>
      </c>
      <c r="Y566" t="e">
        <f>INDEX(#REF!,MATCH($E566,#REF!,0))</f>
        <v>#REF!</v>
      </c>
      <c r="Z566" t="e">
        <f>INDEX(#REF!,MATCH($E566,#REF!,0))</f>
        <v>#REF!</v>
      </c>
      <c r="AA566" t="e">
        <f>INDEX(#REF!,MATCH($E566,#REF!,0))</f>
        <v>#REF!</v>
      </c>
      <c r="AB566" t="e">
        <f>INDEX(#REF!,MATCH($E566,#REF!,0))</f>
        <v>#REF!</v>
      </c>
      <c r="AC566" t="e">
        <f>INDEX(#REF!,MATCH($E566,#REF!,0))</f>
        <v>#REF!</v>
      </c>
      <c r="AD566" t="e">
        <f>INDEX(#REF!,MATCH($E566,#REF!,0))</f>
        <v>#REF!</v>
      </c>
      <c r="AE566" t="e">
        <f t="shared" si="24"/>
        <v>#REF!</v>
      </c>
    </row>
    <row r="567" spans="2:31" x14ac:dyDescent="0.25">
      <c r="B567" s="45" t="s">
        <v>1863</v>
      </c>
      <c r="C567" s="45" t="s">
        <v>1365</v>
      </c>
      <c r="D567" s="89" t="s">
        <v>1389</v>
      </c>
      <c r="E567" s="89">
        <v>116007</v>
      </c>
      <c r="F567" s="89">
        <v>1210</v>
      </c>
      <c r="G567" s="90">
        <v>6</v>
      </c>
      <c r="H567" s="90">
        <v>7</v>
      </c>
      <c r="I567" s="90" t="s">
        <v>26</v>
      </c>
      <c r="J567" s="90">
        <v>1</v>
      </c>
      <c r="K567" s="90">
        <v>0</v>
      </c>
      <c r="L567" s="91"/>
      <c r="M567" s="92" t="s">
        <v>1139</v>
      </c>
      <c r="N567" s="93"/>
      <c r="P567" s="21"/>
      <c r="Q567" s="12" t="s">
        <v>1411</v>
      </c>
      <c r="R567">
        <f t="shared" si="25"/>
        <v>1</v>
      </c>
      <c r="S567" s="37"/>
      <c r="T567" s="37"/>
      <c r="W567" t="e">
        <f>INDEX(#REF!,MATCH($E567,#REF!,0))</f>
        <v>#REF!</v>
      </c>
      <c r="X567" t="e">
        <f>INDEX(#REF!,MATCH($E567,#REF!,0))</f>
        <v>#REF!</v>
      </c>
      <c r="Y567" t="e">
        <f>INDEX(#REF!,MATCH($E567,#REF!,0))</f>
        <v>#REF!</v>
      </c>
      <c r="Z567" t="e">
        <f>INDEX(#REF!,MATCH($E567,#REF!,0))</f>
        <v>#REF!</v>
      </c>
      <c r="AA567" t="e">
        <f>INDEX(#REF!,MATCH($E567,#REF!,0))</f>
        <v>#REF!</v>
      </c>
      <c r="AB567" t="e">
        <f>INDEX(#REF!,MATCH($E567,#REF!,0))</f>
        <v>#REF!</v>
      </c>
      <c r="AC567" t="e">
        <f>INDEX(#REF!,MATCH($E567,#REF!,0))</f>
        <v>#REF!</v>
      </c>
      <c r="AD567" t="e">
        <f>INDEX(#REF!,MATCH($E567,#REF!,0))</f>
        <v>#REF!</v>
      </c>
      <c r="AE567" t="e">
        <f t="shared" si="24"/>
        <v>#REF!</v>
      </c>
    </row>
    <row r="568" spans="2:31" x14ac:dyDescent="0.25">
      <c r="B568" s="45" t="s">
        <v>1864</v>
      </c>
      <c r="C568" s="45" t="s">
        <v>1366</v>
      </c>
      <c r="D568" s="89" t="s">
        <v>1390</v>
      </c>
      <c r="E568" s="89">
        <v>116011</v>
      </c>
      <c r="F568" s="89">
        <v>1210</v>
      </c>
      <c r="G568" s="90">
        <v>10</v>
      </c>
      <c r="H568" s="90">
        <v>7</v>
      </c>
      <c r="I568" s="90" t="s">
        <v>120</v>
      </c>
      <c r="J568" s="90">
        <v>1000</v>
      </c>
      <c r="K568" s="90">
        <v>0</v>
      </c>
      <c r="L568" s="91"/>
      <c r="M568" s="92" t="s">
        <v>1141</v>
      </c>
      <c r="N568" s="93"/>
      <c r="P568" s="21"/>
      <c r="Q568" s="12" t="s">
        <v>1411</v>
      </c>
      <c r="R568">
        <f t="shared" si="25"/>
        <v>1</v>
      </c>
      <c r="S568" s="37"/>
      <c r="T568" s="37"/>
      <c r="W568" t="e">
        <f>INDEX(#REF!,MATCH($E568,#REF!,0))</f>
        <v>#REF!</v>
      </c>
      <c r="X568" t="e">
        <f>INDEX(#REF!,MATCH($E568,#REF!,0))</f>
        <v>#REF!</v>
      </c>
      <c r="Y568" t="e">
        <f>INDEX(#REF!,MATCH($E568,#REF!,0))</f>
        <v>#REF!</v>
      </c>
      <c r="Z568" t="e">
        <f>INDEX(#REF!,MATCH($E568,#REF!,0))</f>
        <v>#REF!</v>
      </c>
      <c r="AA568" t="e">
        <f>INDEX(#REF!,MATCH($E568,#REF!,0))</f>
        <v>#REF!</v>
      </c>
      <c r="AB568" t="e">
        <f>INDEX(#REF!,MATCH($E568,#REF!,0))</f>
        <v>#REF!</v>
      </c>
      <c r="AC568" t="e">
        <f>INDEX(#REF!,MATCH($E568,#REF!,0))</f>
        <v>#REF!</v>
      </c>
      <c r="AD568" t="e">
        <f>INDEX(#REF!,MATCH($E568,#REF!,0))</f>
        <v>#REF!</v>
      </c>
      <c r="AE568" t="e">
        <f t="shared" si="24"/>
        <v>#REF!</v>
      </c>
    </row>
    <row r="569" spans="2:31" x14ac:dyDescent="0.25">
      <c r="B569" s="45" t="s">
        <v>1865</v>
      </c>
      <c r="C569" s="45" t="s">
        <v>1367</v>
      </c>
      <c r="D569" s="89" t="s">
        <v>1391</v>
      </c>
      <c r="E569" s="89">
        <v>116012</v>
      </c>
      <c r="F569" s="89">
        <v>1210</v>
      </c>
      <c r="G569" s="90">
        <v>11</v>
      </c>
      <c r="H569" s="90">
        <v>7</v>
      </c>
      <c r="I569" s="90" t="s">
        <v>120</v>
      </c>
      <c r="J569" s="90">
        <v>1000</v>
      </c>
      <c r="K569" s="90">
        <v>0</v>
      </c>
      <c r="L569" s="91"/>
      <c r="M569" s="92" t="s">
        <v>1142</v>
      </c>
      <c r="N569" s="93"/>
      <c r="P569" s="21"/>
      <c r="Q569" s="12" t="s">
        <v>1411</v>
      </c>
      <c r="R569">
        <f t="shared" si="25"/>
        <v>1</v>
      </c>
      <c r="S569" s="37"/>
      <c r="T569" s="37"/>
      <c r="W569" t="e">
        <f>INDEX(#REF!,MATCH($E569,#REF!,0))</f>
        <v>#REF!</v>
      </c>
      <c r="X569" t="e">
        <f>INDEX(#REF!,MATCH($E569,#REF!,0))</f>
        <v>#REF!</v>
      </c>
      <c r="Y569" t="e">
        <f>INDEX(#REF!,MATCH($E569,#REF!,0))</f>
        <v>#REF!</v>
      </c>
      <c r="Z569" t="e">
        <f>INDEX(#REF!,MATCH($E569,#REF!,0))</f>
        <v>#REF!</v>
      </c>
      <c r="AA569" t="e">
        <f>INDEX(#REF!,MATCH($E569,#REF!,0))</f>
        <v>#REF!</v>
      </c>
      <c r="AB569" t="e">
        <f>INDEX(#REF!,MATCH($E569,#REF!,0))</f>
        <v>#REF!</v>
      </c>
      <c r="AC569" t="e">
        <f>INDEX(#REF!,MATCH($E569,#REF!,0))</f>
        <v>#REF!</v>
      </c>
      <c r="AD569" t="e">
        <f>INDEX(#REF!,MATCH($E569,#REF!,0))</f>
        <v>#REF!</v>
      </c>
      <c r="AE569" t="e">
        <f t="shared" si="24"/>
        <v>#REF!</v>
      </c>
    </row>
    <row r="570" spans="2:31" x14ac:dyDescent="0.25">
      <c r="B570" s="45" t="s">
        <v>1866</v>
      </c>
      <c r="C570" s="45" t="s">
        <v>1368</v>
      </c>
      <c r="D570" s="89" t="s">
        <v>1392</v>
      </c>
      <c r="E570" s="89">
        <v>116013</v>
      </c>
      <c r="F570" s="89">
        <v>1210</v>
      </c>
      <c r="G570" s="90">
        <v>12</v>
      </c>
      <c r="H570" s="90">
        <v>7</v>
      </c>
      <c r="I570" s="90" t="s">
        <v>120</v>
      </c>
      <c r="J570" s="90">
        <v>1000</v>
      </c>
      <c r="K570" s="90">
        <v>0</v>
      </c>
      <c r="L570" s="91"/>
      <c r="M570" s="92" t="s">
        <v>1143</v>
      </c>
      <c r="N570" s="93"/>
      <c r="P570" s="21"/>
      <c r="Q570" s="12" t="s">
        <v>1411</v>
      </c>
      <c r="R570">
        <f t="shared" si="25"/>
        <v>1</v>
      </c>
      <c r="S570" s="37"/>
      <c r="T570" s="37"/>
      <c r="W570" t="e">
        <f>INDEX(#REF!,MATCH($E570,#REF!,0))</f>
        <v>#REF!</v>
      </c>
      <c r="X570" t="e">
        <f>INDEX(#REF!,MATCH($E570,#REF!,0))</f>
        <v>#REF!</v>
      </c>
      <c r="Y570" t="e">
        <f>INDEX(#REF!,MATCH($E570,#REF!,0))</f>
        <v>#REF!</v>
      </c>
      <c r="Z570" t="e">
        <f>INDEX(#REF!,MATCH($E570,#REF!,0))</f>
        <v>#REF!</v>
      </c>
      <c r="AA570" t="e">
        <f>INDEX(#REF!,MATCH($E570,#REF!,0))</f>
        <v>#REF!</v>
      </c>
      <c r="AB570" t="e">
        <f>INDEX(#REF!,MATCH($E570,#REF!,0))</f>
        <v>#REF!</v>
      </c>
      <c r="AC570" t="e">
        <f>INDEX(#REF!,MATCH($E570,#REF!,0))</f>
        <v>#REF!</v>
      </c>
      <c r="AD570" t="e">
        <f>INDEX(#REF!,MATCH($E570,#REF!,0))</f>
        <v>#REF!</v>
      </c>
      <c r="AE570" t="e">
        <f t="shared" si="24"/>
        <v>#REF!</v>
      </c>
    </row>
    <row r="571" spans="2:31" x14ac:dyDescent="0.25">
      <c r="B571" s="45" t="s">
        <v>1867</v>
      </c>
      <c r="C571" s="45" t="s">
        <v>1369</v>
      </c>
      <c r="D571" s="89" t="s">
        <v>1393</v>
      </c>
      <c r="E571" s="89">
        <v>116014</v>
      </c>
      <c r="F571" s="89">
        <v>1210</v>
      </c>
      <c r="G571" s="90">
        <v>13</v>
      </c>
      <c r="H571" s="90">
        <v>7</v>
      </c>
      <c r="I571" s="90" t="s">
        <v>120</v>
      </c>
      <c r="J571" s="90">
        <v>1000</v>
      </c>
      <c r="K571" s="90">
        <v>0</v>
      </c>
      <c r="L571" s="91"/>
      <c r="M571" s="92" t="s">
        <v>2403</v>
      </c>
      <c r="N571" s="93"/>
      <c r="P571" s="21"/>
      <c r="Q571" s="12" t="s">
        <v>1411</v>
      </c>
      <c r="R571">
        <f t="shared" si="25"/>
        <v>1</v>
      </c>
      <c r="S571" s="37"/>
      <c r="T571" s="37"/>
      <c r="W571" t="e">
        <f>INDEX(#REF!,MATCH($E571,#REF!,0))</f>
        <v>#REF!</v>
      </c>
      <c r="X571" t="e">
        <f>INDEX(#REF!,MATCH($E571,#REF!,0))</f>
        <v>#REF!</v>
      </c>
      <c r="Y571" t="e">
        <f>INDEX(#REF!,MATCH($E571,#REF!,0))</f>
        <v>#REF!</v>
      </c>
      <c r="Z571" t="e">
        <f>INDEX(#REF!,MATCH($E571,#REF!,0))</f>
        <v>#REF!</v>
      </c>
      <c r="AA571" t="e">
        <f>INDEX(#REF!,MATCH($E571,#REF!,0))</f>
        <v>#REF!</v>
      </c>
      <c r="AB571" t="e">
        <f>INDEX(#REF!,MATCH($E571,#REF!,0))</f>
        <v>#REF!</v>
      </c>
      <c r="AC571" t="e">
        <f>INDEX(#REF!,MATCH($E571,#REF!,0))</f>
        <v>#REF!</v>
      </c>
      <c r="AD571" t="e">
        <f>INDEX(#REF!,MATCH($E571,#REF!,0))</f>
        <v>#REF!</v>
      </c>
      <c r="AE571" t="e">
        <f t="shared" si="24"/>
        <v>#REF!</v>
      </c>
    </row>
    <row r="572" spans="2:31" x14ac:dyDescent="0.25">
      <c r="B572" s="45" t="s">
        <v>1868</v>
      </c>
      <c r="C572" s="45" t="s">
        <v>1370</v>
      </c>
      <c r="D572" s="89" t="s">
        <v>1394</v>
      </c>
      <c r="E572" s="89">
        <v>116015</v>
      </c>
      <c r="F572" s="89">
        <v>1210</v>
      </c>
      <c r="G572" s="90">
        <v>14</v>
      </c>
      <c r="H572" s="90">
        <v>7</v>
      </c>
      <c r="I572" s="90" t="s">
        <v>120</v>
      </c>
      <c r="J572" s="90">
        <v>1000</v>
      </c>
      <c r="K572" s="90">
        <v>0</v>
      </c>
      <c r="L572" s="91"/>
      <c r="M572" s="92" t="s">
        <v>1144</v>
      </c>
      <c r="N572" s="93"/>
      <c r="P572" s="21"/>
      <c r="Q572" s="12" t="s">
        <v>1411</v>
      </c>
      <c r="R572">
        <f t="shared" si="25"/>
        <v>1</v>
      </c>
      <c r="S572" s="37"/>
      <c r="T572" s="37"/>
      <c r="W572" t="e">
        <f>INDEX(#REF!,MATCH($E572,#REF!,0))</f>
        <v>#REF!</v>
      </c>
      <c r="X572" t="e">
        <f>INDEX(#REF!,MATCH($E572,#REF!,0))</f>
        <v>#REF!</v>
      </c>
      <c r="Y572" t="e">
        <f>INDEX(#REF!,MATCH($E572,#REF!,0))</f>
        <v>#REF!</v>
      </c>
      <c r="Z572" t="e">
        <f>INDEX(#REF!,MATCH($E572,#REF!,0))</f>
        <v>#REF!</v>
      </c>
      <c r="AA572" t="e">
        <f>INDEX(#REF!,MATCH($E572,#REF!,0))</f>
        <v>#REF!</v>
      </c>
      <c r="AB572" t="e">
        <f>INDEX(#REF!,MATCH($E572,#REF!,0))</f>
        <v>#REF!</v>
      </c>
      <c r="AC572" t="e">
        <f>INDEX(#REF!,MATCH($E572,#REF!,0))</f>
        <v>#REF!</v>
      </c>
      <c r="AD572" t="e">
        <f>INDEX(#REF!,MATCH($E572,#REF!,0))</f>
        <v>#REF!</v>
      </c>
      <c r="AE572" t="e">
        <f t="shared" si="24"/>
        <v>#REF!</v>
      </c>
    </row>
    <row r="573" spans="2:31" x14ac:dyDescent="0.25">
      <c r="B573" s="45" t="s">
        <v>1869</v>
      </c>
      <c r="C573" s="45" t="s">
        <v>1371</v>
      </c>
      <c r="D573" s="89" t="s">
        <v>1395</v>
      </c>
      <c r="E573" s="89">
        <v>116016</v>
      </c>
      <c r="F573" s="89">
        <v>1210</v>
      </c>
      <c r="G573" s="90">
        <v>15</v>
      </c>
      <c r="H573" s="90">
        <v>7</v>
      </c>
      <c r="I573" s="90" t="s">
        <v>120</v>
      </c>
      <c r="J573" s="90">
        <v>1000</v>
      </c>
      <c r="K573" s="90">
        <v>0</v>
      </c>
      <c r="L573" s="91"/>
      <c r="M573" s="92" t="s">
        <v>1145</v>
      </c>
      <c r="N573" s="93"/>
      <c r="P573" s="21"/>
      <c r="Q573" s="12" t="s">
        <v>1411</v>
      </c>
      <c r="R573">
        <f t="shared" si="25"/>
        <v>1</v>
      </c>
      <c r="S573" s="37"/>
      <c r="T573" s="37"/>
      <c r="W573" t="e">
        <f>INDEX(#REF!,MATCH($E573,#REF!,0))</f>
        <v>#REF!</v>
      </c>
      <c r="X573" t="e">
        <f>INDEX(#REF!,MATCH($E573,#REF!,0))</f>
        <v>#REF!</v>
      </c>
      <c r="Y573" t="e">
        <f>INDEX(#REF!,MATCH($E573,#REF!,0))</f>
        <v>#REF!</v>
      </c>
      <c r="Z573" t="e">
        <f>INDEX(#REF!,MATCH($E573,#REF!,0))</f>
        <v>#REF!</v>
      </c>
      <c r="AA573" t="e">
        <f>INDEX(#REF!,MATCH($E573,#REF!,0))</f>
        <v>#REF!</v>
      </c>
      <c r="AB573" t="e">
        <f>INDEX(#REF!,MATCH($E573,#REF!,0))</f>
        <v>#REF!</v>
      </c>
      <c r="AC573" t="e">
        <f>INDEX(#REF!,MATCH($E573,#REF!,0))</f>
        <v>#REF!</v>
      </c>
      <c r="AD573" t="e">
        <f>INDEX(#REF!,MATCH($E573,#REF!,0))</f>
        <v>#REF!</v>
      </c>
      <c r="AE573" t="e">
        <f t="shared" si="24"/>
        <v>#REF!</v>
      </c>
    </row>
    <row r="574" spans="2:31" x14ac:dyDescent="0.25">
      <c r="B574" s="45" t="s">
        <v>1870</v>
      </c>
      <c r="C574" s="45" t="s">
        <v>1372</v>
      </c>
      <c r="D574" s="89" t="s">
        <v>1396</v>
      </c>
      <c r="E574" s="89">
        <v>116017</v>
      </c>
      <c r="F574" s="89">
        <v>1210</v>
      </c>
      <c r="G574" s="90">
        <v>16</v>
      </c>
      <c r="H574" s="90">
        <v>7</v>
      </c>
      <c r="I574" s="90" t="s">
        <v>120</v>
      </c>
      <c r="J574" s="90">
        <v>1000</v>
      </c>
      <c r="K574" s="90">
        <v>0</v>
      </c>
      <c r="L574" s="91"/>
      <c r="M574" s="92" t="s">
        <v>1146</v>
      </c>
      <c r="N574" s="93"/>
      <c r="P574" s="21"/>
      <c r="Q574" s="12" t="s">
        <v>1411</v>
      </c>
      <c r="R574">
        <f t="shared" si="25"/>
        <v>1</v>
      </c>
      <c r="S574" s="37"/>
      <c r="T574" s="37"/>
      <c r="W574" t="e">
        <f>INDEX(#REF!,MATCH($E574,#REF!,0))</f>
        <v>#REF!</v>
      </c>
      <c r="X574" t="e">
        <f>INDEX(#REF!,MATCH($E574,#REF!,0))</f>
        <v>#REF!</v>
      </c>
      <c r="Y574" t="e">
        <f>INDEX(#REF!,MATCH($E574,#REF!,0))</f>
        <v>#REF!</v>
      </c>
      <c r="Z574" t="e">
        <f>INDEX(#REF!,MATCH($E574,#REF!,0))</f>
        <v>#REF!</v>
      </c>
      <c r="AA574" t="e">
        <f>INDEX(#REF!,MATCH($E574,#REF!,0))</f>
        <v>#REF!</v>
      </c>
      <c r="AB574" t="e">
        <f>INDEX(#REF!,MATCH($E574,#REF!,0))</f>
        <v>#REF!</v>
      </c>
      <c r="AC574" t="e">
        <f>INDEX(#REF!,MATCH($E574,#REF!,0))</f>
        <v>#REF!</v>
      </c>
      <c r="AD574" t="e">
        <f>INDEX(#REF!,MATCH($E574,#REF!,0))</f>
        <v>#REF!</v>
      </c>
      <c r="AE574" t="e">
        <f t="shared" si="24"/>
        <v>#REF!</v>
      </c>
    </row>
    <row r="575" spans="2:31" x14ac:dyDescent="0.25">
      <c r="B575" s="45" t="s">
        <v>1871</v>
      </c>
      <c r="C575" s="45" t="s">
        <v>1373</v>
      </c>
      <c r="D575" s="89" t="s">
        <v>1397</v>
      </c>
      <c r="E575" s="89">
        <v>116018</v>
      </c>
      <c r="F575" s="89">
        <v>1210</v>
      </c>
      <c r="G575" s="90">
        <v>17</v>
      </c>
      <c r="H575" s="90">
        <v>7</v>
      </c>
      <c r="I575" s="90" t="s">
        <v>120</v>
      </c>
      <c r="J575" s="90">
        <v>1000</v>
      </c>
      <c r="K575" s="90">
        <v>0</v>
      </c>
      <c r="L575" s="91"/>
      <c r="M575" s="92" t="s">
        <v>1147</v>
      </c>
      <c r="N575" s="93"/>
      <c r="P575" s="21"/>
      <c r="Q575" s="12" t="s">
        <v>1411</v>
      </c>
      <c r="R575">
        <f t="shared" si="25"/>
        <v>1</v>
      </c>
      <c r="S575" s="37"/>
      <c r="T575" s="37"/>
      <c r="W575" t="e">
        <f>INDEX(#REF!,MATCH($E575,#REF!,0))</f>
        <v>#REF!</v>
      </c>
      <c r="X575" t="e">
        <f>INDEX(#REF!,MATCH($E575,#REF!,0))</f>
        <v>#REF!</v>
      </c>
      <c r="Y575" t="e">
        <f>INDEX(#REF!,MATCH($E575,#REF!,0))</f>
        <v>#REF!</v>
      </c>
      <c r="Z575" t="e">
        <f>INDEX(#REF!,MATCH($E575,#REF!,0))</f>
        <v>#REF!</v>
      </c>
      <c r="AA575" t="e">
        <f>INDEX(#REF!,MATCH($E575,#REF!,0))</f>
        <v>#REF!</v>
      </c>
      <c r="AB575" t="e">
        <f>INDEX(#REF!,MATCH($E575,#REF!,0))</f>
        <v>#REF!</v>
      </c>
      <c r="AC575" t="e">
        <f>INDEX(#REF!,MATCH($E575,#REF!,0))</f>
        <v>#REF!</v>
      </c>
      <c r="AD575" t="e">
        <f>INDEX(#REF!,MATCH($E575,#REF!,0))</f>
        <v>#REF!</v>
      </c>
      <c r="AE575" t="e">
        <f t="shared" si="24"/>
        <v>#REF!</v>
      </c>
    </row>
    <row r="576" spans="2:31" x14ac:dyDescent="0.25">
      <c r="B576" s="45" t="s">
        <v>1872</v>
      </c>
      <c r="C576" s="45" t="s">
        <v>1374</v>
      </c>
      <c r="D576" s="89" t="s">
        <v>1398</v>
      </c>
      <c r="E576" s="89">
        <v>116019</v>
      </c>
      <c r="F576" s="89">
        <v>1210</v>
      </c>
      <c r="G576" s="90">
        <v>18</v>
      </c>
      <c r="H576" s="90">
        <v>7</v>
      </c>
      <c r="I576" s="90" t="s">
        <v>120</v>
      </c>
      <c r="J576" s="90">
        <v>1000</v>
      </c>
      <c r="K576" s="90">
        <v>0</v>
      </c>
      <c r="L576" s="91"/>
      <c r="M576" s="92" t="s">
        <v>1148</v>
      </c>
      <c r="N576" s="93"/>
      <c r="P576" s="21"/>
      <c r="Q576" s="12" t="s">
        <v>1411</v>
      </c>
      <c r="R576">
        <f t="shared" si="25"/>
        <v>1</v>
      </c>
      <c r="S576" s="37"/>
      <c r="T576" s="37"/>
      <c r="W576" t="e">
        <f>INDEX(#REF!,MATCH($E576,#REF!,0))</f>
        <v>#REF!</v>
      </c>
      <c r="X576" t="e">
        <f>INDEX(#REF!,MATCH($E576,#REF!,0))</f>
        <v>#REF!</v>
      </c>
      <c r="Y576" t="e">
        <f>INDEX(#REF!,MATCH($E576,#REF!,0))</f>
        <v>#REF!</v>
      </c>
      <c r="Z576" t="e">
        <f>INDEX(#REF!,MATCH($E576,#REF!,0))</f>
        <v>#REF!</v>
      </c>
      <c r="AA576" t="e">
        <f>INDEX(#REF!,MATCH($E576,#REF!,0))</f>
        <v>#REF!</v>
      </c>
      <c r="AB576" t="e">
        <f>INDEX(#REF!,MATCH($E576,#REF!,0))</f>
        <v>#REF!</v>
      </c>
      <c r="AC576" t="e">
        <f>INDEX(#REF!,MATCH($E576,#REF!,0))</f>
        <v>#REF!</v>
      </c>
      <c r="AD576" t="e">
        <f>INDEX(#REF!,MATCH($E576,#REF!,0))</f>
        <v>#REF!</v>
      </c>
      <c r="AE576" t="e">
        <f t="shared" si="24"/>
        <v>#REF!</v>
      </c>
    </row>
    <row r="577" spans="2:31" x14ac:dyDescent="0.25">
      <c r="B577" s="45" t="s">
        <v>1873</v>
      </c>
      <c r="C577" s="45" t="s">
        <v>1375</v>
      </c>
      <c r="D577" s="89" t="s">
        <v>1399</v>
      </c>
      <c r="E577" s="89">
        <v>116020</v>
      </c>
      <c r="F577" s="89">
        <v>1210</v>
      </c>
      <c r="G577" s="90">
        <v>19</v>
      </c>
      <c r="H577" s="90">
        <v>7</v>
      </c>
      <c r="I577" s="90" t="s">
        <v>120</v>
      </c>
      <c r="J577" s="90">
        <v>1000</v>
      </c>
      <c r="K577" s="90">
        <v>0</v>
      </c>
      <c r="L577" s="91"/>
      <c r="M577" s="92"/>
      <c r="N577" s="93"/>
      <c r="P577" s="21"/>
      <c r="Q577" s="12" t="s">
        <v>1411</v>
      </c>
      <c r="R577">
        <f t="shared" si="25"/>
        <v>1</v>
      </c>
      <c r="S577" s="37"/>
      <c r="T577" s="37"/>
      <c r="W577" t="e">
        <f>INDEX(#REF!,MATCH($E577,#REF!,0))</f>
        <v>#REF!</v>
      </c>
      <c r="X577" t="e">
        <f>INDEX(#REF!,MATCH($E577,#REF!,0))</f>
        <v>#REF!</v>
      </c>
      <c r="Y577" t="e">
        <f>INDEX(#REF!,MATCH($E577,#REF!,0))</f>
        <v>#REF!</v>
      </c>
      <c r="Z577" t="e">
        <f>INDEX(#REF!,MATCH($E577,#REF!,0))</f>
        <v>#REF!</v>
      </c>
      <c r="AA577" t="e">
        <f>INDEX(#REF!,MATCH($E577,#REF!,0))</f>
        <v>#REF!</v>
      </c>
      <c r="AB577" t="e">
        <f>INDEX(#REF!,MATCH($E577,#REF!,0))</f>
        <v>#REF!</v>
      </c>
      <c r="AC577" t="e">
        <f>INDEX(#REF!,MATCH($E577,#REF!,0))</f>
        <v>#REF!</v>
      </c>
      <c r="AD577" t="e">
        <f>INDEX(#REF!,MATCH($E577,#REF!,0))</f>
        <v>#REF!</v>
      </c>
      <c r="AE577" t="e">
        <f t="shared" si="24"/>
        <v>#REF!</v>
      </c>
    </row>
    <row r="578" spans="2:31" x14ac:dyDescent="0.25">
      <c r="B578" s="45" t="s">
        <v>1874</v>
      </c>
      <c r="C578" s="45" t="s">
        <v>1376</v>
      </c>
      <c r="D578" s="89" t="s">
        <v>1400</v>
      </c>
      <c r="E578" s="89">
        <v>116021</v>
      </c>
      <c r="F578" s="89">
        <v>1210</v>
      </c>
      <c r="G578" s="90">
        <v>20</v>
      </c>
      <c r="H578" s="90">
        <v>7</v>
      </c>
      <c r="I578" s="90" t="s">
        <v>120</v>
      </c>
      <c r="J578" s="90">
        <v>1000</v>
      </c>
      <c r="K578" s="90">
        <v>0</v>
      </c>
      <c r="L578" s="91"/>
      <c r="M578" s="92" t="s">
        <v>2404</v>
      </c>
      <c r="N578" s="93"/>
      <c r="P578" s="21"/>
      <c r="Q578" s="12" t="s">
        <v>1411</v>
      </c>
      <c r="R578">
        <f t="shared" si="25"/>
        <v>1</v>
      </c>
      <c r="S578" s="37"/>
      <c r="T578" s="37"/>
      <c r="W578" t="e">
        <f>INDEX(#REF!,MATCH($E578,#REF!,0))</f>
        <v>#REF!</v>
      </c>
      <c r="X578" t="e">
        <f>INDEX(#REF!,MATCH($E578,#REF!,0))</f>
        <v>#REF!</v>
      </c>
      <c r="Y578" t="e">
        <f>INDEX(#REF!,MATCH($E578,#REF!,0))</f>
        <v>#REF!</v>
      </c>
      <c r="Z578" t="e">
        <f>INDEX(#REF!,MATCH($E578,#REF!,0))</f>
        <v>#REF!</v>
      </c>
      <c r="AA578" t="e">
        <f>INDEX(#REF!,MATCH($E578,#REF!,0))</f>
        <v>#REF!</v>
      </c>
      <c r="AB578" t="e">
        <f>INDEX(#REF!,MATCH($E578,#REF!,0))</f>
        <v>#REF!</v>
      </c>
      <c r="AC578" t="e">
        <f>INDEX(#REF!,MATCH($E578,#REF!,0))</f>
        <v>#REF!</v>
      </c>
      <c r="AD578" t="e">
        <f>INDEX(#REF!,MATCH($E578,#REF!,0))</f>
        <v>#REF!</v>
      </c>
      <c r="AE578" t="e">
        <f t="shared" si="24"/>
        <v>#REF!</v>
      </c>
    </row>
    <row r="579" spans="2:31" x14ac:dyDescent="0.25">
      <c r="B579" s="45" t="s">
        <v>1875</v>
      </c>
      <c r="C579" s="45" t="s">
        <v>1377</v>
      </c>
      <c r="D579" s="89" t="s">
        <v>1401</v>
      </c>
      <c r="E579" s="89">
        <v>116022</v>
      </c>
      <c r="F579" s="89">
        <v>1210</v>
      </c>
      <c r="G579" s="90">
        <v>21</v>
      </c>
      <c r="H579" s="90">
        <v>7</v>
      </c>
      <c r="I579" s="90" t="s">
        <v>120</v>
      </c>
      <c r="J579" s="90">
        <v>1000</v>
      </c>
      <c r="K579" s="90">
        <v>0</v>
      </c>
      <c r="L579" s="91"/>
      <c r="M579" s="92" t="s">
        <v>1149</v>
      </c>
      <c r="N579" s="93"/>
      <c r="P579" s="21"/>
      <c r="Q579" s="12" t="s">
        <v>1411</v>
      </c>
      <c r="R579">
        <f t="shared" si="25"/>
        <v>1</v>
      </c>
      <c r="S579" s="37"/>
      <c r="T579" s="37"/>
      <c r="W579" t="e">
        <f>INDEX(#REF!,MATCH($E579,#REF!,0))</f>
        <v>#REF!</v>
      </c>
      <c r="X579" t="e">
        <f>INDEX(#REF!,MATCH($E579,#REF!,0))</f>
        <v>#REF!</v>
      </c>
      <c r="Y579" t="e">
        <f>INDEX(#REF!,MATCH($E579,#REF!,0))</f>
        <v>#REF!</v>
      </c>
      <c r="Z579" t="e">
        <f>INDEX(#REF!,MATCH($E579,#REF!,0))</f>
        <v>#REF!</v>
      </c>
      <c r="AA579" t="e">
        <f>INDEX(#REF!,MATCH($E579,#REF!,0))</f>
        <v>#REF!</v>
      </c>
      <c r="AB579" t="e">
        <f>INDEX(#REF!,MATCH($E579,#REF!,0))</f>
        <v>#REF!</v>
      </c>
      <c r="AC579" t="e">
        <f>INDEX(#REF!,MATCH($E579,#REF!,0))</f>
        <v>#REF!</v>
      </c>
      <c r="AD579" t="e">
        <f>INDEX(#REF!,MATCH($E579,#REF!,0))</f>
        <v>#REF!</v>
      </c>
      <c r="AE579" t="e">
        <f t="shared" si="24"/>
        <v>#REF!</v>
      </c>
    </row>
    <row r="580" spans="2:31" x14ac:dyDescent="0.25">
      <c r="B580" s="45" t="s">
        <v>1876</v>
      </c>
      <c r="C580" s="45" t="s">
        <v>1378</v>
      </c>
      <c r="D580" s="89" t="s">
        <v>1402</v>
      </c>
      <c r="E580" s="89">
        <v>116023</v>
      </c>
      <c r="F580" s="89">
        <v>1210</v>
      </c>
      <c r="G580" s="90">
        <v>22</v>
      </c>
      <c r="H580" s="90">
        <v>7</v>
      </c>
      <c r="I580" s="90" t="s">
        <v>120</v>
      </c>
      <c r="J580" s="90">
        <v>1000</v>
      </c>
      <c r="K580" s="90">
        <v>0</v>
      </c>
      <c r="L580" s="91"/>
      <c r="M580" s="92"/>
      <c r="N580" s="93"/>
      <c r="P580" s="21"/>
      <c r="Q580" s="12" t="s">
        <v>1411</v>
      </c>
      <c r="R580">
        <f t="shared" si="25"/>
        <v>1</v>
      </c>
      <c r="S580" s="37"/>
      <c r="T580" s="37"/>
      <c r="W580" t="e">
        <f>INDEX(#REF!,MATCH($E580,#REF!,0))</f>
        <v>#REF!</v>
      </c>
      <c r="X580" t="e">
        <f>INDEX(#REF!,MATCH($E580,#REF!,0))</f>
        <v>#REF!</v>
      </c>
      <c r="Y580" t="e">
        <f>INDEX(#REF!,MATCH($E580,#REF!,0))</f>
        <v>#REF!</v>
      </c>
      <c r="Z580" t="e">
        <f>INDEX(#REF!,MATCH($E580,#REF!,0))</f>
        <v>#REF!</v>
      </c>
      <c r="AA580" t="e">
        <f>INDEX(#REF!,MATCH($E580,#REF!,0))</f>
        <v>#REF!</v>
      </c>
      <c r="AB580" t="e">
        <f>INDEX(#REF!,MATCH($E580,#REF!,0))</f>
        <v>#REF!</v>
      </c>
      <c r="AC580" t="e">
        <f>INDEX(#REF!,MATCH($E580,#REF!,0))</f>
        <v>#REF!</v>
      </c>
      <c r="AD580" t="e">
        <f>INDEX(#REF!,MATCH($E580,#REF!,0))</f>
        <v>#REF!</v>
      </c>
      <c r="AE580" t="e">
        <f t="shared" si="24"/>
        <v>#REF!</v>
      </c>
    </row>
    <row r="581" spans="2:31" x14ac:dyDescent="0.25">
      <c r="B581" s="45" t="s">
        <v>1877</v>
      </c>
      <c r="C581" s="45" t="s">
        <v>1379</v>
      </c>
      <c r="D581" s="89" t="s">
        <v>1403</v>
      </c>
      <c r="E581" s="89">
        <v>116024</v>
      </c>
      <c r="F581" s="89">
        <v>1210</v>
      </c>
      <c r="G581" s="90">
        <v>23</v>
      </c>
      <c r="H581" s="90">
        <v>7</v>
      </c>
      <c r="I581" s="90" t="s">
        <v>120</v>
      </c>
      <c r="J581" s="90">
        <v>1000</v>
      </c>
      <c r="K581" s="90">
        <v>0</v>
      </c>
      <c r="L581" s="91"/>
      <c r="M581" s="92" t="s">
        <v>1150</v>
      </c>
      <c r="N581" s="93"/>
      <c r="P581" s="21"/>
      <c r="Q581" s="12" t="s">
        <v>1411</v>
      </c>
      <c r="R581">
        <f t="shared" si="25"/>
        <v>1</v>
      </c>
      <c r="S581" s="37"/>
      <c r="T581" s="37"/>
      <c r="W581" t="e">
        <f>INDEX(#REF!,MATCH($E581,#REF!,0))</f>
        <v>#REF!</v>
      </c>
      <c r="X581" t="e">
        <f>INDEX(#REF!,MATCH($E581,#REF!,0))</f>
        <v>#REF!</v>
      </c>
      <c r="Y581" t="e">
        <f>INDEX(#REF!,MATCH($E581,#REF!,0))</f>
        <v>#REF!</v>
      </c>
      <c r="Z581" t="e">
        <f>INDEX(#REF!,MATCH($E581,#REF!,0))</f>
        <v>#REF!</v>
      </c>
      <c r="AA581" t="e">
        <f>INDEX(#REF!,MATCH($E581,#REF!,0))</f>
        <v>#REF!</v>
      </c>
      <c r="AB581" t="e">
        <f>INDEX(#REF!,MATCH($E581,#REF!,0))</f>
        <v>#REF!</v>
      </c>
      <c r="AC581" t="e">
        <f>INDEX(#REF!,MATCH($E581,#REF!,0))</f>
        <v>#REF!</v>
      </c>
      <c r="AD581" t="e">
        <f>INDEX(#REF!,MATCH($E581,#REF!,0))</f>
        <v>#REF!</v>
      </c>
      <c r="AE581" t="e">
        <f t="shared" si="24"/>
        <v>#REF!</v>
      </c>
    </row>
    <row r="582" spans="2:31" x14ac:dyDescent="0.25">
      <c r="B582" s="45" t="s">
        <v>1878</v>
      </c>
      <c r="C582" s="45" t="s">
        <v>1380</v>
      </c>
      <c r="D582" s="89" t="s">
        <v>1404</v>
      </c>
      <c r="E582" s="89">
        <v>116025</v>
      </c>
      <c r="F582" s="89">
        <v>1210</v>
      </c>
      <c r="G582" s="90">
        <v>24</v>
      </c>
      <c r="H582" s="90">
        <v>7</v>
      </c>
      <c r="I582" s="90" t="s">
        <v>120</v>
      </c>
      <c r="J582" s="90">
        <v>1000</v>
      </c>
      <c r="K582" s="90">
        <v>0</v>
      </c>
      <c r="L582" s="91"/>
      <c r="M582" s="92"/>
      <c r="N582" s="93"/>
      <c r="P582" s="21"/>
      <c r="Q582" s="12" t="s">
        <v>1411</v>
      </c>
      <c r="R582">
        <f t="shared" si="25"/>
        <v>1</v>
      </c>
      <c r="S582" s="37"/>
      <c r="T582" s="37"/>
      <c r="W582" t="e">
        <f>INDEX(#REF!,MATCH($E582,#REF!,0))</f>
        <v>#REF!</v>
      </c>
      <c r="X582" t="e">
        <f>INDEX(#REF!,MATCH($E582,#REF!,0))</f>
        <v>#REF!</v>
      </c>
      <c r="Y582" t="e">
        <f>INDEX(#REF!,MATCH($E582,#REF!,0))</f>
        <v>#REF!</v>
      </c>
      <c r="Z582" t="e">
        <f>INDEX(#REF!,MATCH($E582,#REF!,0))</f>
        <v>#REF!</v>
      </c>
      <c r="AA582" t="e">
        <f>INDEX(#REF!,MATCH($E582,#REF!,0))</f>
        <v>#REF!</v>
      </c>
      <c r="AB582" t="e">
        <f>INDEX(#REF!,MATCH($E582,#REF!,0))</f>
        <v>#REF!</v>
      </c>
      <c r="AC582" t="e">
        <f>INDEX(#REF!,MATCH($E582,#REF!,0))</f>
        <v>#REF!</v>
      </c>
      <c r="AD582" t="e">
        <f>INDEX(#REF!,MATCH($E582,#REF!,0))</f>
        <v>#REF!</v>
      </c>
      <c r="AE582" t="e">
        <f t="shared" si="24"/>
        <v>#REF!</v>
      </c>
    </row>
    <row r="583" spans="2:31" x14ac:dyDescent="0.25">
      <c r="B583" s="45" t="s">
        <v>1879</v>
      </c>
      <c r="C583" s="45" t="s">
        <v>1381</v>
      </c>
      <c r="D583" s="89" t="s">
        <v>1405</v>
      </c>
      <c r="E583" s="89">
        <v>116026</v>
      </c>
      <c r="F583" s="89">
        <v>1211</v>
      </c>
      <c r="G583" s="90">
        <v>0</v>
      </c>
      <c r="H583" s="90">
        <v>7</v>
      </c>
      <c r="I583" s="90" t="s">
        <v>120</v>
      </c>
      <c r="J583" s="90">
        <v>1000</v>
      </c>
      <c r="K583" s="90">
        <v>0</v>
      </c>
      <c r="L583" s="91"/>
      <c r="M583" s="92" t="s">
        <v>1151</v>
      </c>
      <c r="N583" s="93"/>
      <c r="P583" s="21"/>
      <c r="Q583" s="12" t="s">
        <v>1411</v>
      </c>
      <c r="R583">
        <f t="shared" si="25"/>
        <v>1</v>
      </c>
      <c r="S583" s="37"/>
      <c r="T583" s="37"/>
      <c r="W583" t="e">
        <f>INDEX(#REF!,MATCH($E583,#REF!,0))</f>
        <v>#REF!</v>
      </c>
      <c r="X583" t="e">
        <f>INDEX(#REF!,MATCH($E583,#REF!,0))</f>
        <v>#REF!</v>
      </c>
      <c r="Y583" t="e">
        <f>INDEX(#REF!,MATCH($E583,#REF!,0))</f>
        <v>#REF!</v>
      </c>
      <c r="Z583" t="e">
        <f>INDEX(#REF!,MATCH($E583,#REF!,0))</f>
        <v>#REF!</v>
      </c>
      <c r="AA583" t="e">
        <f>INDEX(#REF!,MATCH($E583,#REF!,0))</f>
        <v>#REF!</v>
      </c>
      <c r="AB583" t="e">
        <f>INDEX(#REF!,MATCH($E583,#REF!,0))</f>
        <v>#REF!</v>
      </c>
      <c r="AC583" t="e">
        <f>INDEX(#REF!,MATCH($E583,#REF!,0))</f>
        <v>#REF!</v>
      </c>
      <c r="AD583" t="e">
        <f>INDEX(#REF!,MATCH($E583,#REF!,0))</f>
        <v>#REF!</v>
      </c>
      <c r="AE583" t="e">
        <f t="shared" si="24"/>
        <v>#REF!</v>
      </c>
    </row>
    <row r="584" spans="2:31" ht="45" x14ac:dyDescent="0.25">
      <c r="B584" s="45" t="s">
        <v>1880</v>
      </c>
      <c r="C584" s="45" t="s">
        <v>1382</v>
      </c>
      <c r="D584" s="89" t="s">
        <v>1406</v>
      </c>
      <c r="E584" s="89">
        <v>116027</v>
      </c>
      <c r="F584" s="89">
        <v>1211</v>
      </c>
      <c r="G584" s="90">
        <v>1</v>
      </c>
      <c r="H584" s="90">
        <v>7</v>
      </c>
      <c r="I584" s="90" t="s">
        <v>120</v>
      </c>
      <c r="J584" s="90">
        <v>1000</v>
      </c>
      <c r="K584" s="90">
        <v>0</v>
      </c>
      <c r="L584" s="91"/>
      <c r="M584" s="92" t="s">
        <v>2244</v>
      </c>
      <c r="N584" s="93"/>
      <c r="P584" s="21"/>
      <c r="Q584" s="12" t="s">
        <v>1411</v>
      </c>
      <c r="R584">
        <f t="shared" si="25"/>
        <v>1</v>
      </c>
      <c r="S584" s="37"/>
      <c r="T584" s="37"/>
      <c r="W584" t="e">
        <f>INDEX(#REF!,MATCH($E584,#REF!,0))</f>
        <v>#REF!</v>
      </c>
      <c r="X584" t="e">
        <f>INDEX(#REF!,MATCH($E584,#REF!,0))</f>
        <v>#REF!</v>
      </c>
      <c r="Y584" t="e">
        <f>INDEX(#REF!,MATCH($E584,#REF!,0))</f>
        <v>#REF!</v>
      </c>
      <c r="Z584" t="e">
        <f>INDEX(#REF!,MATCH($E584,#REF!,0))</f>
        <v>#REF!</v>
      </c>
      <c r="AA584" t="e">
        <f>INDEX(#REF!,MATCH($E584,#REF!,0))</f>
        <v>#REF!</v>
      </c>
      <c r="AB584" t="e">
        <f>INDEX(#REF!,MATCH($E584,#REF!,0))</f>
        <v>#REF!</v>
      </c>
      <c r="AC584" t="e">
        <f>INDEX(#REF!,MATCH($E584,#REF!,0))</f>
        <v>#REF!</v>
      </c>
      <c r="AD584" t="e">
        <f>INDEX(#REF!,MATCH($E584,#REF!,0))</f>
        <v>#REF!</v>
      </c>
      <c r="AE584" t="e">
        <f t="shared" si="24"/>
        <v>#REF!</v>
      </c>
    </row>
    <row r="585" spans="2:31" ht="45" x14ac:dyDescent="0.25">
      <c r="B585" s="45" t="s">
        <v>1881</v>
      </c>
      <c r="C585" s="45" t="s">
        <v>1383</v>
      </c>
      <c r="D585" s="89" t="s">
        <v>1407</v>
      </c>
      <c r="E585" s="89">
        <v>116028</v>
      </c>
      <c r="F585" s="89">
        <v>1211</v>
      </c>
      <c r="G585" s="90">
        <v>2</v>
      </c>
      <c r="H585" s="90">
        <v>7</v>
      </c>
      <c r="I585" s="90" t="s">
        <v>120</v>
      </c>
      <c r="J585" s="90">
        <v>1000</v>
      </c>
      <c r="K585" s="90">
        <v>0</v>
      </c>
      <c r="L585" s="91"/>
      <c r="M585" s="92" t="s">
        <v>2245</v>
      </c>
      <c r="N585" s="93"/>
      <c r="P585" s="21"/>
      <c r="Q585" s="12" t="s">
        <v>1411</v>
      </c>
      <c r="R585">
        <f t="shared" si="25"/>
        <v>1</v>
      </c>
      <c r="S585" s="37"/>
      <c r="T585" s="37"/>
      <c r="W585" t="e">
        <f>INDEX(#REF!,MATCH($E585,#REF!,0))</f>
        <v>#REF!</v>
      </c>
      <c r="X585" t="e">
        <f>INDEX(#REF!,MATCH($E585,#REF!,0))</f>
        <v>#REF!</v>
      </c>
      <c r="Y585" t="e">
        <f>INDEX(#REF!,MATCH($E585,#REF!,0))</f>
        <v>#REF!</v>
      </c>
      <c r="Z585" t="e">
        <f>INDEX(#REF!,MATCH($E585,#REF!,0))</f>
        <v>#REF!</v>
      </c>
      <c r="AA585" t="e">
        <f>INDEX(#REF!,MATCH($E585,#REF!,0))</f>
        <v>#REF!</v>
      </c>
      <c r="AB585" t="e">
        <f>INDEX(#REF!,MATCH($E585,#REF!,0))</f>
        <v>#REF!</v>
      </c>
      <c r="AC585" t="e">
        <f>INDEX(#REF!,MATCH($E585,#REF!,0))</f>
        <v>#REF!</v>
      </c>
      <c r="AD585" t="e">
        <f>INDEX(#REF!,MATCH($E585,#REF!,0))</f>
        <v>#REF!</v>
      </c>
      <c r="AE585" t="e">
        <f t="shared" si="24"/>
        <v>#REF!</v>
      </c>
    </row>
    <row r="586" spans="2:31" x14ac:dyDescent="0.25">
      <c r="B586" s="45" t="s">
        <v>1882</v>
      </c>
      <c r="C586" s="45" t="s">
        <v>1384</v>
      </c>
      <c r="D586" s="89" t="s">
        <v>1408</v>
      </c>
      <c r="E586" s="89">
        <v>116029</v>
      </c>
      <c r="F586" s="89">
        <v>1211</v>
      </c>
      <c r="G586" s="90">
        <v>3</v>
      </c>
      <c r="H586" s="90">
        <v>7</v>
      </c>
      <c r="I586" s="90" t="s">
        <v>120</v>
      </c>
      <c r="J586" s="90">
        <v>1000</v>
      </c>
      <c r="K586" s="90">
        <v>0</v>
      </c>
      <c r="L586" s="91"/>
      <c r="M586" s="92" t="s">
        <v>2318</v>
      </c>
      <c r="N586" s="93"/>
      <c r="P586" s="21"/>
      <c r="Q586" s="12" t="s">
        <v>1411</v>
      </c>
      <c r="R586">
        <f t="shared" si="25"/>
        <v>1</v>
      </c>
      <c r="S586" s="37"/>
      <c r="T586" s="37"/>
      <c r="W586" t="e">
        <f>INDEX(#REF!,MATCH($E586,#REF!,0))</f>
        <v>#REF!</v>
      </c>
      <c r="X586" t="e">
        <f>INDEX(#REF!,MATCH($E586,#REF!,0))</f>
        <v>#REF!</v>
      </c>
      <c r="Y586" t="e">
        <f>INDEX(#REF!,MATCH($E586,#REF!,0))</f>
        <v>#REF!</v>
      </c>
      <c r="Z586" t="e">
        <f>INDEX(#REF!,MATCH($E586,#REF!,0))</f>
        <v>#REF!</v>
      </c>
      <c r="AA586" t="e">
        <f>INDEX(#REF!,MATCH($E586,#REF!,0))</f>
        <v>#REF!</v>
      </c>
      <c r="AB586" t="e">
        <f>INDEX(#REF!,MATCH($E586,#REF!,0))</f>
        <v>#REF!</v>
      </c>
      <c r="AC586" t="e">
        <f>INDEX(#REF!,MATCH($E586,#REF!,0))</f>
        <v>#REF!</v>
      </c>
      <c r="AD586" t="e">
        <f>INDEX(#REF!,MATCH($E586,#REF!,0))</f>
        <v>#REF!</v>
      </c>
      <c r="AE586" t="e">
        <f t="shared" si="24"/>
        <v>#REF!</v>
      </c>
    </row>
    <row r="587" spans="2:31" x14ac:dyDescent="0.25">
      <c r="B587" s="45" t="s">
        <v>1883</v>
      </c>
      <c r="C587" s="45" t="s">
        <v>1385</v>
      </c>
      <c r="D587" s="89" t="s">
        <v>1409</v>
      </c>
      <c r="E587" s="89">
        <v>116030</v>
      </c>
      <c r="F587" s="89">
        <v>1211</v>
      </c>
      <c r="G587" s="90">
        <v>4</v>
      </c>
      <c r="H587" s="90">
        <v>7</v>
      </c>
      <c r="I587" s="90" t="s">
        <v>120</v>
      </c>
      <c r="J587" s="90">
        <v>1000</v>
      </c>
      <c r="K587" s="90">
        <v>0</v>
      </c>
      <c r="L587" s="91"/>
      <c r="M587" s="92" t="s">
        <v>2319</v>
      </c>
      <c r="N587" s="93"/>
      <c r="P587" s="21"/>
      <c r="Q587" s="12" t="s">
        <v>1411</v>
      </c>
      <c r="R587">
        <f t="shared" si="25"/>
        <v>1</v>
      </c>
      <c r="S587" s="37"/>
      <c r="T587" s="37"/>
      <c r="W587" t="e">
        <f>INDEX(#REF!,MATCH($E587,#REF!,0))</f>
        <v>#REF!</v>
      </c>
      <c r="X587" t="e">
        <f>INDEX(#REF!,MATCH($E587,#REF!,0))</f>
        <v>#REF!</v>
      </c>
      <c r="Y587" t="e">
        <f>INDEX(#REF!,MATCH($E587,#REF!,0))</f>
        <v>#REF!</v>
      </c>
      <c r="Z587" t="e">
        <f>INDEX(#REF!,MATCH($E587,#REF!,0))</f>
        <v>#REF!</v>
      </c>
      <c r="AA587" t="e">
        <f>INDEX(#REF!,MATCH($E587,#REF!,0))</f>
        <v>#REF!</v>
      </c>
      <c r="AB587" t="e">
        <f>INDEX(#REF!,MATCH($E587,#REF!,0))</f>
        <v>#REF!</v>
      </c>
      <c r="AC587" t="e">
        <f>INDEX(#REF!,MATCH($E587,#REF!,0))</f>
        <v>#REF!</v>
      </c>
      <c r="AD587" t="e">
        <f>INDEX(#REF!,MATCH($E587,#REF!,0))</f>
        <v>#REF!</v>
      </c>
      <c r="AE587" t="e">
        <f t="shared" si="24"/>
        <v>#REF!</v>
      </c>
    </row>
    <row r="588" spans="2:31" x14ac:dyDescent="0.25">
      <c r="B588" s="45" t="s">
        <v>1884</v>
      </c>
      <c r="C588" s="45" t="s">
        <v>1386</v>
      </c>
      <c r="D588" s="89" t="s">
        <v>1410</v>
      </c>
      <c r="E588" s="89">
        <v>116031</v>
      </c>
      <c r="F588" s="89">
        <v>1211</v>
      </c>
      <c r="G588" s="90">
        <v>5</v>
      </c>
      <c r="H588" s="90">
        <v>7</v>
      </c>
      <c r="I588" s="90" t="s">
        <v>120</v>
      </c>
      <c r="J588" s="90">
        <v>1000</v>
      </c>
      <c r="K588" s="90">
        <v>0</v>
      </c>
      <c r="L588" s="91"/>
      <c r="M588" s="92" t="s">
        <v>1152</v>
      </c>
      <c r="N588" s="93"/>
      <c r="P588" s="21"/>
      <c r="Q588" s="12" t="s">
        <v>1411</v>
      </c>
      <c r="R588">
        <f t="shared" si="25"/>
        <v>1</v>
      </c>
      <c r="S588" s="37"/>
      <c r="T588" s="37"/>
      <c r="W588" t="e">
        <f>INDEX(#REF!,MATCH($E588,#REF!,0))</f>
        <v>#REF!</v>
      </c>
      <c r="X588" t="e">
        <f>INDEX(#REF!,MATCH($E588,#REF!,0))</f>
        <v>#REF!</v>
      </c>
      <c r="Y588" t="e">
        <f>INDEX(#REF!,MATCH($E588,#REF!,0))</f>
        <v>#REF!</v>
      </c>
      <c r="Z588" t="e">
        <f>INDEX(#REF!,MATCH($E588,#REF!,0))</f>
        <v>#REF!</v>
      </c>
      <c r="AA588" t="e">
        <f>INDEX(#REF!,MATCH($E588,#REF!,0))</f>
        <v>#REF!</v>
      </c>
      <c r="AB588" t="e">
        <f>INDEX(#REF!,MATCH($E588,#REF!,0))</f>
        <v>#REF!</v>
      </c>
      <c r="AC588" t="e">
        <f>INDEX(#REF!,MATCH($E588,#REF!,0))</f>
        <v>#REF!</v>
      </c>
      <c r="AD588" t="e">
        <f>INDEX(#REF!,MATCH($E588,#REF!,0))</f>
        <v>#REF!</v>
      </c>
      <c r="AE588" t="e">
        <f t="shared" si="24"/>
        <v>#REF!</v>
      </c>
    </row>
    <row r="589" spans="2:31" x14ac:dyDescent="0.25">
      <c r="B589" s="45" t="s">
        <v>3002</v>
      </c>
      <c r="C589" s="45" t="s">
        <v>3000</v>
      </c>
      <c r="D589" s="89"/>
      <c r="E589" s="89">
        <v>116032</v>
      </c>
      <c r="F589" s="89">
        <v>1211</v>
      </c>
      <c r="G589" s="90">
        <v>6</v>
      </c>
      <c r="H589" s="90">
        <v>7</v>
      </c>
      <c r="I589" s="90" t="s">
        <v>26</v>
      </c>
      <c r="J589" s="90">
        <v>1</v>
      </c>
      <c r="K589" s="90">
        <v>0</v>
      </c>
      <c r="L589" s="91"/>
      <c r="M589" s="92"/>
      <c r="N589" s="93"/>
      <c r="P589" s="21"/>
      <c r="Q589" s="12" t="s">
        <v>3006</v>
      </c>
      <c r="R589">
        <f t="shared" si="25"/>
        <v>1</v>
      </c>
      <c r="S589" s="37"/>
      <c r="T589" s="37"/>
      <c r="W589" t="e">
        <f>INDEX(#REF!,MATCH($E589,#REF!,0))</f>
        <v>#REF!</v>
      </c>
      <c r="X589" t="e">
        <f>INDEX(#REF!,MATCH($E589,#REF!,0))</f>
        <v>#REF!</v>
      </c>
      <c r="Y589" t="e">
        <f>INDEX(#REF!,MATCH($E589,#REF!,0))</f>
        <v>#REF!</v>
      </c>
      <c r="Z589" t="e">
        <f>INDEX(#REF!,MATCH($E589,#REF!,0))</f>
        <v>#REF!</v>
      </c>
      <c r="AA589" t="e">
        <f>INDEX(#REF!,MATCH($E589,#REF!,0))</f>
        <v>#REF!</v>
      </c>
      <c r="AB589" t="e">
        <f>INDEX(#REF!,MATCH($E589,#REF!,0))</f>
        <v>#REF!</v>
      </c>
      <c r="AC589" t="e">
        <f>INDEX(#REF!,MATCH($E589,#REF!,0))</f>
        <v>#REF!</v>
      </c>
      <c r="AD589" t="e">
        <f>INDEX(#REF!,MATCH($E589,#REF!,0))</f>
        <v>#REF!</v>
      </c>
      <c r="AE589" t="e">
        <f t="shared" si="24"/>
        <v>#REF!</v>
      </c>
    </row>
    <row r="590" spans="2:31" x14ac:dyDescent="0.25">
      <c r="B590" s="45" t="s">
        <v>3003</v>
      </c>
      <c r="C590" s="45" t="s">
        <v>3001</v>
      </c>
      <c r="D590" s="89"/>
      <c r="E590" s="89">
        <v>116033</v>
      </c>
      <c r="F590" s="89">
        <v>1211</v>
      </c>
      <c r="G590" s="90">
        <v>7</v>
      </c>
      <c r="H590" s="90">
        <v>7</v>
      </c>
      <c r="I590" s="90" t="s">
        <v>26</v>
      </c>
      <c r="J590" s="90">
        <v>1</v>
      </c>
      <c r="K590" s="90">
        <v>0</v>
      </c>
      <c r="L590" s="91"/>
      <c r="M590" s="92"/>
      <c r="N590" s="93"/>
      <c r="P590" s="21"/>
      <c r="Q590" s="12" t="s">
        <v>3006</v>
      </c>
      <c r="R590">
        <f t="shared" si="25"/>
        <v>1</v>
      </c>
      <c r="S590" s="37"/>
      <c r="T590" s="37"/>
      <c r="W590" t="e">
        <f>INDEX(#REF!,MATCH($E590,#REF!,0))</f>
        <v>#REF!</v>
      </c>
      <c r="X590" t="e">
        <f>INDEX(#REF!,MATCH($E590,#REF!,0))</f>
        <v>#REF!</v>
      </c>
      <c r="Y590" t="e">
        <f>INDEX(#REF!,MATCH($E590,#REF!,0))</f>
        <v>#REF!</v>
      </c>
      <c r="Z590" t="e">
        <f>INDEX(#REF!,MATCH($E590,#REF!,0))</f>
        <v>#REF!</v>
      </c>
      <c r="AA590" t="e">
        <f>INDEX(#REF!,MATCH($E590,#REF!,0))</f>
        <v>#REF!</v>
      </c>
      <c r="AB590" t="e">
        <f>INDEX(#REF!,MATCH($E590,#REF!,0))</f>
        <v>#REF!</v>
      </c>
      <c r="AC590" t="e">
        <f>INDEX(#REF!,MATCH($E590,#REF!,0))</f>
        <v>#REF!</v>
      </c>
      <c r="AD590" t="e">
        <f>INDEX(#REF!,MATCH($E590,#REF!,0))</f>
        <v>#REF!</v>
      </c>
      <c r="AE590" t="e">
        <f t="shared" si="24"/>
        <v>#REF!</v>
      </c>
    </row>
    <row r="591" spans="2:31" x14ac:dyDescent="0.25">
      <c r="B591" s="45" t="s">
        <v>2181</v>
      </c>
      <c r="C591" s="45" t="s">
        <v>2180</v>
      </c>
      <c r="D591" s="89" t="s">
        <v>2183</v>
      </c>
      <c r="E591" s="89">
        <v>170012</v>
      </c>
      <c r="F591" s="89">
        <v>1200</v>
      </c>
      <c r="G591" s="90">
        <v>11</v>
      </c>
      <c r="H591" s="90">
        <v>5</v>
      </c>
      <c r="I591" s="90" t="s">
        <v>26</v>
      </c>
      <c r="J591" s="90">
        <v>1</v>
      </c>
      <c r="K591" s="90" t="s">
        <v>2511</v>
      </c>
      <c r="L591" s="91"/>
      <c r="M591" s="92" t="s">
        <v>1142</v>
      </c>
      <c r="N591" s="93"/>
      <c r="P591" s="21" t="s">
        <v>2176</v>
      </c>
      <c r="Q591" s="12"/>
      <c r="R591">
        <f t="shared" si="25"/>
        <v>1</v>
      </c>
      <c r="S591" s="37"/>
      <c r="T591" s="37"/>
      <c r="W591" t="e">
        <f>INDEX(#REF!,MATCH($E591,#REF!,0))</f>
        <v>#REF!</v>
      </c>
      <c r="X591" t="e">
        <f>INDEX(#REF!,MATCH($E591,#REF!,0))</f>
        <v>#REF!</v>
      </c>
      <c r="Y591" t="e">
        <f>INDEX(#REF!,MATCH($E591,#REF!,0))</f>
        <v>#REF!</v>
      </c>
      <c r="Z591" t="e">
        <f>INDEX(#REF!,MATCH($E591,#REF!,0))</f>
        <v>#REF!</v>
      </c>
      <c r="AA591" t="e">
        <f>INDEX(#REF!,MATCH($E591,#REF!,0))</f>
        <v>#REF!</v>
      </c>
      <c r="AB591" t="e">
        <f>INDEX(#REF!,MATCH($E591,#REF!,0))</f>
        <v>#REF!</v>
      </c>
      <c r="AC591" t="e">
        <f>INDEX(#REF!,MATCH($E591,#REF!,0))</f>
        <v>#REF!</v>
      </c>
      <c r="AD591" t="e">
        <f>INDEX(#REF!,MATCH($E591,#REF!,0))</f>
        <v>#REF!</v>
      </c>
      <c r="AE591" t="e">
        <f t="shared" si="24"/>
        <v>#REF!</v>
      </c>
    </row>
    <row r="592" spans="2:31" x14ac:dyDescent="0.25">
      <c r="B592" s="45" t="s">
        <v>2449</v>
      </c>
      <c r="C592" s="45" t="s">
        <v>2450</v>
      </c>
      <c r="D592" s="89" t="s">
        <v>2451</v>
      </c>
      <c r="E592" s="89">
        <v>170164</v>
      </c>
      <c r="F592" s="89">
        <v>1207</v>
      </c>
      <c r="G592" s="90">
        <v>18</v>
      </c>
      <c r="H592" s="90">
        <v>5</v>
      </c>
      <c r="I592" s="90" t="s">
        <v>26</v>
      </c>
      <c r="J592" s="90">
        <v>1</v>
      </c>
      <c r="K592" s="90"/>
      <c r="L592" s="91"/>
      <c r="M592" s="92"/>
      <c r="N592" s="93"/>
      <c r="P592" s="21" t="s">
        <v>2444</v>
      </c>
      <c r="Q592" s="12"/>
      <c r="R592">
        <f t="shared" si="25"/>
        <v>1</v>
      </c>
      <c r="S592" s="37"/>
      <c r="T592" s="37"/>
      <c r="W592" t="e">
        <f>INDEX(#REF!,MATCH($E592,#REF!,0))</f>
        <v>#REF!</v>
      </c>
      <c r="X592" t="e">
        <f>INDEX(#REF!,MATCH($E592,#REF!,0))</f>
        <v>#REF!</v>
      </c>
      <c r="Y592" t="e">
        <f>INDEX(#REF!,MATCH($E592,#REF!,0))</f>
        <v>#REF!</v>
      </c>
      <c r="Z592" t="e">
        <f>INDEX(#REF!,MATCH($E592,#REF!,0))</f>
        <v>#REF!</v>
      </c>
      <c r="AA592" t="e">
        <f>INDEX(#REF!,MATCH($E592,#REF!,0))</f>
        <v>#REF!</v>
      </c>
      <c r="AB592" t="e">
        <f>INDEX(#REF!,MATCH($E592,#REF!,0))</f>
        <v>#REF!</v>
      </c>
      <c r="AC592" t="e">
        <f>INDEX(#REF!,MATCH($E592,#REF!,0))</f>
        <v>#REF!</v>
      </c>
      <c r="AD592" t="e">
        <f>INDEX(#REF!,MATCH($E592,#REF!,0))</f>
        <v>#REF!</v>
      </c>
      <c r="AE592" t="e">
        <f t="shared" si="24"/>
        <v>#REF!</v>
      </c>
    </row>
    <row r="593" spans="2:31" x14ac:dyDescent="0.25">
      <c r="B593" s="45" t="s">
        <v>1885</v>
      </c>
      <c r="C593" s="45" t="s">
        <v>848</v>
      </c>
      <c r="D593" s="89" t="s">
        <v>1106</v>
      </c>
      <c r="E593" s="89">
        <v>900001</v>
      </c>
      <c r="F593" s="89">
        <v>1164</v>
      </c>
      <c r="G593" s="90">
        <v>24</v>
      </c>
      <c r="H593" s="90">
        <v>31</v>
      </c>
      <c r="I593" s="90" t="s">
        <v>210</v>
      </c>
      <c r="J593" s="90">
        <v>100</v>
      </c>
      <c r="K593" s="90">
        <v>0</v>
      </c>
      <c r="L593" s="91"/>
      <c r="M593" s="92" t="s">
        <v>1135</v>
      </c>
      <c r="N593" s="93"/>
      <c r="P593" s="21"/>
      <c r="Q593" s="12"/>
      <c r="R593">
        <f t="shared" si="25"/>
        <v>1</v>
      </c>
      <c r="S593" s="21" t="s">
        <v>99</v>
      </c>
      <c r="T593" s="21">
        <v>398703</v>
      </c>
      <c r="W593" t="e">
        <f>INDEX(#REF!,MATCH($E593,#REF!,0))</f>
        <v>#REF!</v>
      </c>
      <c r="X593" t="e">
        <f>INDEX(#REF!,MATCH($E593,#REF!,0))</f>
        <v>#REF!</v>
      </c>
      <c r="Y593" t="e">
        <f>INDEX(#REF!,MATCH($E593,#REF!,0))</f>
        <v>#REF!</v>
      </c>
      <c r="Z593" t="e">
        <f>INDEX(#REF!,MATCH($E593,#REF!,0))</f>
        <v>#REF!</v>
      </c>
      <c r="AA593" t="e">
        <f>INDEX(#REF!,MATCH($E593,#REF!,0))</f>
        <v>#REF!</v>
      </c>
      <c r="AB593" t="e">
        <f>INDEX(#REF!,MATCH($E593,#REF!,0))</f>
        <v>#REF!</v>
      </c>
      <c r="AC593" t="e">
        <f>INDEX(#REF!,MATCH($E593,#REF!,0))</f>
        <v>#REF!</v>
      </c>
      <c r="AD593" t="e">
        <f>INDEX(#REF!,MATCH($E593,#REF!,0))</f>
        <v>#REF!</v>
      </c>
      <c r="AE593" t="e">
        <f t="shared" si="24"/>
        <v>#REF!</v>
      </c>
    </row>
    <row r="594" spans="2:31" x14ac:dyDescent="0.25">
      <c r="B594" s="45" t="s">
        <v>1886</v>
      </c>
      <c r="C594" s="45" t="s">
        <v>850</v>
      </c>
      <c r="D594" s="89" t="s">
        <v>849</v>
      </c>
      <c r="E594" s="89">
        <v>900006</v>
      </c>
      <c r="F594" s="89">
        <v>1137</v>
      </c>
      <c r="G594" s="90">
        <v>15</v>
      </c>
      <c r="H594" s="90">
        <v>31</v>
      </c>
      <c r="I594" s="90" t="s">
        <v>18</v>
      </c>
      <c r="J594" s="90">
        <v>1</v>
      </c>
      <c r="K594" s="90">
        <v>0</v>
      </c>
      <c r="L594" s="91"/>
      <c r="M594" s="92" t="s">
        <v>1138</v>
      </c>
      <c r="N594" s="93"/>
      <c r="P594" s="21"/>
      <c r="Q594" s="12"/>
      <c r="R594">
        <f t="shared" si="25"/>
        <v>1</v>
      </c>
      <c r="S594" s="21" t="s">
        <v>99</v>
      </c>
      <c r="T594" s="21" t="s">
        <v>99</v>
      </c>
      <c r="W594" t="e">
        <f>INDEX(#REF!,MATCH($E594,#REF!,0))</f>
        <v>#REF!</v>
      </c>
      <c r="X594" t="e">
        <f>INDEX(#REF!,MATCH($E594,#REF!,0))</f>
        <v>#REF!</v>
      </c>
      <c r="Y594" t="e">
        <f>INDEX(#REF!,MATCH($E594,#REF!,0))</f>
        <v>#REF!</v>
      </c>
      <c r="Z594" t="e">
        <f>INDEX(#REF!,MATCH($E594,#REF!,0))</f>
        <v>#REF!</v>
      </c>
      <c r="AA594" t="e">
        <f>INDEX(#REF!,MATCH($E594,#REF!,0))</f>
        <v>#REF!</v>
      </c>
      <c r="AB594" t="e">
        <f>INDEX(#REF!,MATCH($E594,#REF!,0))</f>
        <v>#REF!</v>
      </c>
      <c r="AC594" t="e">
        <f>INDEX(#REF!,MATCH($E594,#REF!,0))</f>
        <v>#REF!</v>
      </c>
      <c r="AD594" t="e">
        <f>INDEX(#REF!,MATCH($E594,#REF!,0))</f>
        <v>#REF!</v>
      </c>
      <c r="AE594" t="e">
        <f t="shared" si="24"/>
        <v>#REF!</v>
      </c>
    </row>
    <row r="595" spans="2:31" x14ac:dyDescent="0.25">
      <c r="B595" s="45" t="s">
        <v>1887</v>
      </c>
      <c r="C595" s="45" t="s">
        <v>852</v>
      </c>
      <c r="D595" s="89" t="s">
        <v>851</v>
      </c>
      <c r="E595" s="89">
        <v>900007</v>
      </c>
      <c r="F595" s="89">
        <v>1137</v>
      </c>
      <c r="G595" s="90">
        <v>16</v>
      </c>
      <c r="H595" s="90">
        <v>31</v>
      </c>
      <c r="I595" s="90" t="s">
        <v>18</v>
      </c>
      <c r="J595" s="90">
        <v>1</v>
      </c>
      <c r="K595" s="90">
        <v>0</v>
      </c>
      <c r="L595" s="91"/>
      <c r="M595" s="92" t="s">
        <v>1139</v>
      </c>
      <c r="N595" s="93"/>
      <c r="P595" s="21"/>
      <c r="Q595" s="12"/>
      <c r="R595">
        <f t="shared" si="25"/>
        <v>1</v>
      </c>
      <c r="S595" s="21" t="s">
        <v>99</v>
      </c>
      <c r="T595" s="21" t="s">
        <v>99</v>
      </c>
      <c r="W595" t="e">
        <f>INDEX(#REF!,MATCH($E595,#REF!,0))</f>
        <v>#REF!</v>
      </c>
      <c r="X595" t="e">
        <f>INDEX(#REF!,MATCH($E595,#REF!,0))</f>
        <v>#REF!</v>
      </c>
      <c r="Y595" t="e">
        <f>INDEX(#REF!,MATCH($E595,#REF!,0))</f>
        <v>#REF!</v>
      </c>
      <c r="Z595" t="e">
        <f>INDEX(#REF!,MATCH($E595,#REF!,0))</f>
        <v>#REF!</v>
      </c>
      <c r="AA595" t="e">
        <f>INDEX(#REF!,MATCH($E595,#REF!,0))</f>
        <v>#REF!</v>
      </c>
      <c r="AB595" t="e">
        <f>INDEX(#REF!,MATCH($E595,#REF!,0))</f>
        <v>#REF!</v>
      </c>
      <c r="AC595" t="e">
        <f>INDEX(#REF!,MATCH($E595,#REF!,0))</f>
        <v>#REF!</v>
      </c>
      <c r="AD595" t="e">
        <f>INDEX(#REF!,MATCH($E595,#REF!,0))</f>
        <v>#REF!</v>
      </c>
      <c r="AE595" t="e">
        <f t="shared" si="24"/>
        <v>#REF!</v>
      </c>
    </row>
    <row r="596" spans="2:31" x14ac:dyDescent="0.25">
      <c r="B596" s="45" t="s">
        <v>1888</v>
      </c>
      <c r="C596" s="45" t="s">
        <v>854</v>
      </c>
      <c r="D596" s="89" t="s">
        <v>853</v>
      </c>
      <c r="E596" s="89">
        <v>900009</v>
      </c>
      <c r="F596" s="89">
        <v>1148</v>
      </c>
      <c r="G596" s="90">
        <v>18</v>
      </c>
      <c r="H596" s="90">
        <v>31</v>
      </c>
      <c r="I596" s="90" t="s">
        <v>18</v>
      </c>
      <c r="J596" s="90">
        <v>1</v>
      </c>
      <c r="K596" s="90">
        <v>0</v>
      </c>
      <c r="L596" s="91"/>
      <c r="M596" s="92" t="s">
        <v>2405</v>
      </c>
      <c r="N596" s="93"/>
      <c r="P596" s="21"/>
      <c r="Q596" s="12" t="s">
        <v>2233</v>
      </c>
      <c r="R596">
        <f t="shared" si="25"/>
        <v>1</v>
      </c>
      <c r="S596" s="21" t="s">
        <v>99</v>
      </c>
      <c r="T596" s="21" t="s">
        <v>99</v>
      </c>
      <c r="W596" t="e">
        <f>INDEX(#REF!,MATCH($E596,#REF!,0))</f>
        <v>#REF!</v>
      </c>
      <c r="X596" t="e">
        <f>INDEX(#REF!,MATCH($E596,#REF!,0))</f>
        <v>#REF!</v>
      </c>
      <c r="Y596" t="e">
        <f>INDEX(#REF!,MATCH($E596,#REF!,0))</f>
        <v>#REF!</v>
      </c>
      <c r="Z596" t="e">
        <f>INDEX(#REF!,MATCH($E596,#REF!,0))</f>
        <v>#REF!</v>
      </c>
      <c r="AA596" t="e">
        <f>INDEX(#REF!,MATCH($E596,#REF!,0))</f>
        <v>#REF!</v>
      </c>
      <c r="AB596" t="e">
        <f>INDEX(#REF!,MATCH($E596,#REF!,0))</f>
        <v>#REF!</v>
      </c>
      <c r="AC596" t="e">
        <f>INDEX(#REF!,MATCH($E596,#REF!,0))</f>
        <v>#REF!</v>
      </c>
      <c r="AD596" t="e">
        <f>INDEX(#REF!,MATCH($E596,#REF!,0))</f>
        <v>#REF!</v>
      </c>
      <c r="AE596" t="e">
        <f t="shared" ref="AE596:AE661" si="26">AND(X596=F596,G596=Y596,AC596=J596,AD596=H596)</f>
        <v>#REF!</v>
      </c>
    </row>
    <row r="597" spans="2:31" ht="45" x14ac:dyDescent="0.25">
      <c r="B597" s="45" t="s">
        <v>1889</v>
      </c>
      <c r="C597" s="45" t="s">
        <v>856</v>
      </c>
      <c r="D597" s="89" t="s">
        <v>855</v>
      </c>
      <c r="E597" s="89">
        <v>900042</v>
      </c>
      <c r="F597" s="89">
        <v>1170</v>
      </c>
      <c r="G597" s="90">
        <v>6</v>
      </c>
      <c r="H597" s="90">
        <v>31</v>
      </c>
      <c r="I597" s="90" t="s">
        <v>147</v>
      </c>
      <c r="J597" s="90">
        <v>100000</v>
      </c>
      <c r="K597" s="90">
        <v>0</v>
      </c>
      <c r="L597" s="91"/>
      <c r="M597" s="92" t="s">
        <v>2406</v>
      </c>
      <c r="N597" s="93"/>
      <c r="P597" s="21"/>
      <c r="Q597" s="12"/>
      <c r="R597">
        <f t="shared" si="25"/>
        <v>1</v>
      </c>
      <c r="S597" s="21" t="s">
        <v>99</v>
      </c>
      <c r="T597" s="21" t="s">
        <v>99</v>
      </c>
      <c r="W597" t="e">
        <f>INDEX(#REF!,MATCH($E597,#REF!,0))</f>
        <v>#REF!</v>
      </c>
      <c r="X597" t="e">
        <f>INDEX(#REF!,MATCH($E597,#REF!,0))</f>
        <v>#REF!</v>
      </c>
      <c r="Y597" t="e">
        <f>INDEX(#REF!,MATCH($E597,#REF!,0))</f>
        <v>#REF!</v>
      </c>
      <c r="Z597" t="e">
        <f>INDEX(#REF!,MATCH($E597,#REF!,0))</f>
        <v>#REF!</v>
      </c>
      <c r="AA597" t="e">
        <f>INDEX(#REF!,MATCH($E597,#REF!,0))</f>
        <v>#REF!</v>
      </c>
      <c r="AB597" t="e">
        <f>INDEX(#REF!,MATCH($E597,#REF!,0))</f>
        <v>#REF!</v>
      </c>
      <c r="AC597" t="e">
        <f>INDEX(#REF!,MATCH($E597,#REF!,0))</f>
        <v>#REF!</v>
      </c>
      <c r="AD597" t="e">
        <f>INDEX(#REF!,MATCH($E597,#REF!,0))</f>
        <v>#REF!</v>
      </c>
      <c r="AE597" t="e">
        <f t="shared" si="26"/>
        <v>#REF!</v>
      </c>
    </row>
    <row r="598" spans="2:31" x14ac:dyDescent="0.25">
      <c r="B598" s="45" t="s">
        <v>1890</v>
      </c>
      <c r="C598" s="45" t="s">
        <v>857</v>
      </c>
      <c r="D598" s="89" t="s">
        <v>2061</v>
      </c>
      <c r="E598" s="89">
        <v>900055</v>
      </c>
      <c r="F598" s="89">
        <v>1148</v>
      </c>
      <c r="G598" s="90">
        <v>9</v>
      </c>
      <c r="H598" s="90">
        <v>31</v>
      </c>
      <c r="I598" s="90" t="s">
        <v>26</v>
      </c>
      <c r="J598" s="90">
        <v>1</v>
      </c>
      <c r="K598" s="90" t="s">
        <v>2509</v>
      </c>
      <c r="L598" s="91">
        <v>8005</v>
      </c>
      <c r="M598" s="92" t="s">
        <v>2407</v>
      </c>
      <c r="N598" s="93"/>
      <c r="P598" s="21"/>
      <c r="Q598" s="12"/>
      <c r="R598">
        <f t="shared" si="25"/>
        <v>1</v>
      </c>
      <c r="S598" s="21" t="s">
        <v>99</v>
      </c>
      <c r="T598" s="21" t="s">
        <v>99</v>
      </c>
      <c r="W598" t="e">
        <f>INDEX(#REF!,MATCH($E598,#REF!,0))</f>
        <v>#REF!</v>
      </c>
      <c r="X598" t="e">
        <f>INDEX(#REF!,MATCH($E598,#REF!,0))</f>
        <v>#REF!</v>
      </c>
      <c r="Y598" t="e">
        <f>INDEX(#REF!,MATCH($E598,#REF!,0))</f>
        <v>#REF!</v>
      </c>
      <c r="Z598" t="e">
        <f>INDEX(#REF!,MATCH($E598,#REF!,0))</f>
        <v>#REF!</v>
      </c>
      <c r="AA598" t="e">
        <f>INDEX(#REF!,MATCH($E598,#REF!,0))</f>
        <v>#REF!</v>
      </c>
      <c r="AB598" t="e">
        <f>INDEX(#REF!,MATCH($E598,#REF!,0))</f>
        <v>#REF!</v>
      </c>
      <c r="AC598" t="e">
        <f>INDEX(#REF!,MATCH($E598,#REF!,0))</f>
        <v>#REF!</v>
      </c>
      <c r="AD598" t="e">
        <f>INDEX(#REF!,MATCH($E598,#REF!,0))</f>
        <v>#REF!</v>
      </c>
      <c r="AE598" t="e">
        <f t="shared" si="26"/>
        <v>#REF!</v>
      </c>
    </row>
    <row r="599" spans="2:31" x14ac:dyDescent="0.25">
      <c r="B599" s="45" t="s">
        <v>2159</v>
      </c>
      <c r="C599" s="45" t="s">
        <v>858</v>
      </c>
      <c r="D599" s="89" t="s">
        <v>2062</v>
      </c>
      <c r="E599" s="89">
        <v>900056</v>
      </c>
      <c r="F599" s="89">
        <v>1148</v>
      </c>
      <c r="G599" s="90">
        <v>10</v>
      </c>
      <c r="H599" s="90">
        <v>31</v>
      </c>
      <c r="I599" s="90" t="s">
        <v>26</v>
      </c>
      <c r="J599" s="90">
        <v>1</v>
      </c>
      <c r="K599" s="90" t="s">
        <v>2509</v>
      </c>
      <c r="L599" s="91">
        <v>8008</v>
      </c>
      <c r="M599" s="92" t="s">
        <v>2408</v>
      </c>
      <c r="N599" s="93"/>
      <c r="P599" s="21"/>
      <c r="Q599" s="12"/>
      <c r="R599">
        <f t="shared" si="25"/>
        <v>1</v>
      </c>
      <c r="S599" s="21" t="s">
        <v>99</v>
      </c>
      <c r="T599" s="21" t="s">
        <v>99</v>
      </c>
      <c r="W599" t="e">
        <f>INDEX(#REF!,MATCH($E599,#REF!,0))</f>
        <v>#REF!</v>
      </c>
      <c r="X599" t="e">
        <f>INDEX(#REF!,MATCH($E599,#REF!,0))</f>
        <v>#REF!</v>
      </c>
      <c r="Y599" t="e">
        <f>INDEX(#REF!,MATCH($E599,#REF!,0))</f>
        <v>#REF!</v>
      </c>
      <c r="Z599" t="e">
        <f>INDEX(#REF!,MATCH($E599,#REF!,0))</f>
        <v>#REF!</v>
      </c>
      <c r="AA599" t="e">
        <f>INDEX(#REF!,MATCH($E599,#REF!,0))</f>
        <v>#REF!</v>
      </c>
      <c r="AB599" t="e">
        <f>INDEX(#REF!,MATCH($E599,#REF!,0))</f>
        <v>#REF!</v>
      </c>
      <c r="AC599" t="e">
        <f>INDEX(#REF!,MATCH($E599,#REF!,0))</f>
        <v>#REF!</v>
      </c>
      <c r="AD599" t="e">
        <f>INDEX(#REF!,MATCH($E599,#REF!,0))</f>
        <v>#REF!</v>
      </c>
      <c r="AE599" t="e">
        <f t="shared" si="26"/>
        <v>#REF!</v>
      </c>
    </row>
    <row r="600" spans="2:31" x14ac:dyDescent="0.25">
      <c r="B600" s="45" t="s">
        <v>1891</v>
      </c>
      <c r="C600" s="45" t="s">
        <v>859</v>
      </c>
      <c r="D600" s="89" t="s">
        <v>2063</v>
      </c>
      <c r="E600" s="89">
        <v>900057</v>
      </c>
      <c r="F600" s="89">
        <v>1148</v>
      </c>
      <c r="G600" s="90">
        <v>11</v>
      </c>
      <c r="H600" s="90">
        <v>31</v>
      </c>
      <c r="I600" s="90" t="s">
        <v>26</v>
      </c>
      <c r="J600" s="90">
        <v>1</v>
      </c>
      <c r="K600" s="90" t="s">
        <v>2509</v>
      </c>
      <c r="L600" s="91">
        <v>8011</v>
      </c>
      <c r="M600" s="92" t="s">
        <v>1158</v>
      </c>
      <c r="N600" s="93"/>
      <c r="P600" s="21"/>
      <c r="Q600" s="12"/>
      <c r="R600">
        <f t="shared" si="25"/>
        <v>1</v>
      </c>
      <c r="S600" s="21" t="s">
        <v>99</v>
      </c>
      <c r="T600" s="21" t="s">
        <v>99</v>
      </c>
      <c r="W600" t="e">
        <f>INDEX(#REF!,MATCH($E600,#REF!,0))</f>
        <v>#REF!</v>
      </c>
      <c r="X600" t="e">
        <f>INDEX(#REF!,MATCH($E600,#REF!,0))</f>
        <v>#REF!</v>
      </c>
      <c r="Y600" t="e">
        <f>INDEX(#REF!,MATCH($E600,#REF!,0))</f>
        <v>#REF!</v>
      </c>
      <c r="Z600" t="e">
        <f>INDEX(#REF!,MATCH($E600,#REF!,0))</f>
        <v>#REF!</v>
      </c>
      <c r="AA600" t="e">
        <f>INDEX(#REF!,MATCH($E600,#REF!,0))</f>
        <v>#REF!</v>
      </c>
      <c r="AB600" t="e">
        <f>INDEX(#REF!,MATCH($E600,#REF!,0))</f>
        <v>#REF!</v>
      </c>
      <c r="AC600" t="e">
        <f>INDEX(#REF!,MATCH($E600,#REF!,0))</f>
        <v>#REF!</v>
      </c>
      <c r="AD600" t="e">
        <f>INDEX(#REF!,MATCH($E600,#REF!,0))</f>
        <v>#REF!</v>
      </c>
      <c r="AE600" t="e">
        <f t="shared" si="26"/>
        <v>#REF!</v>
      </c>
    </row>
    <row r="601" spans="2:31" x14ac:dyDescent="0.25">
      <c r="B601" s="45" t="s">
        <v>1892</v>
      </c>
      <c r="C601" s="45" t="s">
        <v>860</v>
      </c>
      <c r="D601" s="89" t="s">
        <v>2064</v>
      </c>
      <c r="E601" s="89">
        <v>900058</v>
      </c>
      <c r="F601" s="89">
        <v>1130</v>
      </c>
      <c r="G601" s="90">
        <v>21</v>
      </c>
      <c r="H601" s="90">
        <v>31</v>
      </c>
      <c r="I601" s="90" t="s">
        <v>26</v>
      </c>
      <c r="J601" s="90">
        <v>1</v>
      </c>
      <c r="K601" s="90">
        <v>0</v>
      </c>
      <c r="L601" s="91"/>
      <c r="M601" s="92" t="s">
        <v>2409</v>
      </c>
      <c r="N601" s="93"/>
      <c r="P601" s="21"/>
      <c r="Q601" s="12"/>
      <c r="R601">
        <f t="shared" si="25"/>
        <v>1</v>
      </c>
      <c r="S601" s="21" t="s">
        <v>99</v>
      </c>
      <c r="T601" s="21" t="s">
        <v>99</v>
      </c>
      <c r="W601" t="e">
        <f>INDEX(#REF!,MATCH($E601,#REF!,0))</f>
        <v>#REF!</v>
      </c>
      <c r="X601" t="e">
        <f>INDEX(#REF!,MATCH($E601,#REF!,0))</f>
        <v>#REF!</v>
      </c>
      <c r="Y601" t="e">
        <f>INDEX(#REF!,MATCH($E601,#REF!,0))</f>
        <v>#REF!</v>
      </c>
      <c r="Z601" t="e">
        <f>INDEX(#REF!,MATCH($E601,#REF!,0))</f>
        <v>#REF!</v>
      </c>
      <c r="AA601" t="e">
        <f>INDEX(#REF!,MATCH($E601,#REF!,0))</f>
        <v>#REF!</v>
      </c>
      <c r="AB601" t="e">
        <f>INDEX(#REF!,MATCH($E601,#REF!,0))</f>
        <v>#REF!</v>
      </c>
      <c r="AC601" t="e">
        <f>INDEX(#REF!,MATCH($E601,#REF!,0))</f>
        <v>#REF!</v>
      </c>
      <c r="AD601" t="e">
        <f>INDEX(#REF!,MATCH($E601,#REF!,0))</f>
        <v>#REF!</v>
      </c>
      <c r="AE601" t="e">
        <f t="shared" si="26"/>
        <v>#REF!</v>
      </c>
    </row>
    <row r="602" spans="2:31" x14ac:dyDescent="0.25">
      <c r="B602" s="45" t="s">
        <v>1893</v>
      </c>
      <c r="C602" s="45" t="s">
        <v>861</v>
      </c>
      <c r="D602" s="89" t="s">
        <v>2065</v>
      </c>
      <c r="E602" s="89">
        <v>900059</v>
      </c>
      <c r="F602" s="89">
        <v>1148</v>
      </c>
      <c r="G602" s="90">
        <v>5</v>
      </c>
      <c r="H602" s="90">
        <v>31</v>
      </c>
      <c r="I602" s="90" t="s">
        <v>26</v>
      </c>
      <c r="J602" s="90">
        <v>1</v>
      </c>
      <c r="K602" s="90" t="s">
        <v>2509</v>
      </c>
      <c r="L602" s="91">
        <v>8016</v>
      </c>
      <c r="M602" s="92" t="s">
        <v>1159</v>
      </c>
      <c r="N602" s="93"/>
      <c r="P602" s="21"/>
      <c r="Q602" s="12"/>
      <c r="R602">
        <f t="shared" si="25"/>
        <v>1</v>
      </c>
      <c r="S602" s="21" t="s">
        <v>99</v>
      </c>
      <c r="T602" s="21" t="s">
        <v>99</v>
      </c>
      <c r="W602" t="e">
        <f>INDEX(#REF!,MATCH($E602,#REF!,0))</f>
        <v>#REF!</v>
      </c>
      <c r="X602" t="e">
        <f>INDEX(#REF!,MATCH($E602,#REF!,0))</f>
        <v>#REF!</v>
      </c>
      <c r="Y602" t="e">
        <f>INDEX(#REF!,MATCH($E602,#REF!,0))</f>
        <v>#REF!</v>
      </c>
      <c r="Z602" t="e">
        <f>INDEX(#REF!,MATCH($E602,#REF!,0))</f>
        <v>#REF!</v>
      </c>
      <c r="AA602" t="e">
        <f>INDEX(#REF!,MATCH($E602,#REF!,0))</f>
        <v>#REF!</v>
      </c>
      <c r="AB602" t="e">
        <f>INDEX(#REF!,MATCH($E602,#REF!,0))</f>
        <v>#REF!</v>
      </c>
      <c r="AC602" t="e">
        <f>INDEX(#REF!,MATCH($E602,#REF!,0))</f>
        <v>#REF!</v>
      </c>
      <c r="AD602" t="e">
        <f>INDEX(#REF!,MATCH($E602,#REF!,0))</f>
        <v>#REF!</v>
      </c>
      <c r="AE602" t="e">
        <f t="shared" si="26"/>
        <v>#REF!</v>
      </c>
    </row>
    <row r="603" spans="2:31" x14ac:dyDescent="0.25">
      <c r="B603" s="45" t="s">
        <v>1894</v>
      </c>
      <c r="C603" s="45" t="s">
        <v>862</v>
      </c>
      <c r="D603" s="89" t="s">
        <v>2066</v>
      </c>
      <c r="E603" s="89">
        <v>900061</v>
      </c>
      <c r="F603" s="89">
        <v>1148</v>
      </c>
      <c r="G603" s="90">
        <v>12</v>
      </c>
      <c r="H603" s="90">
        <v>31</v>
      </c>
      <c r="I603" s="90" t="s">
        <v>26</v>
      </c>
      <c r="J603" s="90">
        <v>1</v>
      </c>
      <c r="K603" s="90" t="s">
        <v>2509</v>
      </c>
      <c r="L603" s="91">
        <v>8012</v>
      </c>
      <c r="M603" s="92" t="s">
        <v>1160</v>
      </c>
      <c r="N603" s="93"/>
      <c r="P603" s="21"/>
      <c r="Q603" s="12"/>
      <c r="R603">
        <f t="shared" si="25"/>
        <v>1</v>
      </c>
      <c r="S603" s="21" t="s">
        <v>99</v>
      </c>
      <c r="T603" s="21" t="s">
        <v>99</v>
      </c>
      <c r="W603" t="e">
        <f>INDEX(#REF!,MATCH($E603,#REF!,0))</f>
        <v>#REF!</v>
      </c>
      <c r="X603" t="e">
        <f>INDEX(#REF!,MATCH($E603,#REF!,0))</f>
        <v>#REF!</v>
      </c>
      <c r="Y603" t="e">
        <f>INDEX(#REF!,MATCH($E603,#REF!,0))</f>
        <v>#REF!</v>
      </c>
      <c r="Z603" t="e">
        <f>INDEX(#REF!,MATCH($E603,#REF!,0))</f>
        <v>#REF!</v>
      </c>
      <c r="AA603" t="e">
        <f>INDEX(#REF!,MATCH($E603,#REF!,0))</f>
        <v>#REF!</v>
      </c>
      <c r="AB603" t="e">
        <f>INDEX(#REF!,MATCH($E603,#REF!,0))</f>
        <v>#REF!</v>
      </c>
      <c r="AC603" t="e">
        <f>INDEX(#REF!,MATCH($E603,#REF!,0))</f>
        <v>#REF!</v>
      </c>
      <c r="AD603" t="e">
        <f>INDEX(#REF!,MATCH($E603,#REF!,0))</f>
        <v>#REF!</v>
      </c>
      <c r="AE603" t="e">
        <f t="shared" si="26"/>
        <v>#REF!</v>
      </c>
    </row>
    <row r="604" spans="2:31" x14ac:dyDescent="0.25">
      <c r="B604" s="45" t="s">
        <v>1895</v>
      </c>
      <c r="C604" s="45" t="s">
        <v>863</v>
      </c>
      <c r="D604" s="89" t="s">
        <v>2067</v>
      </c>
      <c r="E604" s="89">
        <v>900062</v>
      </c>
      <c r="F604" s="89">
        <v>1148</v>
      </c>
      <c r="G604" s="90">
        <v>13</v>
      </c>
      <c r="H604" s="90">
        <v>31</v>
      </c>
      <c r="I604" s="90" t="s">
        <v>26</v>
      </c>
      <c r="J604" s="90">
        <v>1</v>
      </c>
      <c r="K604" s="90" t="s">
        <v>2509</v>
      </c>
      <c r="L604" s="91">
        <v>8014</v>
      </c>
      <c r="M604" s="92" t="s">
        <v>1161</v>
      </c>
      <c r="N604" s="93"/>
      <c r="P604" s="21"/>
      <c r="Q604" s="12"/>
      <c r="R604">
        <f t="shared" si="25"/>
        <v>1</v>
      </c>
      <c r="S604" s="21" t="s">
        <v>99</v>
      </c>
      <c r="T604" s="21" t="s">
        <v>99</v>
      </c>
      <c r="W604" t="e">
        <f>INDEX(#REF!,MATCH($E604,#REF!,0))</f>
        <v>#REF!</v>
      </c>
      <c r="X604" t="e">
        <f>INDEX(#REF!,MATCH($E604,#REF!,0))</f>
        <v>#REF!</v>
      </c>
      <c r="Y604" t="e">
        <f>INDEX(#REF!,MATCH($E604,#REF!,0))</f>
        <v>#REF!</v>
      </c>
      <c r="Z604" t="e">
        <f>INDEX(#REF!,MATCH($E604,#REF!,0))</f>
        <v>#REF!</v>
      </c>
      <c r="AA604" t="e">
        <f>INDEX(#REF!,MATCH($E604,#REF!,0))</f>
        <v>#REF!</v>
      </c>
      <c r="AB604" t="e">
        <f>INDEX(#REF!,MATCH($E604,#REF!,0))</f>
        <v>#REF!</v>
      </c>
      <c r="AC604" t="e">
        <f>INDEX(#REF!,MATCH($E604,#REF!,0))</f>
        <v>#REF!</v>
      </c>
      <c r="AD604" t="e">
        <f>INDEX(#REF!,MATCH($E604,#REF!,0))</f>
        <v>#REF!</v>
      </c>
      <c r="AE604" t="e">
        <f t="shared" si="26"/>
        <v>#REF!</v>
      </c>
    </row>
    <row r="605" spans="2:31" x14ac:dyDescent="0.25">
      <c r="B605" s="45" t="s">
        <v>1896</v>
      </c>
      <c r="C605" s="45" t="s">
        <v>864</v>
      </c>
      <c r="D605" s="89" t="s">
        <v>2068</v>
      </c>
      <c r="E605" s="89">
        <v>900065</v>
      </c>
      <c r="F605" s="89">
        <v>1148</v>
      </c>
      <c r="G605" s="90">
        <v>4</v>
      </c>
      <c r="H605" s="90">
        <v>31</v>
      </c>
      <c r="I605" s="90" t="s">
        <v>26</v>
      </c>
      <c r="J605" s="90">
        <v>1</v>
      </c>
      <c r="K605" s="90" t="s">
        <v>2509</v>
      </c>
      <c r="L605" s="91">
        <v>8015</v>
      </c>
      <c r="M605" s="92" t="s">
        <v>2410</v>
      </c>
      <c r="N605" s="93"/>
      <c r="P605" s="21"/>
      <c r="Q605" s="12"/>
      <c r="R605">
        <f t="shared" si="25"/>
        <v>1</v>
      </c>
      <c r="S605" s="21" t="s">
        <v>99</v>
      </c>
      <c r="T605" s="21" t="s">
        <v>99</v>
      </c>
      <c r="W605" t="e">
        <f>INDEX(#REF!,MATCH($E605,#REF!,0))</f>
        <v>#REF!</v>
      </c>
      <c r="X605" t="e">
        <f>INDEX(#REF!,MATCH($E605,#REF!,0))</f>
        <v>#REF!</v>
      </c>
      <c r="Y605" t="e">
        <f>INDEX(#REF!,MATCH($E605,#REF!,0))</f>
        <v>#REF!</v>
      </c>
      <c r="Z605" t="e">
        <f>INDEX(#REF!,MATCH($E605,#REF!,0))</f>
        <v>#REF!</v>
      </c>
      <c r="AA605" t="e">
        <f>INDEX(#REF!,MATCH($E605,#REF!,0))</f>
        <v>#REF!</v>
      </c>
      <c r="AB605" t="e">
        <f>INDEX(#REF!,MATCH($E605,#REF!,0))</f>
        <v>#REF!</v>
      </c>
      <c r="AC605" t="e">
        <f>INDEX(#REF!,MATCH($E605,#REF!,0))</f>
        <v>#REF!</v>
      </c>
      <c r="AD605" t="e">
        <f>INDEX(#REF!,MATCH($E605,#REF!,0))</f>
        <v>#REF!</v>
      </c>
      <c r="AE605" t="e">
        <f t="shared" si="26"/>
        <v>#REF!</v>
      </c>
    </row>
    <row r="606" spans="2:31" x14ac:dyDescent="0.25">
      <c r="B606" s="45" t="s">
        <v>1897</v>
      </c>
      <c r="C606" s="45" t="s">
        <v>866</v>
      </c>
      <c r="D606" s="89" t="s">
        <v>865</v>
      </c>
      <c r="E606" s="89">
        <v>900067</v>
      </c>
      <c r="F606" s="89">
        <v>1148</v>
      </c>
      <c r="G606" s="90">
        <v>0</v>
      </c>
      <c r="H606" s="90">
        <v>31</v>
      </c>
      <c r="I606" s="90" t="s">
        <v>26</v>
      </c>
      <c r="J606" s="90">
        <v>1</v>
      </c>
      <c r="K606" s="90">
        <v>0</v>
      </c>
      <c r="L606" s="91"/>
      <c r="M606" s="92" t="s">
        <v>2411</v>
      </c>
      <c r="N606" s="93"/>
      <c r="P606" s="21"/>
      <c r="Q606" s="12"/>
      <c r="R606">
        <f t="shared" si="25"/>
        <v>1</v>
      </c>
      <c r="S606" s="21" t="s">
        <v>99</v>
      </c>
      <c r="T606" s="21" t="s">
        <v>99</v>
      </c>
      <c r="W606" t="e">
        <f>INDEX(#REF!,MATCH($E606,#REF!,0))</f>
        <v>#REF!</v>
      </c>
      <c r="X606" t="e">
        <f>INDEX(#REF!,MATCH($E606,#REF!,0))</f>
        <v>#REF!</v>
      </c>
      <c r="Y606" t="e">
        <f>INDEX(#REF!,MATCH($E606,#REF!,0))</f>
        <v>#REF!</v>
      </c>
      <c r="Z606" t="e">
        <f>INDEX(#REF!,MATCH($E606,#REF!,0))</f>
        <v>#REF!</v>
      </c>
      <c r="AA606" t="e">
        <f>INDEX(#REF!,MATCH($E606,#REF!,0))</f>
        <v>#REF!</v>
      </c>
      <c r="AB606" t="e">
        <f>INDEX(#REF!,MATCH($E606,#REF!,0))</f>
        <v>#REF!</v>
      </c>
      <c r="AC606" t="e">
        <f>INDEX(#REF!,MATCH($E606,#REF!,0))</f>
        <v>#REF!</v>
      </c>
      <c r="AD606" t="e">
        <f>INDEX(#REF!,MATCH($E606,#REF!,0))</f>
        <v>#REF!</v>
      </c>
      <c r="AE606" t="e">
        <f t="shared" si="26"/>
        <v>#REF!</v>
      </c>
    </row>
    <row r="607" spans="2:31" x14ac:dyDescent="0.25">
      <c r="B607" s="45" t="s">
        <v>1898</v>
      </c>
      <c r="C607" s="45" t="s">
        <v>867</v>
      </c>
      <c r="D607" s="89" t="s">
        <v>2069</v>
      </c>
      <c r="E607" s="89">
        <v>900068</v>
      </c>
      <c r="F607" s="89">
        <v>1148</v>
      </c>
      <c r="G607" s="90">
        <v>1</v>
      </c>
      <c r="H607" s="90">
        <v>31</v>
      </c>
      <c r="I607" s="90" t="s">
        <v>26</v>
      </c>
      <c r="J607" s="90">
        <v>1</v>
      </c>
      <c r="K607" s="90" t="s">
        <v>2509</v>
      </c>
      <c r="L607" s="91">
        <v>8017</v>
      </c>
      <c r="M607" s="92" t="s">
        <v>1164</v>
      </c>
      <c r="N607" s="93"/>
      <c r="P607" s="21"/>
      <c r="Q607" s="12"/>
      <c r="R607">
        <f t="shared" si="25"/>
        <v>1</v>
      </c>
      <c r="S607" s="21" t="s">
        <v>99</v>
      </c>
      <c r="T607" s="21" t="s">
        <v>99</v>
      </c>
      <c r="W607" t="e">
        <f>INDEX(#REF!,MATCH($E607,#REF!,0))</f>
        <v>#REF!</v>
      </c>
      <c r="X607" t="e">
        <f>INDEX(#REF!,MATCH($E607,#REF!,0))</f>
        <v>#REF!</v>
      </c>
      <c r="Y607" t="e">
        <f>INDEX(#REF!,MATCH($E607,#REF!,0))</f>
        <v>#REF!</v>
      </c>
      <c r="Z607" t="e">
        <f>INDEX(#REF!,MATCH($E607,#REF!,0))</f>
        <v>#REF!</v>
      </c>
      <c r="AA607" t="e">
        <f>INDEX(#REF!,MATCH($E607,#REF!,0))</f>
        <v>#REF!</v>
      </c>
      <c r="AB607" t="e">
        <f>INDEX(#REF!,MATCH($E607,#REF!,0))</f>
        <v>#REF!</v>
      </c>
      <c r="AC607" t="e">
        <f>INDEX(#REF!,MATCH($E607,#REF!,0))</f>
        <v>#REF!</v>
      </c>
      <c r="AD607" t="e">
        <f>INDEX(#REF!,MATCH($E607,#REF!,0))</f>
        <v>#REF!</v>
      </c>
      <c r="AE607" t="e">
        <f t="shared" si="26"/>
        <v>#REF!</v>
      </c>
    </row>
    <row r="608" spans="2:31" x14ac:dyDescent="0.25">
      <c r="B608" s="45" t="s">
        <v>2160</v>
      </c>
      <c r="C608" s="45" t="s">
        <v>2498</v>
      </c>
      <c r="D608" s="89" t="s">
        <v>2070</v>
      </c>
      <c r="E608" s="89">
        <v>900069</v>
      </c>
      <c r="F608" s="89">
        <v>1137</v>
      </c>
      <c r="G608" s="90">
        <v>23</v>
      </c>
      <c r="H608" s="90">
        <v>31</v>
      </c>
      <c r="I608" s="90" t="s">
        <v>26</v>
      </c>
      <c r="J608" s="90">
        <v>1</v>
      </c>
      <c r="K608" s="90" t="s">
        <v>2509</v>
      </c>
      <c r="L608" s="91">
        <v>8034</v>
      </c>
      <c r="M608" s="92" t="s">
        <v>1165</v>
      </c>
      <c r="N608" s="93"/>
      <c r="P608" s="21"/>
      <c r="Q608" s="12"/>
      <c r="R608">
        <f t="shared" si="25"/>
        <v>1</v>
      </c>
      <c r="S608" s="21" t="s">
        <v>99</v>
      </c>
      <c r="T608" s="21" t="s">
        <v>99</v>
      </c>
      <c r="W608" t="e">
        <f>INDEX(#REF!,MATCH($E608,#REF!,0))</f>
        <v>#REF!</v>
      </c>
      <c r="X608" t="e">
        <f>INDEX(#REF!,MATCH($E608,#REF!,0))</f>
        <v>#REF!</v>
      </c>
      <c r="Y608" t="e">
        <f>INDEX(#REF!,MATCH($E608,#REF!,0))</f>
        <v>#REF!</v>
      </c>
      <c r="Z608" t="e">
        <f>INDEX(#REF!,MATCH($E608,#REF!,0))</f>
        <v>#REF!</v>
      </c>
      <c r="AA608" t="e">
        <f>INDEX(#REF!,MATCH($E608,#REF!,0))</f>
        <v>#REF!</v>
      </c>
      <c r="AB608" t="e">
        <f>INDEX(#REF!,MATCH($E608,#REF!,0))</f>
        <v>#REF!</v>
      </c>
      <c r="AC608" t="e">
        <f>INDEX(#REF!,MATCH($E608,#REF!,0))</f>
        <v>#REF!</v>
      </c>
      <c r="AD608" t="e">
        <f>INDEX(#REF!,MATCH($E608,#REF!,0))</f>
        <v>#REF!</v>
      </c>
      <c r="AE608" t="e">
        <f t="shared" si="26"/>
        <v>#REF!</v>
      </c>
    </row>
    <row r="609" spans="2:31" x14ac:dyDescent="0.25">
      <c r="B609" s="45" t="s">
        <v>1899</v>
      </c>
      <c r="C609" s="45" t="s">
        <v>868</v>
      </c>
      <c r="D609" s="89" t="s">
        <v>2071</v>
      </c>
      <c r="E609" s="89">
        <v>900070</v>
      </c>
      <c r="F609" s="89">
        <v>1148</v>
      </c>
      <c r="G609" s="90">
        <v>2</v>
      </c>
      <c r="H609" s="90">
        <v>31</v>
      </c>
      <c r="I609" s="90" t="s">
        <v>26</v>
      </c>
      <c r="J609" s="90">
        <v>1</v>
      </c>
      <c r="K609" s="90" t="s">
        <v>2509</v>
      </c>
      <c r="L609" s="91">
        <v>8018</v>
      </c>
      <c r="M609" s="92" t="s">
        <v>2412</v>
      </c>
      <c r="N609" s="93"/>
      <c r="P609" s="21"/>
      <c r="Q609" s="12"/>
      <c r="R609">
        <f t="shared" si="25"/>
        <v>1</v>
      </c>
      <c r="S609" s="21" t="s">
        <v>99</v>
      </c>
      <c r="T609" s="21" t="s">
        <v>99</v>
      </c>
      <c r="W609" t="e">
        <f>INDEX(#REF!,MATCH($E609,#REF!,0))</f>
        <v>#REF!</v>
      </c>
      <c r="X609" t="e">
        <f>INDEX(#REF!,MATCH($E609,#REF!,0))</f>
        <v>#REF!</v>
      </c>
      <c r="Y609" t="e">
        <f>INDEX(#REF!,MATCH($E609,#REF!,0))</f>
        <v>#REF!</v>
      </c>
      <c r="Z609" t="e">
        <f>INDEX(#REF!,MATCH($E609,#REF!,0))</f>
        <v>#REF!</v>
      </c>
      <c r="AA609" t="e">
        <f>INDEX(#REF!,MATCH($E609,#REF!,0))</f>
        <v>#REF!</v>
      </c>
      <c r="AB609" t="e">
        <f>INDEX(#REF!,MATCH($E609,#REF!,0))</f>
        <v>#REF!</v>
      </c>
      <c r="AC609" t="e">
        <f>INDEX(#REF!,MATCH($E609,#REF!,0))</f>
        <v>#REF!</v>
      </c>
      <c r="AD609" t="e">
        <f>INDEX(#REF!,MATCH($E609,#REF!,0))</f>
        <v>#REF!</v>
      </c>
      <c r="AE609" t="e">
        <f t="shared" si="26"/>
        <v>#REF!</v>
      </c>
    </row>
    <row r="610" spans="2:31" x14ac:dyDescent="0.25">
      <c r="B610" s="45" t="s">
        <v>1900</v>
      </c>
      <c r="C610" s="45" t="s">
        <v>869</v>
      </c>
      <c r="D610" s="89" t="s">
        <v>2072</v>
      </c>
      <c r="E610" s="89">
        <v>900071</v>
      </c>
      <c r="F610" s="89">
        <v>1137</v>
      </c>
      <c r="G610" s="90">
        <v>19</v>
      </c>
      <c r="H610" s="90">
        <v>31</v>
      </c>
      <c r="I610" s="90" t="s">
        <v>26</v>
      </c>
      <c r="J610" s="90">
        <v>1</v>
      </c>
      <c r="K610" s="90" t="s">
        <v>2509</v>
      </c>
      <c r="L610" s="91">
        <v>8002</v>
      </c>
      <c r="M610" s="92" t="s">
        <v>2413</v>
      </c>
      <c r="N610" s="93"/>
      <c r="P610" s="21"/>
      <c r="Q610" s="12"/>
      <c r="R610">
        <f t="shared" si="25"/>
        <v>1</v>
      </c>
      <c r="S610" s="21" t="s">
        <v>99</v>
      </c>
      <c r="T610" s="21" t="s">
        <v>99</v>
      </c>
      <c r="W610" t="e">
        <f>INDEX(#REF!,MATCH($E610,#REF!,0))</f>
        <v>#REF!</v>
      </c>
      <c r="X610" t="e">
        <f>INDEX(#REF!,MATCH($E610,#REF!,0))</f>
        <v>#REF!</v>
      </c>
      <c r="Y610" t="e">
        <f>INDEX(#REF!,MATCH($E610,#REF!,0))</f>
        <v>#REF!</v>
      </c>
      <c r="Z610" t="e">
        <f>INDEX(#REF!,MATCH($E610,#REF!,0))</f>
        <v>#REF!</v>
      </c>
      <c r="AA610" t="e">
        <f>INDEX(#REF!,MATCH($E610,#REF!,0))</f>
        <v>#REF!</v>
      </c>
      <c r="AB610" t="e">
        <f>INDEX(#REF!,MATCH($E610,#REF!,0))</f>
        <v>#REF!</v>
      </c>
      <c r="AC610" t="e">
        <f>INDEX(#REF!,MATCH($E610,#REF!,0))</f>
        <v>#REF!</v>
      </c>
      <c r="AD610" t="e">
        <f>INDEX(#REF!,MATCH($E610,#REF!,0))</f>
        <v>#REF!</v>
      </c>
      <c r="AE610" t="e">
        <f t="shared" si="26"/>
        <v>#REF!</v>
      </c>
    </row>
    <row r="611" spans="2:31" x14ac:dyDescent="0.25">
      <c r="B611" s="45" t="s">
        <v>1901</v>
      </c>
      <c r="C611" s="45" t="s">
        <v>870</v>
      </c>
      <c r="D611" s="89" t="s">
        <v>2073</v>
      </c>
      <c r="E611" s="89">
        <v>900072</v>
      </c>
      <c r="F611" s="89">
        <v>1130</v>
      </c>
      <c r="G611" s="90">
        <v>23</v>
      </c>
      <c r="H611" s="90">
        <v>31</v>
      </c>
      <c r="I611" s="90" t="s">
        <v>26</v>
      </c>
      <c r="J611" s="90">
        <v>1</v>
      </c>
      <c r="K611" s="90" t="s">
        <v>2509</v>
      </c>
      <c r="L611" s="91">
        <v>8019</v>
      </c>
      <c r="M611" s="92" t="s">
        <v>1166</v>
      </c>
      <c r="N611" s="93"/>
      <c r="P611" s="21"/>
      <c r="Q611" s="12"/>
      <c r="R611">
        <f t="shared" si="25"/>
        <v>1</v>
      </c>
      <c r="S611" s="21" t="s">
        <v>99</v>
      </c>
      <c r="T611" s="21" t="s">
        <v>99</v>
      </c>
      <c r="W611" t="e">
        <f>INDEX(#REF!,MATCH($E611,#REF!,0))</f>
        <v>#REF!</v>
      </c>
      <c r="X611" t="e">
        <f>INDEX(#REF!,MATCH($E611,#REF!,0))</f>
        <v>#REF!</v>
      </c>
      <c r="Y611" t="e">
        <f>INDEX(#REF!,MATCH($E611,#REF!,0))</f>
        <v>#REF!</v>
      </c>
      <c r="Z611" t="e">
        <f>INDEX(#REF!,MATCH($E611,#REF!,0))</f>
        <v>#REF!</v>
      </c>
      <c r="AA611" t="e">
        <f>INDEX(#REF!,MATCH($E611,#REF!,0))</f>
        <v>#REF!</v>
      </c>
      <c r="AB611" t="e">
        <f>INDEX(#REF!,MATCH($E611,#REF!,0))</f>
        <v>#REF!</v>
      </c>
      <c r="AC611" t="e">
        <f>INDEX(#REF!,MATCH($E611,#REF!,0))</f>
        <v>#REF!</v>
      </c>
      <c r="AD611" t="e">
        <f>INDEX(#REF!,MATCH($E611,#REF!,0))</f>
        <v>#REF!</v>
      </c>
      <c r="AE611" t="e">
        <f t="shared" si="26"/>
        <v>#REF!</v>
      </c>
    </row>
    <row r="612" spans="2:31" x14ac:dyDescent="0.25">
      <c r="B612" s="45" t="s">
        <v>1902</v>
      </c>
      <c r="C612" s="45" t="s">
        <v>872</v>
      </c>
      <c r="D612" s="89" t="s">
        <v>871</v>
      </c>
      <c r="E612" s="89">
        <v>900073</v>
      </c>
      <c r="F612" s="89">
        <v>1130</v>
      </c>
      <c r="G612" s="90">
        <v>24</v>
      </c>
      <c r="H612" s="90">
        <v>31</v>
      </c>
      <c r="I612" s="90" t="s">
        <v>26</v>
      </c>
      <c r="J612" s="90">
        <v>1</v>
      </c>
      <c r="K612" s="90">
        <v>0</v>
      </c>
      <c r="L612" s="91"/>
      <c r="M612" s="92" t="s">
        <v>1167</v>
      </c>
      <c r="N612" s="93"/>
      <c r="P612" s="21"/>
      <c r="Q612" s="12"/>
      <c r="R612">
        <f t="shared" ref="R612:R638" si="27">COUNTIF(C:C,C612)</f>
        <v>1</v>
      </c>
      <c r="S612" s="21" t="s">
        <v>99</v>
      </c>
      <c r="T612" s="21" t="s">
        <v>99</v>
      </c>
      <c r="W612" t="e">
        <f>INDEX(#REF!,MATCH($E612,#REF!,0))</f>
        <v>#REF!</v>
      </c>
      <c r="X612" t="e">
        <f>INDEX(#REF!,MATCH($E612,#REF!,0))</f>
        <v>#REF!</v>
      </c>
      <c r="Y612" t="e">
        <f>INDEX(#REF!,MATCH($E612,#REF!,0))</f>
        <v>#REF!</v>
      </c>
      <c r="Z612" t="e">
        <f>INDEX(#REF!,MATCH($E612,#REF!,0))</f>
        <v>#REF!</v>
      </c>
      <c r="AA612" t="e">
        <f>INDEX(#REF!,MATCH($E612,#REF!,0))</f>
        <v>#REF!</v>
      </c>
      <c r="AB612" t="e">
        <f>INDEX(#REF!,MATCH($E612,#REF!,0))</f>
        <v>#REF!</v>
      </c>
      <c r="AC612" t="e">
        <f>INDEX(#REF!,MATCH($E612,#REF!,0))</f>
        <v>#REF!</v>
      </c>
      <c r="AD612" t="e">
        <f>INDEX(#REF!,MATCH($E612,#REF!,0))</f>
        <v>#REF!</v>
      </c>
      <c r="AE612" t="e">
        <f t="shared" si="26"/>
        <v>#REF!</v>
      </c>
    </row>
    <row r="613" spans="2:31" x14ac:dyDescent="0.25">
      <c r="B613" s="45" t="s">
        <v>1903</v>
      </c>
      <c r="C613" s="45" t="s">
        <v>873</v>
      </c>
      <c r="D613" s="89" t="s">
        <v>2074</v>
      </c>
      <c r="E613" s="89">
        <v>900074</v>
      </c>
      <c r="F613" s="89">
        <v>1130</v>
      </c>
      <c r="G613" s="90">
        <v>22</v>
      </c>
      <c r="H613" s="90">
        <v>31</v>
      </c>
      <c r="I613" s="90" t="s">
        <v>26</v>
      </c>
      <c r="J613" s="90">
        <v>1</v>
      </c>
      <c r="K613" s="90" t="s">
        <v>2509</v>
      </c>
      <c r="L613" s="91">
        <v>8020</v>
      </c>
      <c r="M613" s="92" t="s">
        <v>1168</v>
      </c>
      <c r="N613" s="93"/>
      <c r="P613" s="21"/>
      <c r="Q613" s="12"/>
      <c r="R613">
        <f t="shared" si="27"/>
        <v>1</v>
      </c>
      <c r="S613" s="21" t="s">
        <v>99</v>
      </c>
      <c r="T613" s="21" t="s">
        <v>99</v>
      </c>
      <c r="W613" t="e">
        <f>INDEX(#REF!,MATCH($E613,#REF!,0))</f>
        <v>#REF!</v>
      </c>
      <c r="X613" t="e">
        <f>INDEX(#REF!,MATCH($E613,#REF!,0))</f>
        <v>#REF!</v>
      </c>
      <c r="Y613" t="e">
        <f>INDEX(#REF!,MATCH($E613,#REF!,0))</f>
        <v>#REF!</v>
      </c>
      <c r="Z613" t="e">
        <f>INDEX(#REF!,MATCH($E613,#REF!,0))</f>
        <v>#REF!</v>
      </c>
      <c r="AA613" t="e">
        <f>INDEX(#REF!,MATCH($E613,#REF!,0))</f>
        <v>#REF!</v>
      </c>
      <c r="AB613" t="e">
        <f>INDEX(#REF!,MATCH($E613,#REF!,0))</f>
        <v>#REF!</v>
      </c>
      <c r="AC613" t="e">
        <f>INDEX(#REF!,MATCH($E613,#REF!,0))</f>
        <v>#REF!</v>
      </c>
      <c r="AD613" t="e">
        <f>INDEX(#REF!,MATCH($E613,#REF!,0))</f>
        <v>#REF!</v>
      </c>
      <c r="AE613" t="e">
        <f t="shared" si="26"/>
        <v>#REF!</v>
      </c>
    </row>
    <row r="614" spans="2:31" x14ac:dyDescent="0.25">
      <c r="B614" s="45" t="s">
        <v>1904</v>
      </c>
      <c r="C614" s="45" t="s">
        <v>874</v>
      </c>
      <c r="D614" s="89" t="s">
        <v>2075</v>
      </c>
      <c r="E614" s="89">
        <v>900075</v>
      </c>
      <c r="F614" s="89">
        <v>1170</v>
      </c>
      <c r="G614" s="90">
        <v>8</v>
      </c>
      <c r="H614" s="90">
        <v>31</v>
      </c>
      <c r="I614" s="90" t="s">
        <v>26</v>
      </c>
      <c r="J614" s="90">
        <v>1</v>
      </c>
      <c r="K614" s="90" t="s">
        <v>2509</v>
      </c>
      <c r="L614" s="91">
        <v>8021</v>
      </c>
      <c r="M614" s="92" t="s">
        <v>1169</v>
      </c>
      <c r="N614" s="93"/>
      <c r="P614" s="21"/>
      <c r="Q614" s="12"/>
      <c r="R614">
        <f t="shared" si="27"/>
        <v>1</v>
      </c>
      <c r="S614" s="21" t="s">
        <v>99</v>
      </c>
      <c r="T614" s="21" t="s">
        <v>99</v>
      </c>
      <c r="W614" t="e">
        <f>INDEX(#REF!,MATCH($E614,#REF!,0))</f>
        <v>#REF!</v>
      </c>
      <c r="X614" t="e">
        <f>INDEX(#REF!,MATCH($E614,#REF!,0))</f>
        <v>#REF!</v>
      </c>
      <c r="Y614" t="e">
        <f>INDEX(#REF!,MATCH($E614,#REF!,0))</f>
        <v>#REF!</v>
      </c>
      <c r="Z614" t="e">
        <f>INDEX(#REF!,MATCH($E614,#REF!,0))</f>
        <v>#REF!</v>
      </c>
      <c r="AA614" t="e">
        <f>INDEX(#REF!,MATCH($E614,#REF!,0))</f>
        <v>#REF!</v>
      </c>
      <c r="AB614" t="e">
        <f>INDEX(#REF!,MATCH($E614,#REF!,0))</f>
        <v>#REF!</v>
      </c>
      <c r="AC614" t="e">
        <f>INDEX(#REF!,MATCH($E614,#REF!,0))</f>
        <v>#REF!</v>
      </c>
      <c r="AD614" t="e">
        <f>INDEX(#REF!,MATCH($E614,#REF!,0))</f>
        <v>#REF!</v>
      </c>
      <c r="AE614" t="e">
        <f t="shared" si="26"/>
        <v>#REF!</v>
      </c>
    </row>
    <row r="615" spans="2:31" x14ac:dyDescent="0.25">
      <c r="B615" s="45" t="s">
        <v>1905</v>
      </c>
      <c r="C615" s="45" t="s">
        <v>875</v>
      </c>
      <c r="D615" s="89" t="s">
        <v>2076</v>
      </c>
      <c r="E615" s="89">
        <v>900076</v>
      </c>
      <c r="F615" s="89">
        <v>1170</v>
      </c>
      <c r="G615" s="90">
        <v>10</v>
      </c>
      <c r="H615" s="90">
        <v>31</v>
      </c>
      <c r="I615" s="90" t="s">
        <v>26</v>
      </c>
      <c r="J615" s="90">
        <v>1</v>
      </c>
      <c r="K615" s="90" t="s">
        <v>2509</v>
      </c>
      <c r="L615" s="91">
        <v>8022</v>
      </c>
      <c r="M615" s="92" t="s">
        <v>2414</v>
      </c>
      <c r="N615" s="93"/>
      <c r="P615" s="21"/>
      <c r="Q615" s="12"/>
      <c r="R615">
        <f t="shared" si="27"/>
        <v>1</v>
      </c>
      <c r="S615" s="21" t="s">
        <v>99</v>
      </c>
      <c r="T615" s="21" t="s">
        <v>99</v>
      </c>
      <c r="W615" t="e">
        <f>INDEX(#REF!,MATCH($E615,#REF!,0))</f>
        <v>#REF!</v>
      </c>
      <c r="X615" t="e">
        <f>INDEX(#REF!,MATCH($E615,#REF!,0))</f>
        <v>#REF!</v>
      </c>
      <c r="Y615" t="e">
        <f>INDEX(#REF!,MATCH($E615,#REF!,0))</f>
        <v>#REF!</v>
      </c>
      <c r="Z615" t="e">
        <f>INDEX(#REF!,MATCH($E615,#REF!,0))</f>
        <v>#REF!</v>
      </c>
      <c r="AA615" t="e">
        <f>INDEX(#REF!,MATCH($E615,#REF!,0))</f>
        <v>#REF!</v>
      </c>
      <c r="AB615" t="e">
        <f>INDEX(#REF!,MATCH($E615,#REF!,0))</f>
        <v>#REF!</v>
      </c>
      <c r="AC615" t="e">
        <f>INDEX(#REF!,MATCH($E615,#REF!,0))</f>
        <v>#REF!</v>
      </c>
      <c r="AD615" t="e">
        <f>INDEX(#REF!,MATCH($E615,#REF!,0))</f>
        <v>#REF!</v>
      </c>
      <c r="AE615" t="e">
        <f t="shared" si="26"/>
        <v>#REF!</v>
      </c>
    </row>
    <row r="616" spans="2:31" x14ac:dyDescent="0.25">
      <c r="B616" s="45" t="s">
        <v>1906</v>
      </c>
      <c r="C616" s="45" t="s">
        <v>877</v>
      </c>
      <c r="D616" s="89" t="s">
        <v>876</v>
      </c>
      <c r="E616" s="89">
        <v>900080</v>
      </c>
      <c r="F616" s="89">
        <v>1137</v>
      </c>
      <c r="G616" s="90">
        <v>17</v>
      </c>
      <c r="H616" s="90">
        <v>31</v>
      </c>
      <c r="I616" s="90" t="s">
        <v>26</v>
      </c>
      <c r="J616" s="90">
        <v>1</v>
      </c>
      <c r="K616" s="90">
        <v>0</v>
      </c>
      <c r="L616" s="91"/>
      <c r="M616" s="92" t="s">
        <v>2415</v>
      </c>
      <c r="N616" s="93"/>
      <c r="P616" s="21"/>
      <c r="Q616" s="12"/>
      <c r="R616">
        <f t="shared" si="27"/>
        <v>1</v>
      </c>
      <c r="S616" s="21" t="s">
        <v>99</v>
      </c>
      <c r="T616" s="21" t="s">
        <v>99</v>
      </c>
      <c r="W616" t="e">
        <f>INDEX(#REF!,MATCH($E616,#REF!,0))</f>
        <v>#REF!</v>
      </c>
      <c r="X616" t="e">
        <f>INDEX(#REF!,MATCH($E616,#REF!,0))</f>
        <v>#REF!</v>
      </c>
      <c r="Y616" t="e">
        <f>INDEX(#REF!,MATCH($E616,#REF!,0))</f>
        <v>#REF!</v>
      </c>
      <c r="Z616" t="e">
        <f>INDEX(#REF!,MATCH($E616,#REF!,0))</f>
        <v>#REF!</v>
      </c>
      <c r="AA616" t="e">
        <f>INDEX(#REF!,MATCH($E616,#REF!,0))</f>
        <v>#REF!</v>
      </c>
      <c r="AB616" t="e">
        <f>INDEX(#REF!,MATCH($E616,#REF!,0))</f>
        <v>#REF!</v>
      </c>
      <c r="AC616" t="e">
        <f>INDEX(#REF!,MATCH($E616,#REF!,0))</f>
        <v>#REF!</v>
      </c>
      <c r="AD616" t="e">
        <f>INDEX(#REF!,MATCH($E616,#REF!,0))</f>
        <v>#REF!</v>
      </c>
      <c r="AE616" t="e">
        <f t="shared" si="26"/>
        <v>#REF!</v>
      </c>
    </row>
    <row r="617" spans="2:31" x14ac:dyDescent="0.25">
      <c r="B617" s="45" t="s">
        <v>1907</v>
      </c>
      <c r="C617" s="45" t="s">
        <v>878</v>
      </c>
      <c r="D617" s="89" t="s">
        <v>2077</v>
      </c>
      <c r="E617" s="89">
        <v>900083</v>
      </c>
      <c r="F617" s="89">
        <v>1130</v>
      </c>
      <c r="G617" s="90">
        <v>0</v>
      </c>
      <c r="H617" s="90">
        <v>31</v>
      </c>
      <c r="I617" s="90" t="s">
        <v>26</v>
      </c>
      <c r="J617" s="90">
        <v>1</v>
      </c>
      <c r="K617" s="90">
        <v>0</v>
      </c>
      <c r="L617" s="91"/>
      <c r="M617" s="92"/>
      <c r="N617" s="93"/>
      <c r="P617" s="21"/>
      <c r="Q617" s="12"/>
      <c r="R617">
        <f t="shared" si="27"/>
        <v>1</v>
      </c>
      <c r="S617" s="21" t="s">
        <v>99</v>
      </c>
      <c r="T617" s="21" t="s">
        <v>99</v>
      </c>
      <c r="W617" t="e">
        <f>INDEX(#REF!,MATCH($E617,#REF!,0))</f>
        <v>#REF!</v>
      </c>
      <c r="X617" t="e">
        <f>INDEX(#REF!,MATCH($E617,#REF!,0))</f>
        <v>#REF!</v>
      </c>
      <c r="Y617" t="e">
        <f>INDEX(#REF!,MATCH($E617,#REF!,0))</f>
        <v>#REF!</v>
      </c>
      <c r="Z617" t="e">
        <f>INDEX(#REF!,MATCH($E617,#REF!,0))</f>
        <v>#REF!</v>
      </c>
      <c r="AA617" t="e">
        <f>INDEX(#REF!,MATCH($E617,#REF!,0))</f>
        <v>#REF!</v>
      </c>
      <c r="AB617" t="e">
        <f>INDEX(#REF!,MATCH($E617,#REF!,0))</f>
        <v>#REF!</v>
      </c>
      <c r="AC617" t="e">
        <f>INDEX(#REF!,MATCH($E617,#REF!,0))</f>
        <v>#REF!</v>
      </c>
      <c r="AD617" t="e">
        <f>INDEX(#REF!,MATCH($E617,#REF!,0))</f>
        <v>#REF!</v>
      </c>
      <c r="AE617" t="e">
        <f t="shared" si="26"/>
        <v>#REF!</v>
      </c>
    </row>
    <row r="618" spans="2:31" x14ac:dyDescent="0.25">
      <c r="B618" s="45" t="s">
        <v>1908</v>
      </c>
      <c r="C618" s="45" t="s">
        <v>879</v>
      </c>
      <c r="D618" s="89" t="s">
        <v>2078</v>
      </c>
      <c r="E618" s="89">
        <v>900084</v>
      </c>
      <c r="F618" s="89">
        <v>1130</v>
      </c>
      <c r="G618" s="90">
        <v>1</v>
      </c>
      <c r="H618" s="90">
        <v>31</v>
      </c>
      <c r="I618" s="90" t="s">
        <v>26</v>
      </c>
      <c r="J618" s="90">
        <v>1</v>
      </c>
      <c r="K618" s="90" t="s">
        <v>2509</v>
      </c>
      <c r="L618" s="91">
        <v>8024</v>
      </c>
      <c r="M618" s="92"/>
      <c r="N618" s="93"/>
      <c r="P618" s="21"/>
      <c r="Q618" s="12"/>
      <c r="R618">
        <f t="shared" si="27"/>
        <v>1</v>
      </c>
      <c r="S618" s="21" t="s">
        <v>99</v>
      </c>
      <c r="T618" s="21" t="s">
        <v>99</v>
      </c>
      <c r="W618" t="e">
        <f>INDEX(#REF!,MATCH($E618,#REF!,0))</f>
        <v>#REF!</v>
      </c>
      <c r="X618" t="e">
        <f>INDEX(#REF!,MATCH($E618,#REF!,0))</f>
        <v>#REF!</v>
      </c>
      <c r="Y618" t="e">
        <f>INDEX(#REF!,MATCH($E618,#REF!,0))</f>
        <v>#REF!</v>
      </c>
      <c r="Z618" t="e">
        <f>INDEX(#REF!,MATCH($E618,#REF!,0))</f>
        <v>#REF!</v>
      </c>
      <c r="AA618" t="e">
        <f>INDEX(#REF!,MATCH($E618,#REF!,0))</f>
        <v>#REF!</v>
      </c>
      <c r="AB618" t="e">
        <f>INDEX(#REF!,MATCH($E618,#REF!,0))</f>
        <v>#REF!</v>
      </c>
      <c r="AC618" t="e">
        <f>INDEX(#REF!,MATCH($E618,#REF!,0))</f>
        <v>#REF!</v>
      </c>
      <c r="AD618" t="e">
        <f>INDEX(#REF!,MATCH($E618,#REF!,0))</f>
        <v>#REF!</v>
      </c>
      <c r="AE618" t="e">
        <f t="shared" si="26"/>
        <v>#REF!</v>
      </c>
    </row>
    <row r="619" spans="2:31" x14ac:dyDescent="0.25">
      <c r="B619" s="45" t="s">
        <v>1909</v>
      </c>
      <c r="C619" s="45" t="s">
        <v>881</v>
      </c>
      <c r="D619" s="89" t="s">
        <v>880</v>
      </c>
      <c r="E619" s="89">
        <v>900088</v>
      </c>
      <c r="F619" s="89">
        <v>1130</v>
      </c>
      <c r="G619" s="90">
        <v>11</v>
      </c>
      <c r="H619" s="90">
        <v>31</v>
      </c>
      <c r="I619" s="90" t="s">
        <v>26</v>
      </c>
      <c r="J619" s="90">
        <v>1</v>
      </c>
      <c r="K619" s="90">
        <v>0</v>
      </c>
      <c r="L619" s="91"/>
      <c r="M619" s="92" t="s">
        <v>2416</v>
      </c>
      <c r="N619" s="93"/>
      <c r="P619" s="21"/>
      <c r="Q619" s="12"/>
      <c r="R619">
        <f t="shared" si="27"/>
        <v>1</v>
      </c>
      <c r="S619" s="21" t="s">
        <v>99</v>
      </c>
      <c r="T619" s="21" t="s">
        <v>99</v>
      </c>
      <c r="W619" t="e">
        <f>INDEX(#REF!,MATCH($E619,#REF!,0))</f>
        <v>#REF!</v>
      </c>
      <c r="X619" t="e">
        <f>INDEX(#REF!,MATCH($E619,#REF!,0))</f>
        <v>#REF!</v>
      </c>
      <c r="Y619" t="e">
        <f>INDEX(#REF!,MATCH($E619,#REF!,0))</f>
        <v>#REF!</v>
      </c>
      <c r="Z619" t="e">
        <f>INDEX(#REF!,MATCH($E619,#REF!,0))</f>
        <v>#REF!</v>
      </c>
      <c r="AA619" t="e">
        <f>INDEX(#REF!,MATCH($E619,#REF!,0))</f>
        <v>#REF!</v>
      </c>
      <c r="AB619" t="e">
        <f>INDEX(#REF!,MATCH($E619,#REF!,0))</f>
        <v>#REF!</v>
      </c>
      <c r="AC619" t="e">
        <f>INDEX(#REF!,MATCH($E619,#REF!,0))</f>
        <v>#REF!</v>
      </c>
      <c r="AD619" t="e">
        <f>INDEX(#REF!,MATCH($E619,#REF!,0))</f>
        <v>#REF!</v>
      </c>
      <c r="AE619" t="e">
        <f t="shared" si="26"/>
        <v>#REF!</v>
      </c>
    </row>
    <row r="620" spans="2:31" x14ac:dyDescent="0.25">
      <c r="B620" s="45" t="s">
        <v>1910</v>
      </c>
      <c r="C620" s="45" t="s">
        <v>883</v>
      </c>
      <c r="D620" s="89" t="s">
        <v>882</v>
      </c>
      <c r="E620" s="89">
        <v>900089</v>
      </c>
      <c r="F620" s="89">
        <v>1149</v>
      </c>
      <c r="G620" s="90">
        <v>6</v>
      </c>
      <c r="H620" s="90">
        <v>31</v>
      </c>
      <c r="I620" s="90" t="s">
        <v>207</v>
      </c>
      <c r="J620" s="90">
        <v>1000</v>
      </c>
      <c r="K620" s="90">
        <v>0</v>
      </c>
      <c r="L620" s="91"/>
      <c r="M620" s="92" t="s">
        <v>2322</v>
      </c>
      <c r="N620" s="93"/>
      <c r="P620" s="21"/>
      <c r="Q620" s="12"/>
      <c r="R620">
        <f t="shared" si="27"/>
        <v>1</v>
      </c>
      <c r="S620" s="21" t="s">
        <v>99</v>
      </c>
      <c r="T620" s="21" t="s">
        <v>99</v>
      </c>
      <c r="W620" t="e">
        <f>INDEX(#REF!,MATCH($E620,#REF!,0))</f>
        <v>#REF!</v>
      </c>
      <c r="X620" t="e">
        <f>INDEX(#REF!,MATCH($E620,#REF!,0))</f>
        <v>#REF!</v>
      </c>
      <c r="Y620" t="e">
        <f>INDEX(#REF!,MATCH($E620,#REF!,0))</f>
        <v>#REF!</v>
      </c>
      <c r="Z620" t="e">
        <f>INDEX(#REF!,MATCH($E620,#REF!,0))</f>
        <v>#REF!</v>
      </c>
      <c r="AA620" t="e">
        <f>INDEX(#REF!,MATCH($E620,#REF!,0))</f>
        <v>#REF!</v>
      </c>
      <c r="AB620" t="e">
        <f>INDEX(#REF!,MATCH($E620,#REF!,0))</f>
        <v>#REF!</v>
      </c>
      <c r="AC620" t="e">
        <f>INDEX(#REF!,MATCH($E620,#REF!,0))</f>
        <v>#REF!</v>
      </c>
      <c r="AD620" t="e">
        <f>INDEX(#REF!,MATCH($E620,#REF!,0))</f>
        <v>#REF!</v>
      </c>
      <c r="AE620" t="e">
        <f t="shared" si="26"/>
        <v>#REF!</v>
      </c>
    </row>
    <row r="621" spans="2:31" x14ac:dyDescent="0.25">
      <c r="B621" s="45" t="s">
        <v>1911</v>
      </c>
      <c r="C621" s="45" t="s">
        <v>884</v>
      </c>
      <c r="D621" s="89" t="s">
        <v>2095</v>
      </c>
      <c r="E621" s="89">
        <v>900092</v>
      </c>
      <c r="F621" s="89">
        <v>1130</v>
      </c>
      <c r="G621" s="90">
        <v>2</v>
      </c>
      <c r="H621" s="90">
        <v>31</v>
      </c>
      <c r="I621" s="90" t="s">
        <v>26</v>
      </c>
      <c r="J621" s="90">
        <v>1</v>
      </c>
      <c r="K621" s="90">
        <v>0</v>
      </c>
      <c r="L621" s="91"/>
      <c r="M621" s="92"/>
      <c r="N621" s="93"/>
      <c r="P621" s="21"/>
      <c r="Q621" s="12"/>
      <c r="R621">
        <f t="shared" si="27"/>
        <v>1</v>
      </c>
      <c r="S621" s="21" t="s">
        <v>99</v>
      </c>
      <c r="T621" s="21" t="s">
        <v>99</v>
      </c>
      <c r="W621" t="e">
        <f>INDEX(#REF!,MATCH($E621,#REF!,0))</f>
        <v>#REF!</v>
      </c>
      <c r="X621" t="e">
        <f>INDEX(#REF!,MATCH($E621,#REF!,0))</f>
        <v>#REF!</v>
      </c>
      <c r="Y621" t="e">
        <f>INDEX(#REF!,MATCH($E621,#REF!,0))</f>
        <v>#REF!</v>
      </c>
      <c r="Z621" t="e">
        <f>INDEX(#REF!,MATCH($E621,#REF!,0))</f>
        <v>#REF!</v>
      </c>
      <c r="AA621" t="e">
        <f>INDEX(#REF!,MATCH($E621,#REF!,0))</f>
        <v>#REF!</v>
      </c>
      <c r="AB621" t="e">
        <f>INDEX(#REF!,MATCH($E621,#REF!,0))</f>
        <v>#REF!</v>
      </c>
      <c r="AC621" t="e">
        <f>INDEX(#REF!,MATCH($E621,#REF!,0))</f>
        <v>#REF!</v>
      </c>
      <c r="AD621" t="e">
        <f>INDEX(#REF!,MATCH($E621,#REF!,0))</f>
        <v>#REF!</v>
      </c>
      <c r="AE621" t="e">
        <f t="shared" si="26"/>
        <v>#REF!</v>
      </c>
    </row>
    <row r="622" spans="2:31" x14ac:dyDescent="0.25">
      <c r="B622" s="37" t="s">
        <v>3235</v>
      </c>
      <c r="C622" s="37" t="s">
        <v>3234</v>
      </c>
      <c r="D622" s="89" t="s">
        <v>2079</v>
      </c>
      <c r="E622" s="89">
        <v>900093</v>
      </c>
      <c r="F622" s="89">
        <v>1130</v>
      </c>
      <c r="G622" s="90">
        <v>3</v>
      </c>
      <c r="H622" s="90">
        <v>31</v>
      </c>
      <c r="I622" s="90" t="s">
        <v>26</v>
      </c>
      <c r="J622" s="90">
        <v>1</v>
      </c>
      <c r="K622" s="90" t="s">
        <v>2509</v>
      </c>
      <c r="L622" s="91">
        <v>8004</v>
      </c>
      <c r="M622" s="92"/>
      <c r="N622" s="93" t="s">
        <v>2079</v>
      </c>
      <c r="P622" s="21"/>
      <c r="Q622" s="12"/>
      <c r="R622">
        <f t="shared" si="27"/>
        <v>1</v>
      </c>
      <c r="S622" s="21" t="s">
        <v>99</v>
      </c>
      <c r="T622" s="21" t="s">
        <v>99</v>
      </c>
      <c r="W622" t="e">
        <f>INDEX(#REF!,MATCH($E622,#REF!,0))</f>
        <v>#REF!</v>
      </c>
      <c r="X622" t="e">
        <f>INDEX(#REF!,MATCH($E622,#REF!,0))</f>
        <v>#REF!</v>
      </c>
      <c r="Y622" t="e">
        <f>INDEX(#REF!,MATCH($E622,#REF!,0))</f>
        <v>#REF!</v>
      </c>
      <c r="Z622" t="e">
        <f>INDEX(#REF!,MATCH($E622,#REF!,0))</f>
        <v>#REF!</v>
      </c>
      <c r="AA622" t="e">
        <f>INDEX(#REF!,MATCH($E622,#REF!,0))</f>
        <v>#REF!</v>
      </c>
      <c r="AB622" t="e">
        <f>INDEX(#REF!,MATCH($E622,#REF!,0))</f>
        <v>#REF!</v>
      </c>
      <c r="AC622" t="e">
        <f>INDEX(#REF!,MATCH($E622,#REF!,0))</f>
        <v>#REF!</v>
      </c>
      <c r="AD622" t="e">
        <f>INDEX(#REF!,MATCH($E622,#REF!,0))</f>
        <v>#REF!</v>
      </c>
      <c r="AE622" t="e">
        <f t="shared" si="26"/>
        <v>#REF!</v>
      </c>
    </row>
    <row r="623" spans="2:31" x14ac:dyDescent="0.25">
      <c r="B623" s="45" t="s">
        <v>1912</v>
      </c>
      <c r="C623" s="45" t="s">
        <v>886</v>
      </c>
      <c r="D623" s="89" t="s">
        <v>885</v>
      </c>
      <c r="E623" s="89">
        <v>900095</v>
      </c>
      <c r="F623" s="89">
        <v>1138</v>
      </c>
      <c r="G623" s="90">
        <v>10</v>
      </c>
      <c r="H623" s="90">
        <v>31</v>
      </c>
      <c r="I623" s="90" t="s">
        <v>26</v>
      </c>
      <c r="J623" s="90">
        <v>1</v>
      </c>
      <c r="K623" s="90">
        <v>0</v>
      </c>
      <c r="L623" s="91"/>
      <c r="M623" s="92"/>
      <c r="N623" s="93"/>
      <c r="P623" s="21"/>
      <c r="Q623" s="12"/>
      <c r="R623">
        <f t="shared" si="27"/>
        <v>1</v>
      </c>
      <c r="S623" s="21" t="s">
        <v>99</v>
      </c>
      <c r="T623" s="21" t="s">
        <v>99</v>
      </c>
      <c r="W623" t="e">
        <f>INDEX(#REF!,MATCH($E623,#REF!,0))</f>
        <v>#REF!</v>
      </c>
      <c r="X623" t="e">
        <f>INDEX(#REF!,MATCH($E623,#REF!,0))</f>
        <v>#REF!</v>
      </c>
      <c r="Y623" t="e">
        <f>INDEX(#REF!,MATCH($E623,#REF!,0))</f>
        <v>#REF!</v>
      </c>
      <c r="Z623" t="e">
        <f>INDEX(#REF!,MATCH($E623,#REF!,0))</f>
        <v>#REF!</v>
      </c>
      <c r="AA623" t="e">
        <f>INDEX(#REF!,MATCH($E623,#REF!,0))</f>
        <v>#REF!</v>
      </c>
      <c r="AB623" t="e">
        <f>INDEX(#REF!,MATCH($E623,#REF!,0))</f>
        <v>#REF!</v>
      </c>
      <c r="AC623" t="e">
        <f>INDEX(#REF!,MATCH($E623,#REF!,0))</f>
        <v>#REF!</v>
      </c>
      <c r="AD623" t="e">
        <f>INDEX(#REF!,MATCH($E623,#REF!,0))</f>
        <v>#REF!</v>
      </c>
      <c r="AE623" t="e">
        <f t="shared" si="26"/>
        <v>#REF!</v>
      </c>
    </row>
    <row r="624" spans="2:31" x14ac:dyDescent="0.25">
      <c r="B624" s="45" t="s">
        <v>1913</v>
      </c>
      <c r="C624" s="45" t="s">
        <v>888</v>
      </c>
      <c r="D624" s="89" t="s">
        <v>887</v>
      </c>
      <c r="E624" s="89">
        <v>900098</v>
      </c>
      <c r="F624" s="89">
        <v>1170</v>
      </c>
      <c r="G624" s="90">
        <v>7</v>
      </c>
      <c r="H624" s="90">
        <v>31</v>
      </c>
      <c r="I624" s="90" t="s">
        <v>147</v>
      </c>
      <c r="J624" s="90">
        <v>100000</v>
      </c>
      <c r="K624" s="90">
        <v>0</v>
      </c>
      <c r="L624" s="91"/>
      <c r="M624" s="92" t="s">
        <v>2417</v>
      </c>
      <c r="N624" s="93"/>
      <c r="P624" s="21"/>
      <c r="Q624" s="12"/>
      <c r="R624">
        <f t="shared" si="27"/>
        <v>1</v>
      </c>
      <c r="S624" s="21" t="s">
        <v>99</v>
      </c>
      <c r="T624" s="21" t="s">
        <v>99</v>
      </c>
      <c r="W624" t="e">
        <f>INDEX(#REF!,MATCH($E624,#REF!,0))</f>
        <v>#REF!</v>
      </c>
      <c r="X624" t="e">
        <f>INDEX(#REF!,MATCH($E624,#REF!,0))</f>
        <v>#REF!</v>
      </c>
      <c r="Y624" t="e">
        <f>INDEX(#REF!,MATCH($E624,#REF!,0))</f>
        <v>#REF!</v>
      </c>
      <c r="Z624" t="e">
        <f>INDEX(#REF!,MATCH($E624,#REF!,0))</f>
        <v>#REF!</v>
      </c>
      <c r="AA624" t="e">
        <f>INDEX(#REF!,MATCH($E624,#REF!,0))</f>
        <v>#REF!</v>
      </c>
      <c r="AB624" t="e">
        <f>INDEX(#REF!,MATCH($E624,#REF!,0))</f>
        <v>#REF!</v>
      </c>
      <c r="AC624" t="e">
        <f>INDEX(#REF!,MATCH($E624,#REF!,0))</f>
        <v>#REF!</v>
      </c>
      <c r="AD624" t="e">
        <f>INDEX(#REF!,MATCH($E624,#REF!,0))</f>
        <v>#REF!</v>
      </c>
      <c r="AE624" t="e">
        <f t="shared" si="26"/>
        <v>#REF!</v>
      </c>
    </row>
    <row r="625" spans="2:31" x14ac:dyDescent="0.25">
      <c r="B625" s="45" t="s">
        <v>1914</v>
      </c>
      <c r="C625" s="45" t="s">
        <v>890</v>
      </c>
      <c r="D625" s="89" t="s">
        <v>889</v>
      </c>
      <c r="E625" s="89">
        <v>900099</v>
      </c>
      <c r="F625" s="89">
        <v>1170</v>
      </c>
      <c r="G625" s="90">
        <v>9</v>
      </c>
      <c r="H625" s="90">
        <v>31</v>
      </c>
      <c r="I625" s="90" t="s">
        <v>147</v>
      </c>
      <c r="J625" s="90">
        <v>100000</v>
      </c>
      <c r="K625" s="90">
        <v>0</v>
      </c>
      <c r="L625" s="91"/>
      <c r="M625" s="92" t="s">
        <v>2418</v>
      </c>
      <c r="N625" s="93"/>
      <c r="P625" s="21"/>
      <c r="Q625" s="12"/>
      <c r="R625">
        <f t="shared" si="27"/>
        <v>1</v>
      </c>
      <c r="S625" s="21" t="s">
        <v>99</v>
      </c>
      <c r="T625" s="21" t="s">
        <v>99</v>
      </c>
      <c r="W625" t="e">
        <f>INDEX(#REF!,MATCH($E625,#REF!,0))</f>
        <v>#REF!</v>
      </c>
      <c r="X625" t="e">
        <f>INDEX(#REF!,MATCH($E625,#REF!,0))</f>
        <v>#REF!</v>
      </c>
      <c r="Y625" t="e">
        <f>INDEX(#REF!,MATCH($E625,#REF!,0))</f>
        <v>#REF!</v>
      </c>
      <c r="Z625" t="e">
        <f>INDEX(#REF!,MATCH($E625,#REF!,0))</f>
        <v>#REF!</v>
      </c>
      <c r="AA625" t="e">
        <f>INDEX(#REF!,MATCH($E625,#REF!,0))</f>
        <v>#REF!</v>
      </c>
      <c r="AB625" t="e">
        <f>INDEX(#REF!,MATCH($E625,#REF!,0))</f>
        <v>#REF!</v>
      </c>
      <c r="AC625" t="e">
        <f>INDEX(#REF!,MATCH($E625,#REF!,0))</f>
        <v>#REF!</v>
      </c>
      <c r="AD625" t="e">
        <f>INDEX(#REF!,MATCH($E625,#REF!,0))</f>
        <v>#REF!</v>
      </c>
      <c r="AE625" t="e">
        <f t="shared" si="26"/>
        <v>#REF!</v>
      </c>
    </row>
    <row r="626" spans="2:31" x14ac:dyDescent="0.25">
      <c r="B626" s="45" t="s">
        <v>1915</v>
      </c>
      <c r="C626" s="45" t="s">
        <v>891</v>
      </c>
      <c r="D626" s="89" t="s">
        <v>2080</v>
      </c>
      <c r="E626" s="89">
        <v>900102</v>
      </c>
      <c r="F626" s="89">
        <v>1130</v>
      </c>
      <c r="G626" s="90">
        <v>16</v>
      </c>
      <c r="H626" s="90">
        <v>31</v>
      </c>
      <c r="I626" s="90" t="s">
        <v>26</v>
      </c>
      <c r="J626" s="90">
        <v>1</v>
      </c>
      <c r="K626" s="90">
        <v>0</v>
      </c>
      <c r="L626" s="91"/>
      <c r="M626" s="92" t="s">
        <v>1170</v>
      </c>
      <c r="N626" s="93"/>
      <c r="P626" s="21"/>
      <c r="Q626" s="12"/>
      <c r="R626">
        <f t="shared" si="27"/>
        <v>1</v>
      </c>
      <c r="S626" s="21" t="s">
        <v>99</v>
      </c>
      <c r="T626" s="21" t="s">
        <v>99</v>
      </c>
      <c r="W626" t="e">
        <f>INDEX(#REF!,MATCH($E626,#REF!,0))</f>
        <v>#REF!</v>
      </c>
      <c r="X626" t="e">
        <f>INDEX(#REF!,MATCH($E626,#REF!,0))</f>
        <v>#REF!</v>
      </c>
      <c r="Y626" t="e">
        <f>INDEX(#REF!,MATCH($E626,#REF!,0))</f>
        <v>#REF!</v>
      </c>
      <c r="Z626" t="e">
        <f>INDEX(#REF!,MATCH($E626,#REF!,0))</f>
        <v>#REF!</v>
      </c>
      <c r="AA626" t="e">
        <f>INDEX(#REF!,MATCH($E626,#REF!,0))</f>
        <v>#REF!</v>
      </c>
      <c r="AB626" t="e">
        <f>INDEX(#REF!,MATCH($E626,#REF!,0))</f>
        <v>#REF!</v>
      </c>
      <c r="AC626" t="e">
        <f>INDEX(#REF!,MATCH($E626,#REF!,0))</f>
        <v>#REF!</v>
      </c>
      <c r="AD626" t="e">
        <f>INDEX(#REF!,MATCH($E626,#REF!,0))</f>
        <v>#REF!</v>
      </c>
      <c r="AE626" t="e">
        <f t="shared" si="26"/>
        <v>#REF!</v>
      </c>
    </row>
    <row r="627" spans="2:31" x14ac:dyDescent="0.25">
      <c r="B627" s="45" t="s">
        <v>1916</v>
      </c>
      <c r="C627" s="45" t="s">
        <v>892</v>
      </c>
      <c r="D627" s="89" t="s">
        <v>2081</v>
      </c>
      <c r="E627" s="89">
        <v>900103</v>
      </c>
      <c r="F627" s="89">
        <v>1130</v>
      </c>
      <c r="G627" s="90">
        <v>14</v>
      </c>
      <c r="H627" s="90">
        <v>31</v>
      </c>
      <c r="I627" s="90" t="s">
        <v>26</v>
      </c>
      <c r="J627" s="90">
        <v>1</v>
      </c>
      <c r="K627" s="90">
        <v>0</v>
      </c>
      <c r="L627" s="91"/>
      <c r="M627" s="92" t="s">
        <v>1171</v>
      </c>
      <c r="N627" s="93"/>
      <c r="P627" s="21"/>
      <c r="Q627" s="12"/>
      <c r="R627">
        <f t="shared" si="27"/>
        <v>1</v>
      </c>
      <c r="S627" s="21" t="s">
        <v>99</v>
      </c>
      <c r="T627" s="21" t="s">
        <v>99</v>
      </c>
      <c r="W627" t="e">
        <f>INDEX(#REF!,MATCH($E627,#REF!,0))</f>
        <v>#REF!</v>
      </c>
      <c r="X627" t="e">
        <f>INDEX(#REF!,MATCH($E627,#REF!,0))</f>
        <v>#REF!</v>
      </c>
      <c r="Y627" t="e">
        <f>INDEX(#REF!,MATCH($E627,#REF!,0))</f>
        <v>#REF!</v>
      </c>
      <c r="Z627" t="e">
        <f>INDEX(#REF!,MATCH($E627,#REF!,0))</f>
        <v>#REF!</v>
      </c>
      <c r="AA627" t="e">
        <f>INDEX(#REF!,MATCH($E627,#REF!,0))</f>
        <v>#REF!</v>
      </c>
      <c r="AB627" t="e">
        <f>INDEX(#REF!,MATCH($E627,#REF!,0))</f>
        <v>#REF!</v>
      </c>
      <c r="AC627" t="e">
        <f>INDEX(#REF!,MATCH($E627,#REF!,0))</f>
        <v>#REF!</v>
      </c>
      <c r="AD627" t="e">
        <f>INDEX(#REF!,MATCH($E627,#REF!,0))</f>
        <v>#REF!</v>
      </c>
      <c r="AE627" t="e">
        <f t="shared" si="26"/>
        <v>#REF!</v>
      </c>
    </row>
    <row r="628" spans="2:31" x14ac:dyDescent="0.25">
      <c r="B628" s="45" t="s">
        <v>1917</v>
      </c>
      <c r="C628" s="45" t="s">
        <v>893</v>
      </c>
      <c r="D628" s="89" t="s">
        <v>2082</v>
      </c>
      <c r="E628" s="89">
        <v>900104</v>
      </c>
      <c r="F628" s="89">
        <v>1130</v>
      </c>
      <c r="G628" s="90">
        <v>17</v>
      </c>
      <c r="H628" s="90">
        <v>31</v>
      </c>
      <c r="I628" s="90" t="s">
        <v>26</v>
      </c>
      <c r="J628" s="90">
        <v>1</v>
      </c>
      <c r="K628" s="90">
        <v>0</v>
      </c>
      <c r="L628" s="91"/>
      <c r="M628" s="92" t="s">
        <v>1172</v>
      </c>
      <c r="N628" s="93"/>
      <c r="P628" s="21"/>
      <c r="Q628" s="12"/>
      <c r="R628">
        <f t="shared" si="27"/>
        <v>1</v>
      </c>
      <c r="S628" s="21" t="s">
        <v>99</v>
      </c>
      <c r="T628" s="21" t="s">
        <v>99</v>
      </c>
      <c r="W628" t="e">
        <f>INDEX(#REF!,MATCH($E628,#REF!,0))</f>
        <v>#REF!</v>
      </c>
      <c r="X628" t="e">
        <f>INDEX(#REF!,MATCH($E628,#REF!,0))</f>
        <v>#REF!</v>
      </c>
      <c r="Y628" t="e">
        <f>INDEX(#REF!,MATCH($E628,#REF!,0))</f>
        <v>#REF!</v>
      </c>
      <c r="Z628" t="e">
        <f>INDEX(#REF!,MATCH($E628,#REF!,0))</f>
        <v>#REF!</v>
      </c>
      <c r="AA628" t="e">
        <f>INDEX(#REF!,MATCH($E628,#REF!,0))</f>
        <v>#REF!</v>
      </c>
      <c r="AB628" t="e">
        <f>INDEX(#REF!,MATCH($E628,#REF!,0))</f>
        <v>#REF!</v>
      </c>
      <c r="AC628" t="e">
        <f>INDEX(#REF!,MATCH($E628,#REF!,0))</f>
        <v>#REF!</v>
      </c>
      <c r="AD628" t="e">
        <f>INDEX(#REF!,MATCH($E628,#REF!,0))</f>
        <v>#REF!</v>
      </c>
      <c r="AE628" t="e">
        <f t="shared" si="26"/>
        <v>#REF!</v>
      </c>
    </row>
    <row r="629" spans="2:31" x14ac:dyDescent="0.25">
      <c r="B629" s="45" t="s">
        <v>1918</v>
      </c>
      <c r="C629" s="45" t="s">
        <v>894</v>
      </c>
      <c r="D629" s="89" t="s">
        <v>2083</v>
      </c>
      <c r="E629" s="89">
        <v>900105</v>
      </c>
      <c r="F629" s="89">
        <v>1130</v>
      </c>
      <c r="G629" s="90">
        <v>18</v>
      </c>
      <c r="H629" s="90">
        <v>31</v>
      </c>
      <c r="I629" s="90" t="s">
        <v>26</v>
      </c>
      <c r="J629" s="90">
        <v>1</v>
      </c>
      <c r="K629" s="90">
        <v>0</v>
      </c>
      <c r="L629" s="91"/>
      <c r="M629" s="92" t="s">
        <v>2419</v>
      </c>
      <c r="N629" s="93"/>
      <c r="P629" s="21"/>
      <c r="Q629" s="12" t="s">
        <v>2233</v>
      </c>
      <c r="R629">
        <f t="shared" si="27"/>
        <v>1</v>
      </c>
      <c r="S629" s="21" t="s">
        <v>99</v>
      </c>
      <c r="T629" s="21" t="s">
        <v>99</v>
      </c>
      <c r="W629" t="e">
        <f>INDEX(#REF!,MATCH($E629,#REF!,0))</f>
        <v>#REF!</v>
      </c>
      <c r="X629" t="e">
        <f>INDEX(#REF!,MATCH($E629,#REF!,0))</f>
        <v>#REF!</v>
      </c>
      <c r="Y629" t="e">
        <f>INDEX(#REF!,MATCH($E629,#REF!,0))</f>
        <v>#REF!</v>
      </c>
      <c r="Z629" t="e">
        <f>INDEX(#REF!,MATCH($E629,#REF!,0))</f>
        <v>#REF!</v>
      </c>
      <c r="AA629" t="e">
        <f>INDEX(#REF!,MATCH($E629,#REF!,0))</f>
        <v>#REF!</v>
      </c>
      <c r="AB629" t="e">
        <f>INDEX(#REF!,MATCH($E629,#REF!,0))</f>
        <v>#REF!</v>
      </c>
      <c r="AC629" t="e">
        <f>INDEX(#REF!,MATCH($E629,#REF!,0))</f>
        <v>#REF!</v>
      </c>
      <c r="AD629" t="e">
        <f>INDEX(#REF!,MATCH($E629,#REF!,0))</f>
        <v>#REF!</v>
      </c>
      <c r="AE629" t="e">
        <f t="shared" si="26"/>
        <v>#REF!</v>
      </c>
    </row>
    <row r="630" spans="2:31" x14ac:dyDescent="0.25">
      <c r="B630" s="45" t="s">
        <v>1919</v>
      </c>
      <c r="C630" s="45" t="s">
        <v>895</v>
      </c>
      <c r="D630" s="89" t="s">
        <v>2084</v>
      </c>
      <c r="E630" s="89">
        <v>900106</v>
      </c>
      <c r="F630" s="89">
        <v>1130</v>
      </c>
      <c r="G630" s="90">
        <v>19</v>
      </c>
      <c r="H630" s="90">
        <v>31</v>
      </c>
      <c r="I630" s="90" t="s">
        <v>26</v>
      </c>
      <c r="J630" s="90">
        <v>1</v>
      </c>
      <c r="K630" s="90">
        <v>0</v>
      </c>
      <c r="L630" s="91"/>
      <c r="M630" s="92" t="s">
        <v>2420</v>
      </c>
      <c r="N630" s="93"/>
      <c r="P630" s="21"/>
      <c r="Q630" s="12"/>
      <c r="R630">
        <f t="shared" si="27"/>
        <v>1</v>
      </c>
      <c r="S630" s="21" t="s">
        <v>99</v>
      </c>
      <c r="T630" s="21" t="s">
        <v>99</v>
      </c>
      <c r="W630" t="e">
        <f>INDEX(#REF!,MATCH($E630,#REF!,0))</f>
        <v>#REF!</v>
      </c>
      <c r="X630" t="e">
        <f>INDEX(#REF!,MATCH($E630,#REF!,0))</f>
        <v>#REF!</v>
      </c>
      <c r="Y630" t="e">
        <f>INDEX(#REF!,MATCH($E630,#REF!,0))</f>
        <v>#REF!</v>
      </c>
      <c r="Z630" t="e">
        <f>INDEX(#REF!,MATCH($E630,#REF!,0))</f>
        <v>#REF!</v>
      </c>
      <c r="AA630" t="e">
        <f>INDEX(#REF!,MATCH($E630,#REF!,0))</f>
        <v>#REF!</v>
      </c>
      <c r="AB630" t="e">
        <f>INDEX(#REF!,MATCH($E630,#REF!,0))</f>
        <v>#REF!</v>
      </c>
      <c r="AC630" t="e">
        <f>INDEX(#REF!,MATCH($E630,#REF!,0))</f>
        <v>#REF!</v>
      </c>
      <c r="AD630" t="e">
        <f>INDEX(#REF!,MATCH($E630,#REF!,0))</f>
        <v>#REF!</v>
      </c>
      <c r="AE630" t="e">
        <f t="shared" si="26"/>
        <v>#REF!</v>
      </c>
    </row>
    <row r="631" spans="2:31" x14ac:dyDescent="0.25">
      <c r="B631" s="45" t="s">
        <v>1920</v>
      </c>
      <c r="C631" s="45" t="s">
        <v>896</v>
      </c>
      <c r="D631" s="89" t="s">
        <v>2085</v>
      </c>
      <c r="E631" s="89">
        <v>900107</v>
      </c>
      <c r="F631" s="89">
        <v>1130</v>
      </c>
      <c r="G631" s="90">
        <v>20</v>
      </c>
      <c r="H631" s="90">
        <v>31</v>
      </c>
      <c r="I631" s="90" t="s">
        <v>26</v>
      </c>
      <c r="J631" s="90">
        <v>1</v>
      </c>
      <c r="K631" s="90" t="s">
        <v>2509</v>
      </c>
      <c r="L631" s="91">
        <v>8025</v>
      </c>
      <c r="M631" s="92" t="s">
        <v>2421</v>
      </c>
      <c r="N631" s="93"/>
      <c r="P631" s="21"/>
      <c r="Q631" s="12"/>
      <c r="R631">
        <f t="shared" si="27"/>
        <v>1</v>
      </c>
      <c r="S631" s="21" t="s">
        <v>99</v>
      </c>
      <c r="T631" s="21" t="s">
        <v>99</v>
      </c>
      <c r="W631" t="e">
        <f>INDEX(#REF!,MATCH($E631,#REF!,0))</f>
        <v>#REF!</v>
      </c>
      <c r="X631" t="e">
        <f>INDEX(#REF!,MATCH($E631,#REF!,0))</f>
        <v>#REF!</v>
      </c>
      <c r="Y631" t="e">
        <f>INDEX(#REF!,MATCH($E631,#REF!,0))</f>
        <v>#REF!</v>
      </c>
      <c r="Z631" t="e">
        <f>INDEX(#REF!,MATCH($E631,#REF!,0))</f>
        <v>#REF!</v>
      </c>
      <c r="AA631" t="e">
        <f>INDEX(#REF!,MATCH($E631,#REF!,0))</f>
        <v>#REF!</v>
      </c>
      <c r="AB631" t="e">
        <f>INDEX(#REF!,MATCH($E631,#REF!,0))</f>
        <v>#REF!</v>
      </c>
      <c r="AC631" t="e">
        <f>INDEX(#REF!,MATCH($E631,#REF!,0))</f>
        <v>#REF!</v>
      </c>
      <c r="AD631" t="e">
        <f>INDEX(#REF!,MATCH($E631,#REF!,0))</f>
        <v>#REF!</v>
      </c>
      <c r="AE631" t="e">
        <f t="shared" si="26"/>
        <v>#REF!</v>
      </c>
    </row>
    <row r="632" spans="2:31" x14ac:dyDescent="0.25">
      <c r="B632" s="45" t="s">
        <v>1921</v>
      </c>
      <c r="C632" s="45" t="s">
        <v>897</v>
      </c>
      <c r="D632" s="89" t="s">
        <v>2086</v>
      </c>
      <c r="E632" s="89">
        <v>900123</v>
      </c>
      <c r="F632" s="89">
        <v>1148</v>
      </c>
      <c r="G632" s="90">
        <v>6</v>
      </c>
      <c r="H632" s="90">
        <v>31</v>
      </c>
      <c r="I632" s="90" t="s">
        <v>26</v>
      </c>
      <c r="J632" s="90">
        <v>1</v>
      </c>
      <c r="K632" s="90" t="s">
        <v>2509</v>
      </c>
      <c r="L632" s="91">
        <v>8028</v>
      </c>
      <c r="M632" s="92" t="s">
        <v>2422</v>
      </c>
      <c r="N632" s="93"/>
      <c r="P632" s="21"/>
      <c r="Q632" s="12"/>
      <c r="R632">
        <f t="shared" si="27"/>
        <v>1</v>
      </c>
      <c r="S632" s="21" t="s">
        <v>99</v>
      </c>
      <c r="T632" s="21" t="s">
        <v>99</v>
      </c>
      <c r="W632" t="e">
        <f>INDEX(#REF!,MATCH($E632,#REF!,0))</f>
        <v>#REF!</v>
      </c>
      <c r="X632" t="e">
        <f>INDEX(#REF!,MATCH($E632,#REF!,0))</f>
        <v>#REF!</v>
      </c>
      <c r="Y632" t="e">
        <f>INDEX(#REF!,MATCH($E632,#REF!,0))</f>
        <v>#REF!</v>
      </c>
      <c r="Z632" t="e">
        <f>INDEX(#REF!,MATCH($E632,#REF!,0))</f>
        <v>#REF!</v>
      </c>
      <c r="AA632" t="e">
        <f>INDEX(#REF!,MATCH($E632,#REF!,0))</f>
        <v>#REF!</v>
      </c>
      <c r="AB632" t="e">
        <f>INDEX(#REF!,MATCH($E632,#REF!,0))</f>
        <v>#REF!</v>
      </c>
      <c r="AC632" t="e">
        <f>INDEX(#REF!,MATCH($E632,#REF!,0))</f>
        <v>#REF!</v>
      </c>
      <c r="AD632" t="e">
        <f>INDEX(#REF!,MATCH($E632,#REF!,0))</f>
        <v>#REF!</v>
      </c>
      <c r="AE632" t="e">
        <f t="shared" si="26"/>
        <v>#REF!</v>
      </c>
    </row>
    <row r="633" spans="2:31" x14ac:dyDescent="0.25">
      <c r="B633" s="45" t="s">
        <v>1922</v>
      </c>
      <c r="C633" s="45" t="s">
        <v>898</v>
      </c>
      <c r="D633" s="89" t="s">
        <v>2087</v>
      </c>
      <c r="E633" s="89">
        <v>900125</v>
      </c>
      <c r="F633" s="89">
        <v>1137</v>
      </c>
      <c r="G633" s="90">
        <v>22</v>
      </c>
      <c r="H633" s="90">
        <v>31</v>
      </c>
      <c r="I633" s="90" t="s">
        <v>26</v>
      </c>
      <c r="J633" s="90">
        <v>1</v>
      </c>
      <c r="K633" s="90" t="s">
        <v>2509</v>
      </c>
      <c r="L633" s="91">
        <v>8001</v>
      </c>
      <c r="M633" s="92" t="s">
        <v>2423</v>
      </c>
      <c r="N633" s="93"/>
      <c r="P633" s="21"/>
      <c r="Q633" s="12"/>
      <c r="R633">
        <f t="shared" si="27"/>
        <v>1</v>
      </c>
      <c r="S633" s="21" t="s">
        <v>99</v>
      </c>
      <c r="T633" s="21" t="s">
        <v>99</v>
      </c>
      <c r="W633" t="e">
        <f>INDEX(#REF!,MATCH($E633,#REF!,0))</f>
        <v>#REF!</v>
      </c>
      <c r="X633" t="e">
        <f>INDEX(#REF!,MATCH($E633,#REF!,0))</f>
        <v>#REF!</v>
      </c>
      <c r="Y633" t="e">
        <f>INDEX(#REF!,MATCH($E633,#REF!,0))</f>
        <v>#REF!</v>
      </c>
      <c r="Z633" t="e">
        <f>INDEX(#REF!,MATCH($E633,#REF!,0))</f>
        <v>#REF!</v>
      </c>
      <c r="AA633" t="e">
        <f>INDEX(#REF!,MATCH($E633,#REF!,0))</f>
        <v>#REF!</v>
      </c>
      <c r="AB633" t="e">
        <f>INDEX(#REF!,MATCH($E633,#REF!,0))</f>
        <v>#REF!</v>
      </c>
      <c r="AC633" t="e">
        <f>INDEX(#REF!,MATCH($E633,#REF!,0))</f>
        <v>#REF!</v>
      </c>
      <c r="AD633" t="e">
        <f>INDEX(#REF!,MATCH($E633,#REF!,0))</f>
        <v>#REF!</v>
      </c>
      <c r="AE633" t="e">
        <f t="shared" si="26"/>
        <v>#REF!</v>
      </c>
    </row>
    <row r="634" spans="2:31" x14ac:dyDescent="0.25">
      <c r="B634" s="45" t="s">
        <v>1923</v>
      </c>
      <c r="C634" s="45" t="s">
        <v>900</v>
      </c>
      <c r="D634" s="89" t="s">
        <v>899</v>
      </c>
      <c r="E634" s="89">
        <v>900130</v>
      </c>
      <c r="F634" s="89">
        <v>1148</v>
      </c>
      <c r="G634" s="90">
        <v>23</v>
      </c>
      <c r="H634" s="90">
        <v>31</v>
      </c>
      <c r="I634" s="90" t="s">
        <v>26</v>
      </c>
      <c r="J634" s="90">
        <v>1</v>
      </c>
      <c r="K634" s="90">
        <v>0</v>
      </c>
      <c r="L634" s="91"/>
      <c r="M634" s="92" t="s">
        <v>2325</v>
      </c>
      <c r="N634" s="93"/>
      <c r="P634" s="21"/>
      <c r="Q634" s="12"/>
      <c r="R634">
        <f t="shared" si="27"/>
        <v>1</v>
      </c>
      <c r="S634" s="21" t="s">
        <v>99</v>
      </c>
      <c r="T634" s="21" t="s">
        <v>99</v>
      </c>
      <c r="W634" t="e">
        <f>INDEX(#REF!,MATCH($E634,#REF!,0))</f>
        <v>#REF!</v>
      </c>
      <c r="X634" t="e">
        <f>INDEX(#REF!,MATCH($E634,#REF!,0))</f>
        <v>#REF!</v>
      </c>
      <c r="Y634" t="e">
        <f>INDEX(#REF!,MATCH($E634,#REF!,0))</f>
        <v>#REF!</v>
      </c>
      <c r="Z634" t="e">
        <f>INDEX(#REF!,MATCH($E634,#REF!,0))</f>
        <v>#REF!</v>
      </c>
      <c r="AA634" t="e">
        <f>INDEX(#REF!,MATCH($E634,#REF!,0))</f>
        <v>#REF!</v>
      </c>
      <c r="AB634" t="e">
        <f>INDEX(#REF!,MATCH($E634,#REF!,0))</f>
        <v>#REF!</v>
      </c>
      <c r="AC634" t="e">
        <f>INDEX(#REF!,MATCH($E634,#REF!,0))</f>
        <v>#REF!</v>
      </c>
      <c r="AD634" t="e">
        <f>INDEX(#REF!,MATCH($E634,#REF!,0))</f>
        <v>#REF!</v>
      </c>
      <c r="AE634" t="e">
        <f t="shared" si="26"/>
        <v>#REF!</v>
      </c>
    </row>
    <row r="635" spans="2:31" x14ac:dyDescent="0.25">
      <c r="B635" s="45" t="s">
        <v>1924</v>
      </c>
      <c r="C635" s="45" t="s">
        <v>901</v>
      </c>
      <c r="D635" s="89" t="s">
        <v>2088</v>
      </c>
      <c r="E635" s="89">
        <v>900145</v>
      </c>
      <c r="F635" s="89">
        <v>1148</v>
      </c>
      <c r="G635" s="90">
        <v>16</v>
      </c>
      <c r="H635" s="90">
        <v>31</v>
      </c>
      <c r="I635" s="90" t="s">
        <v>26</v>
      </c>
      <c r="J635" s="90">
        <v>1</v>
      </c>
      <c r="K635" s="90" t="s">
        <v>2509</v>
      </c>
      <c r="L635" s="91">
        <v>8029</v>
      </c>
      <c r="M635" s="92" t="s">
        <v>1184</v>
      </c>
      <c r="N635" s="93"/>
      <c r="P635" s="21"/>
      <c r="Q635" s="12"/>
      <c r="R635">
        <f t="shared" si="27"/>
        <v>1</v>
      </c>
      <c r="S635" s="21" t="s">
        <v>99</v>
      </c>
      <c r="T635" s="21" t="s">
        <v>99</v>
      </c>
      <c r="W635" t="e">
        <f>INDEX(#REF!,MATCH($E635,#REF!,0))</f>
        <v>#REF!</v>
      </c>
      <c r="X635" t="e">
        <f>INDEX(#REF!,MATCH($E635,#REF!,0))</f>
        <v>#REF!</v>
      </c>
      <c r="Y635" t="e">
        <f>INDEX(#REF!,MATCH($E635,#REF!,0))</f>
        <v>#REF!</v>
      </c>
      <c r="Z635" t="e">
        <f>INDEX(#REF!,MATCH($E635,#REF!,0))</f>
        <v>#REF!</v>
      </c>
      <c r="AA635" t="e">
        <f>INDEX(#REF!,MATCH($E635,#REF!,0))</f>
        <v>#REF!</v>
      </c>
      <c r="AB635" t="e">
        <f>INDEX(#REF!,MATCH($E635,#REF!,0))</f>
        <v>#REF!</v>
      </c>
      <c r="AC635" t="e">
        <f>INDEX(#REF!,MATCH($E635,#REF!,0))</f>
        <v>#REF!</v>
      </c>
      <c r="AD635" t="e">
        <f>INDEX(#REF!,MATCH($E635,#REF!,0))</f>
        <v>#REF!</v>
      </c>
      <c r="AE635" t="e">
        <f t="shared" si="26"/>
        <v>#REF!</v>
      </c>
    </row>
    <row r="636" spans="2:31" x14ac:dyDescent="0.25">
      <c r="B636" s="45" t="s">
        <v>1925</v>
      </c>
      <c r="C636" s="45" t="s">
        <v>902</v>
      </c>
      <c r="D636" s="89" t="s">
        <v>2096</v>
      </c>
      <c r="E636" s="89">
        <v>900152</v>
      </c>
      <c r="F636" s="89">
        <v>1130</v>
      </c>
      <c r="G636" s="90">
        <v>15</v>
      </c>
      <c r="H636" s="90">
        <v>31</v>
      </c>
      <c r="I636" s="90" t="s">
        <v>26</v>
      </c>
      <c r="J636" s="90">
        <v>1</v>
      </c>
      <c r="K636" s="90">
        <v>0</v>
      </c>
      <c r="L636" s="91"/>
      <c r="M636" s="92" t="s">
        <v>1186</v>
      </c>
      <c r="N636" s="93"/>
      <c r="P636" s="21"/>
      <c r="Q636" s="12"/>
      <c r="R636">
        <f t="shared" si="27"/>
        <v>1</v>
      </c>
      <c r="S636" s="21" t="s">
        <v>99</v>
      </c>
      <c r="T636" s="21" t="s">
        <v>99</v>
      </c>
      <c r="W636" t="e">
        <f>INDEX(#REF!,MATCH($E636,#REF!,0))</f>
        <v>#REF!</v>
      </c>
      <c r="X636" t="e">
        <f>INDEX(#REF!,MATCH($E636,#REF!,0))</f>
        <v>#REF!</v>
      </c>
      <c r="Y636" t="e">
        <f>INDEX(#REF!,MATCH($E636,#REF!,0))</f>
        <v>#REF!</v>
      </c>
      <c r="Z636" t="e">
        <f>INDEX(#REF!,MATCH($E636,#REF!,0))</f>
        <v>#REF!</v>
      </c>
      <c r="AA636" t="e">
        <f>INDEX(#REF!,MATCH($E636,#REF!,0))</f>
        <v>#REF!</v>
      </c>
      <c r="AB636" t="e">
        <f>INDEX(#REF!,MATCH($E636,#REF!,0))</f>
        <v>#REF!</v>
      </c>
      <c r="AC636" t="e">
        <f>INDEX(#REF!,MATCH($E636,#REF!,0))</f>
        <v>#REF!</v>
      </c>
      <c r="AD636" t="e">
        <f>INDEX(#REF!,MATCH($E636,#REF!,0))</f>
        <v>#REF!</v>
      </c>
      <c r="AE636" t="e">
        <f t="shared" si="26"/>
        <v>#REF!</v>
      </c>
    </row>
    <row r="637" spans="2:31" x14ac:dyDescent="0.25">
      <c r="B637" s="45" t="s">
        <v>1926</v>
      </c>
      <c r="C637" s="45" t="s">
        <v>904</v>
      </c>
      <c r="D637" s="89" t="s">
        <v>903</v>
      </c>
      <c r="E637" s="89">
        <v>900153</v>
      </c>
      <c r="F637" s="89">
        <v>1130</v>
      </c>
      <c r="G637" s="90">
        <v>13</v>
      </c>
      <c r="H637" s="90">
        <v>31</v>
      </c>
      <c r="I637" s="90" t="s">
        <v>18</v>
      </c>
      <c r="J637" s="90">
        <v>1</v>
      </c>
      <c r="K637" s="90">
        <v>0</v>
      </c>
      <c r="L637" s="91"/>
      <c r="M637" s="92" t="s">
        <v>1187</v>
      </c>
      <c r="N637" s="93"/>
      <c r="P637" s="21"/>
      <c r="Q637" s="12"/>
      <c r="R637">
        <f t="shared" si="27"/>
        <v>1</v>
      </c>
      <c r="S637" s="21" t="s">
        <v>99</v>
      </c>
      <c r="T637" s="21" t="s">
        <v>99</v>
      </c>
      <c r="W637" t="e">
        <f>INDEX(#REF!,MATCH($E637,#REF!,0))</f>
        <v>#REF!</v>
      </c>
      <c r="X637" t="e">
        <f>INDEX(#REF!,MATCH($E637,#REF!,0))</f>
        <v>#REF!</v>
      </c>
      <c r="Y637" t="e">
        <f>INDEX(#REF!,MATCH($E637,#REF!,0))</f>
        <v>#REF!</v>
      </c>
      <c r="Z637" t="e">
        <f>INDEX(#REF!,MATCH($E637,#REF!,0))</f>
        <v>#REF!</v>
      </c>
      <c r="AA637" t="e">
        <f>INDEX(#REF!,MATCH($E637,#REF!,0))</f>
        <v>#REF!</v>
      </c>
      <c r="AB637" t="e">
        <f>INDEX(#REF!,MATCH($E637,#REF!,0))</f>
        <v>#REF!</v>
      </c>
      <c r="AC637" t="e">
        <f>INDEX(#REF!,MATCH($E637,#REF!,0))</f>
        <v>#REF!</v>
      </c>
      <c r="AD637" t="e">
        <f>INDEX(#REF!,MATCH($E637,#REF!,0))</f>
        <v>#REF!</v>
      </c>
      <c r="AE637" t="e">
        <f t="shared" si="26"/>
        <v>#REF!</v>
      </c>
    </row>
    <row r="638" spans="2:31" x14ac:dyDescent="0.25">
      <c r="B638" s="45" t="s">
        <v>1927</v>
      </c>
      <c r="C638" s="45" t="s">
        <v>906</v>
      </c>
      <c r="D638" s="89" t="s">
        <v>905</v>
      </c>
      <c r="E638" s="89">
        <v>900179</v>
      </c>
      <c r="F638" s="89">
        <v>1130</v>
      </c>
      <c r="G638" s="90">
        <v>12</v>
      </c>
      <c r="H638" s="90">
        <v>31</v>
      </c>
      <c r="I638" s="90" t="s">
        <v>18</v>
      </c>
      <c r="J638" s="90">
        <v>1</v>
      </c>
      <c r="K638" s="90">
        <v>0</v>
      </c>
      <c r="L638" s="91"/>
      <c r="M638" s="92" t="s">
        <v>2424</v>
      </c>
      <c r="N638" s="93"/>
      <c r="P638" s="21"/>
      <c r="Q638" s="12"/>
      <c r="R638">
        <f t="shared" si="27"/>
        <v>1</v>
      </c>
      <c r="S638" s="21" t="s">
        <v>99</v>
      </c>
      <c r="T638" s="21" t="s">
        <v>99</v>
      </c>
      <c r="W638" t="e">
        <f>INDEX(#REF!,MATCH($E638,#REF!,0))</f>
        <v>#REF!</v>
      </c>
      <c r="X638" t="e">
        <f>INDEX(#REF!,MATCH($E638,#REF!,0))</f>
        <v>#REF!</v>
      </c>
      <c r="Y638" t="e">
        <f>INDEX(#REF!,MATCH($E638,#REF!,0))</f>
        <v>#REF!</v>
      </c>
      <c r="Z638" t="e">
        <f>INDEX(#REF!,MATCH($E638,#REF!,0))</f>
        <v>#REF!</v>
      </c>
      <c r="AA638" t="e">
        <f>INDEX(#REF!,MATCH($E638,#REF!,0))</f>
        <v>#REF!</v>
      </c>
      <c r="AB638" t="e">
        <f>INDEX(#REF!,MATCH($E638,#REF!,0))</f>
        <v>#REF!</v>
      </c>
      <c r="AC638" t="e">
        <f>INDEX(#REF!,MATCH($E638,#REF!,0))</f>
        <v>#REF!</v>
      </c>
      <c r="AD638" t="e">
        <f>INDEX(#REF!,MATCH($E638,#REF!,0))</f>
        <v>#REF!</v>
      </c>
      <c r="AE638" t="e">
        <f t="shared" si="26"/>
        <v>#REF!</v>
      </c>
    </row>
    <row r="639" spans="2:31" x14ac:dyDescent="0.25">
      <c r="B639" s="86" t="s">
        <v>3521</v>
      </c>
      <c r="C639" s="86" t="s">
        <v>3522</v>
      </c>
      <c r="D639" s="89" t="s">
        <v>3397</v>
      </c>
      <c r="E639" s="89">
        <v>900180</v>
      </c>
      <c r="F639" s="89">
        <v>1181</v>
      </c>
      <c r="G639" s="90">
        <v>5</v>
      </c>
      <c r="H639" s="90">
        <v>31</v>
      </c>
      <c r="I639" s="90" t="s">
        <v>184</v>
      </c>
      <c r="J639" s="90">
        <v>1</v>
      </c>
      <c r="K639" s="90">
        <v>0</v>
      </c>
      <c r="L639" s="91"/>
      <c r="M639" s="92"/>
      <c r="N639" s="93"/>
      <c r="P639" s="87" t="s">
        <v>3400</v>
      </c>
      <c r="Q639" s="88" t="s">
        <v>3387</v>
      </c>
      <c r="S639" s="21"/>
      <c r="T639" s="21"/>
    </row>
    <row r="640" spans="2:31" x14ac:dyDescent="0.25">
      <c r="B640" s="86" t="s">
        <v>3520</v>
      </c>
      <c r="C640" s="86" t="s">
        <v>3519</v>
      </c>
      <c r="D640" s="89" t="s">
        <v>3398</v>
      </c>
      <c r="E640" s="89">
        <v>900181</v>
      </c>
      <c r="F640" s="89">
        <v>1181</v>
      </c>
      <c r="G640" s="90">
        <v>6</v>
      </c>
      <c r="H640" s="90">
        <v>31</v>
      </c>
      <c r="I640" s="90" t="s">
        <v>26</v>
      </c>
      <c r="J640" s="90">
        <v>1</v>
      </c>
      <c r="K640" s="90">
        <v>0</v>
      </c>
      <c r="L640" s="91"/>
      <c r="M640" s="92"/>
      <c r="N640" s="93"/>
      <c r="P640" s="87" t="s">
        <v>3400</v>
      </c>
      <c r="Q640" s="88" t="s">
        <v>3387</v>
      </c>
      <c r="S640" s="21"/>
      <c r="T640" s="21"/>
    </row>
    <row r="641" spans="2:31" x14ac:dyDescent="0.25">
      <c r="B641" s="45" t="s">
        <v>1928</v>
      </c>
      <c r="C641" s="45" t="s">
        <v>908</v>
      </c>
      <c r="D641" s="89" t="s">
        <v>907</v>
      </c>
      <c r="E641" s="89">
        <v>900183</v>
      </c>
      <c r="F641" s="89">
        <v>1138</v>
      </c>
      <c r="G641" s="90">
        <v>11</v>
      </c>
      <c r="H641" s="90">
        <v>31</v>
      </c>
      <c r="I641" s="90" t="s">
        <v>26</v>
      </c>
      <c r="J641" s="90">
        <v>1</v>
      </c>
      <c r="K641" s="90">
        <v>0</v>
      </c>
      <c r="L641" s="91"/>
      <c r="M641" s="92" t="s">
        <v>1260</v>
      </c>
      <c r="N641" s="93"/>
      <c r="P641" s="21"/>
      <c r="Q641" s="12"/>
      <c r="R641">
        <f t="shared" ref="R641:R672" si="28">COUNTIF(C:C,C641)</f>
        <v>1</v>
      </c>
      <c r="S641" s="21" t="s">
        <v>99</v>
      </c>
      <c r="T641" s="21" t="s">
        <v>99</v>
      </c>
      <c r="W641" t="e">
        <f>INDEX(#REF!,MATCH($E641,#REF!,0))</f>
        <v>#REF!</v>
      </c>
      <c r="X641" t="e">
        <f>INDEX(#REF!,MATCH($E641,#REF!,0))</f>
        <v>#REF!</v>
      </c>
      <c r="Y641" t="e">
        <f>INDEX(#REF!,MATCH($E641,#REF!,0))</f>
        <v>#REF!</v>
      </c>
      <c r="Z641" t="e">
        <f>INDEX(#REF!,MATCH($E641,#REF!,0))</f>
        <v>#REF!</v>
      </c>
      <c r="AA641" t="e">
        <f>INDEX(#REF!,MATCH($E641,#REF!,0))</f>
        <v>#REF!</v>
      </c>
      <c r="AB641" t="e">
        <f>INDEX(#REF!,MATCH($E641,#REF!,0))</f>
        <v>#REF!</v>
      </c>
      <c r="AC641" t="e">
        <f>INDEX(#REF!,MATCH($E641,#REF!,0))</f>
        <v>#REF!</v>
      </c>
      <c r="AD641" t="e">
        <f>INDEX(#REF!,MATCH($E641,#REF!,0))</f>
        <v>#REF!</v>
      </c>
      <c r="AE641" t="e">
        <f t="shared" si="26"/>
        <v>#REF!</v>
      </c>
    </row>
    <row r="642" spans="2:31" x14ac:dyDescent="0.25">
      <c r="B642" s="45" t="s">
        <v>1929</v>
      </c>
      <c r="C642" s="45" t="s">
        <v>910</v>
      </c>
      <c r="D642" s="89" t="s">
        <v>909</v>
      </c>
      <c r="E642" s="89">
        <v>900216</v>
      </c>
      <c r="F642" s="89">
        <v>1170</v>
      </c>
      <c r="G642" s="90">
        <v>11</v>
      </c>
      <c r="H642" s="90">
        <v>31</v>
      </c>
      <c r="I642" s="90" t="s">
        <v>18</v>
      </c>
      <c r="J642" s="90">
        <v>1</v>
      </c>
      <c r="K642" s="90">
        <v>0</v>
      </c>
      <c r="L642" s="91"/>
      <c r="M642" s="92" t="s">
        <v>1198</v>
      </c>
      <c r="N642" s="93"/>
      <c r="P642" s="21"/>
      <c r="Q642" s="12"/>
      <c r="R642">
        <f t="shared" si="28"/>
        <v>1</v>
      </c>
      <c r="S642" s="21" t="s">
        <v>99</v>
      </c>
      <c r="T642" s="21" t="s">
        <v>99</v>
      </c>
      <c r="W642" t="e">
        <f>INDEX(#REF!,MATCH($E642,#REF!,0))</f>
        <v>#REF!</v>
      </c>
      <c r="X642" t="e">
        <f>INDEX(#REF!,MATCH($E642,#REF!,0))</f>
        <v>#REF!</v>
      </c>
      <c r="Y642" t="e">
        <f>INDEX(#REF!,MATCH($E642,#REF!,0))</f>
        <v>#REF!</v>
      </c>
      <c r="Z642" t="e">
        <f>INDEX(#REF!,MATCH($E642,#REF!,0))</f>
        <v>#REF!</v>
      </c>
      <c r="AA642" t="e">
        <f>INDEX(#REF!,MATCH($E642,#REF!,0))</f>
        <v>#REF!</v>
      </c>
      <c r="AB642" t="e">
        <f>INDEX(#REF!,MATCH($E642,#REF!,0))</f>
        <v>#REF!</v>
      </c>
      <c r="AC642" t="e">
        <f>INDEX(#REF!,MATCH($E642,#REF!,0))</f>
        <v>#REF!</v>
      </c>
      <c r="AD642" t="e">
        <f>INDEX(#REF!,MATCH($E642,#REF!,0))</f>
        <v>#REF!</v>
      </c>
      <c r="AE642" t="e">
        <f t="shared" si="26"/>
        <v>#REF!</v>
      </c>
    </row>
    <row r="643" spans="2:31" x14ac:dyDescent="0.25">
      <c r="B643" s="45" t="s">
        <v>1930</v>
      </c>
      <c r="C643" s="45" t="s">
        <v>912</v>
      </c>
      <c r="D643" s="89" t="s">
        <v>911</v>
      </c>
      <c r="E643" s="89">
        <v>900217</v>
      </c>
      <c r="F643" s="89">
        <v>1137</v>
      </c>
      <c r="G643" s="90">
        <v>12</v>
      </c>
      <c r="H643" s="90">
        <v>31</v>
      </c>
      <c r="I643" s="90" t="s">
        <v>18</v>
      </c>
      <c r="J643" s="90">
        <v>1</v>
      </c>
      <c r="K643" s="90">
        <v>0</v>
      </c>
      <c r="L643" s="91"/>
      <c r="M643" s="92" t="s">
        <v>1199</v>
      </c>
      <c r="N643" s="93"/>
      <c r="P643" s="21"/>
      <c r="Q643" s="12"/>
      <c r="R643">
        <f t="shared" si="28"/>
        <v>1</v>
      </c>
      <c r="S643" s="21" t="s">
        <v>99</v>
      </c>
      <c r="T643" s="21" t="s">
        <v>99</v>
      </c>
      <c r="W643" t="e">
        <f>INDEX(#REF!,MATCH($E643,#REF!,0))</f>
        <v>#REF!</v>
      </c>
      <c r="X643" t="e">
        <f>INDEX(#REF!,MATCH($E643,#REF!,0))</f>
        <v>#REF!</v>
      </c>
      <c r="Y643" t="e">
        <f>INDEX(#REF!,MATCH($E643,#REF!,0))</f>
        <v>#REF!</v>
      </c>
      <c r="Z643" t="e">
        <f>INDEX(#REF!,MATCH($E643,#REF!,0))</f>
        <v>#REF!</v>
      </c>
      <c r="AA643" t="e">
        <f>INDEX(#REF!,MATCH($E643,#REF!,0))</f>
        <v>#REF!</v>
      </c>
      <c r="AB643" t="e">
        <f>INDEX(#REF!,MATCH($E643,#REF!,0))</f>
        <v>#REF!</v>
      </c>
      <c r="AC643" t="e">
        <f>INDEX(#REF!,MATCH($E643,#REF!,0))</f>
        <v>#REF!</v>
      </c>
      <c r="AD643" t="e">
        <f>INDEX(#REF!,MATCH($E643,#REF!,0))</f>
        <v>#REF!</v>
      </c>
      <c r="AE643" t="e">
        <f t="shared" si="26"/>
        <v>#REF!</v>
      </c>
    </row>
    <row r="644" spans="2:31" x14ac:dyDescent="0.25">
      <c r="B644" s="45" t="s">
        <v>2224</v>
      </c>
      <c r="C644" s="45" t="s">
        <v>2223</v>
      </c>
      <c r="D644" s="89" t="s">
        <v>2225</v>
      </c>
      <c r="E644" s="89">
        <v>900296</v>
      </c>
      <c r="F644" s="89">
        <v>1167</v>
      </c>
      <c r="G644" s="90">
        <v>23</v>
      </c>
      <c r="H644" s="90">
        <v>31</v>
      </c>
      <c r="I644" s="90" t="s">
        <v>147</v>
      </c>
      <c r="J644" s="90">
        <v>100000</v>
      </c>
      <c r="K644" s="90">
        <v>0</v>
      </c>
      <c r="L644" s="91"/>
      <c r="M644" s="92" t="s">
        <v>2425</v>
      </c>
      <c r="N644" s="93"/>
      <c r="P644" s="46"/>
      <c r="Q644" s="12" t="s">
        <v>2195</v>
      </c>
      <c r="R644">
        <f t="shared" si="28"/>
        <v>1</v>
      </c>
      <c r="S644" s="21"/>
      <c r="T644" s="21"/>
      <c r="W644" t="e">
        <f>INDEX(#REF!,MATCH($E644,#REF!,0))</f>
        <v>#REF!</v>
      </c>
      <c r="X644" t="e">
        <f>INDEX(#REF!,MATCH($E644,#REF!,0))</f>
        <v>#REF!</v>
      </c>
      <c r="Y644" t="e">
        <f>INDEX(#REF!,MATCH($E644,#REF!,0))</f>
        <v>#REF!</v>
      </c>
      <c r="Z644" t="e">
        <f>INDEX(#REF!,MATCH($E644,#REF!,0))</f>
        <v>#REF!</v>
      </c>
      <c r="AA644" t="e">
        <f>INDEX(#REF!,MATCH($E644,#REF!,0))</f>
        <v>#REF!</v>
      </c>
      <c r="AB644" t="e">
        <f>INDEX(#REF!,MATCH($E644,#REF!,0))</f>
        <v>#REF!</v>
      </c>
      <c r="AC644" t="e">
        <f>INDEX(#REF!,MATCH($E644,#REF!,0))</f>
        <v>#REF!</v>
      </c>
      <c r="AD644" t="e">
        <f>INDEX(#REF!,MATCH($E644,#REF!,0))</f>
        <v>#REF!</v>
      </c>
      <c r="AE644" t="e">
        <f t="shared" si="26"/>
        <v>#REF!</v>
      </c>
    </row>
    <row r="645" spans="2:31" x14ac:dyDescent="0.25">
      <c r="B645" s="45" t="s">
        <v>2227</v>
      </c>
      <c r="C645" s="45" t="s">
        <v>2228</v>
      </c>
      <c r="D645" s="89" t="s">
        <v>2226</v>
      </c>
      <c r="E645" s="89">
        <v>900297</v>
      </c>
      <c r="F645" s="89">
        <v>1167</v>
      </c>
      <c r="G645" s="90">
        <v>24</v>
      </c>
      <c r="H645" s="90">
        <v>31</v>
      </c>
      <c r="I645" s="90" t="s">
        <v>147</v>
      </c>
      <c r="J645" s="90">
        <v>100000</v>
      </c>
      <c r="K645" s="90">
        <v>0</v>
      </c>
      <c r="L645" s="91"/>
      <c r="M645" s="92" t="s">
        <v>2426</v>
      </c>
      <c r="N645" s="93"/>
      <c r="P645" s="21"/>
      <c r="Q645" s="12" t="s">
        <v>2195</v>
      </c>
      <c r="R645">
        <f t="shared" si="28"/>
        <v>1</v>
      </c>
      <c r="S645" s="21"/>
      <c r="T645" s="21"/>
      <c r="W645" t="e">
        <f>INDEX(#REF!,MATCH($E645,#REF!,0))</f>
        <v>#REF!</v>
      </c>
      <c r="X645" t="e">
        <f>INDEX(#REF!,MATCH($E645,#REF!,0))</f>
        <v>#REF!</v>
      </c>
      <c r="Y645" t="e">
        <f>INDEX(#REF!,MATCH($E645,#REF!,0))</f>
        <v>#REF!</v>
      </c>
      <c r="Z645" t="e">
        <f>INDEX(#REF!,MATCH($E645,#REF!,0))</f>
        <v>#REF!</v>
      </c>
      <c r="AA645" t="e">
        <f>INDEX(#REF!,MATCH($E645,#REF!,0))</f>
        <v>#REF!</v>
      </c>
      <c r="AB645" t="e">
        <f>INDEX(#REF!,MATCH($E645,#REF!,0))</f>
        <v>#REF!</v>
      </c>
      <c r="AC645" t="e">
        <f>INDEX(#REF!,MATCH($E645,#REF!,0))</f>
        <v>#REF!</v>
      </c>
      <c r="AD645" t="e">
        <f>INDEX(#REF!,MATCH($E645,#REF!,0))</f>
        <v>#REF!</v>
      </c>
      <c r="AE645" t="e">
        <f t="shared" si="26"/>
        <v>#REF!</v>
      </c>
    </row>
    <row r="646" spans="2:31" ht="45" x14ac:dyDescent="0.25">
      <c r="B646" s="45" t="s">
        <v>1931</v>
      </c>
      <c r="C646" s="45" t="s">
        <v>913</v>
      </c>
      <c r="D646" s="89" t="s">
        <v>2089</v>
      </c>
      <c r="E646" s="89">
        <v>900300</v>
      </c>
      <c r="F646" s="89">
        <v>1149</v>
      </c>
      <c r="G646" s="90">
        <v>11</v>
      </c>
      <c r="H646" s="90">
        <v>31</v>
      </c>
      <c r="I646" s="90" t="s">
        <v>26</v>
      </c>
      <c r="J646" s="90">
        <v>1</v>
      </c>
      <c r="K646" s="90" t="s">
        <v>2509</v>
      </c>
      <c r="L646" s="91">
        <v>8013</v>
      </c>
      <c r="M646" s="92" t="s">
        <v>2282</v>
      </c>
      <c r="N646" s="93"/>
      <c r="P646" s="21"/>
      <c r="Q646" s="12"/>
      <c r="R646">
        <f t="shared" si="28"/>
        <v>1</v>
      </c>
      <c r="S646" s="21" t="s">
        <v>99</v>
      </c>
      <c r="T646" s="21" t="s">
        <v>99</v>
      </c>
      <c r="W646" t="e">
        <f>INDEX(#REF!,MATCH($E646,#REF!,0))</f>
        <v>#REF!</v>
      </c>
      <c r="X646" t="e">
        <f>INDEX(#REF!,MATCH($E646,#REF!,0))</f>
        <v>#REF!</v>
      </c>
      <c r="Y646" t="e">
        <f>INDEX(#REF!,MATCH($E646,#REF!,0))</f>
        <v>#REF!</v>
      </c>
      <c r="Z646" t="e">
        <f>INDEX(#REF!,MATCH($E646,#REF!,0))</f>
        <v>#REF!</v>
      </c>
      <c r="AA646" t="e">
        <f>INDEX(#REF!,MATCH($E646,#REF!,0))</f>
        <v>#REF!</v>
      </c>
      <c r="AB646" t="e">
        <f>INDEX(#REF!,MATCH($E646,#REF!,0))</f>
        <v>#REF!</v>
      </c>
      <c r="AC646" t="e">
        <f>INDEX(#REF!,MATCH($E646,#REF!,0))</f>
        <v>#REF!</v>
      </c>
      <c r="AD646" t="e">
        <f>INDEX(#REF!,MATCH($E646,#REF!,0))</f>
        <v>#REF!</v>
      </c>
      <c r="AE646" t="e">
        <f t="shared" si="26"/>
        <v>#REF!</v>
      </c>
    </row>
    <row r="647" spans="2:31" x14ac:dyDescent="0.25">
      <c r="B647" s="45" t="s">
        <v>1932</v>
      </c>
      <c r="C647" s="45" t="s">
        <v>915</v>
      </c>
      <c r="D647" s="89" t="s">
        <v>914</v>
      </c>
      <c r="E647" s="89">
        <v>900301</v>
      </c>
      <c r="F647" s="89">
        <v>1149</v>
      </c>
      <c r="G647" s="90">
        <v>12</v>
      </c>
      <c r="H647" s="90">
        <v>31</v>
      </c>
      <c r="I647" s="90" t="s">
        <v>18</v>
      </c>
      <c r="J647" s="90">
        <v>1</v>
      </c>
      <c r="K647" s="90">
        <v>0</v>
      </c>
      <c r="L647" s="91"/>
      <c r="M647" s="92" t="s">
        <v>2427</v>
      </c>
      <c r="N647" s="93"/>
      <c r="P647" s="21"/>
      <c r="Q647" s="12"/>
      <c r="R647">
        <f t="shared" si="28"/>
        <v>1</v>
      </c>
      <c r="S647" s="21" t="s">
        <v>99</v>
      </c>
      <c r="T647" s="21" t="s">
        <v>99</v>
      </c>
      <c r="W647" t="e">
        <f>INDEX(#REF!,MATCH($E647,#REF!,0))</f>
        <v>#REF!</v>
      </c>
      <c r="X647" t="e">
        <f>INDEX(#REF!,MATCH($E647,#REF!,0))</f>
        <v>#REF!</v>
      </c>
      <c r="Y647" t="e">
        <f>INDEX(#REF!,MATCH($E647,#REF!,0))</f>
        <v>#REF!</v>
      </c>
      <c r="Z647" t="e">
        <f>INDEX(#REF!,MATCH($E647,#REF!,0))</f>
        <v>#REF!</v>
      </c>
      <c r="AA647" t="e">
        <f>INDEX(#REF!,MATCH($E647,#REF!,0))</f>
        <v>#REF!</v>
      </c>
      <c r="AB647" t="e">
        <f>INDEX(#REF!,MATCH($E647,#REF!,0))</f>
        <v>#REF!</v>
      </c>
      <c r="AC647" t="e">
        <f>INDEX(#REF!,MATCH($E647,#REF!,0))</f>
        <v>#REF!</v>
      </c>
      <c r="AD647" t="e">
        <f>INDEX(#REF!,MATCH($E647,#REF!,0))</f>
        <v>#REF!</v>
      </c>
      <c r="AE647" t="e">
        <f t="shared" si="26"/>
        <v>#REF!</v>
      </c>
    </row>
    <row r="648" spans="2:31" x14ac:dyDescent="0.25">
      <c r="B648" s="45" t="s">
        <v>2192</v>
      </c>
      <c r="C648" s="45" t="s">
        <v>917</v>
      </c>
      <c r="D648" s="89" t="s">
        <v>916</v>
      </c>
      <c r="E648" s="89">
        <v>900302</v>
      </c>
      <c r="F648" s="89">
        <v>1149</v>
      </c>
      <c r="G648" s="90">
        <v>13</v>
      </c>
      <c r="H648" s="90">
        <v>31</v>
      </c>
      <c r="I648" s="90" t="s">
        <v>18</v>
      </c>
      <c r="J648" s="90">
        <v>1</v>
      </c>
      <c r="K648" s="90">
        <v>0</v>
      </c>
      <c r="L648" s="91"/>
      <c r="M648" s="92" t="s">
        <v>2428</v>
      </c>
      <c r="N648" s="93"/>
      <c r="P648" s="21"/>
      <c r="Q648" s="12"/>
      <c r="R648">
        <f t="shared" si="28"/>
        <v>1</v>
      </c>
      <c r="S648" s="21" t="s">
        <v>99</v>
      </c>
      <c r="T648" s="21" t="s">
        <v>99</v>
      </c>
      <c r="W648" t="e">
        <f>INDEX(#REF!,MATCH($E648,#REF!,0))</f>
        <v>#REF!</v>
      </c>
      <c r="X648" t="e">
        <f>INDEX(#REF!,MATCH($E648,#REF!,0))</f>
        <v>#REF!</v>
      </c>
      <c r="Y648" t="e">
        <f>INDEX(#REF!,MATCH($E648,#REF!,0))</f>
        <v>#REF!</v>
      </c>
      <c r="Z648" t="e">
        <f>INDEX(#REF!,MATCH($E648,#REF!,0))</f>
        <v>#REF!</v>
      </c>
      <c r="AA648" t="e">
        <f>INDEX(#REF!,MATCH($E648,#REF!,0))</f>
        <v>#REF!</v>
      </c>
      <c r="AB648" t="e">
        <f>INDEX(#REF!,MATCH($E648,#REF!,0))</f>
        <v>#REF!</v>
      </c>
      <c r="AC648" t="e">
        <f>INDEX(#REF!,MATCH($E648,#REF!,0))</f>
        <v>#REF!</v>
      </c>
      <c r="AD648" t="e">
        <f>INDEX(#REF!,MATCH($E648,#REF!,0))</f>
        <v>#REF!</v>
      </c>
      <c r="AE648" t="e">
        <f t="shared" si="26"/>
        <v>#REF!</v>
      </c>
    </row>
    <row r="649" spans="2:31" x14ac:dyDescent="0.25">
      <c r="B649" s="45" t="s">
        <v>1933</v>
      </c>
      <c r="C649" s="45" t="s">
        <v>918</v>
      </c>
      <c r="D649" s="89" t="s">
        <v>1104</v>
      </c>
      <c r="E649" s="89">
        <v>900303</v>
      </c>
      <c r="F649" s="89">
        <v>1149</v>
      </c>
      <c r="G649" s="90">
        <v>14</v>
      </c>
      <c r="H649" s="90">
        <v>31</v>
      </c>
      <c r="I649" s="90" t="s">
        <v>147</v>
      </c>
      <c r="J649" s="90">
        <v>100000</v>
      </c>
      <c r="K649" s="90">
        <v>0</v>
      </c>
      <c r="L649" s="91"/>
      <c r="M649" s="92" t="s">
        <v>2429</v>
      </c>
      <c r="N649" s="93"/>
      <c r="P649" s="21"/>
      <c r="Q649" s="12"/>
      <c r="R649">
        <f t="shared" si="28"/>
        <v>1</v>
      </c>
      <c r="S649" s="21" t="s">
        <v>99</v>
      </c>
      <c r="T649" s="21" t="s">
        <v>99</v>
      </c>
      <c r="W649" t="e">
        <f>INDEX(#REF!,MATCH($E649,#REF!,0))</f>
        <v>#REF!</v>
      </c>
      <c r="X649" t="e">
        <f>INDEX(#REF!,MATCH($E649,#REF!,0))</f>
        <v>#REF!</v>
      </c>
      <c r="Y649" t="e">
        <f>INDEX(#REF!,MATCH($E649,#REF!,0))</f>
        <v>#REF!</v>
      </c>
      <c r="Z649" t="e">
        <f>INDEX(#REF!,MATCH($E649,#REF!,0))</f>
        <v>#REF!</v>
      </c>
      <c r="AA649" t="e">
        <f>INDEX(#REF!,MATCH($E649,#REF!,0))</f>
        <v>#REF!</v>
      </c>
      <c r="AB649" t="e">
        <f>INDEX(#REF!,MATCH($E649,#REF!,0))</f>
        <v>#REF!</v>
      </c>
      <c r="AC649" t="e">
        <f>INDEX(#REF!,MATCH($E649,#REF!,0))</f>
        <v>#REF!</v>
      </c>
      <c r="AD649" t="e">
        <f>INDEX(#REF!,MATCH($E649,#REF!,0))</f>
        <v>#REF!</v>
      </c>
      <c r="AE649" t="e">
        <f t="shared" si="26"/>
        <v>#REF!</v>
      </c>
    </row>
    <row r="650" spans="2:31" x14ac:dyDescent="0.25">
      <c r="B650" s="45" t="s">
        <v>1934</v>
      </c>
      <c r="C650" s="45" t="s">
        <v>919</v>
      </c>
      <c r="D650" s="89" t="s">
        <v>2090</v>
      </c>
      <c r="E650" s="89">
        <v>900304</v>
      </c>
      <c r="F650" s="89">
        <v>1149</v>
      </c>
      <c r="G650" s="90">
        <v>15</v>
      </c>
      <c r="H650" s="90">
        <v>31</v>
      </c>
      <c r="I650" s="90" t="s">
        <v>26</v>
      </c>
      <c r="J650" s="90">
        <v>1</v>
      </c>
      <c r="K650" s="90" t="s">
        <v>2509</v>
      </c>
      <c r="L650" s="91">
        <v>8031</v>
      </c>
      <c r="M650" s="92"/>
      <c r="N650" s="93"/>
      <c r="P650" s="21"/>
      <c r="Q650" s="12"/>
      <c r="R650">
        <f t="shared" si="28"/>
        <v>1</v>
      </c>
      <c r="S650" s="21" t="s">
        <v>99</v>
      </c>
      <c r="T650" s="21" t="s">
        <v>99</v>
      </c>
      <c r="W650" t="e">
        <f>INDEX(#REF!,MATCH($E650,#REF!,0))</f>
        <v>#REF!</v>
      </c>
      <c r="X650" t="e">
        <f>INDEX(#REF!,MATCH($E650,#REF!,0))</f>
        <v>#REF!</v>
      </c>
      <c r="Y650" t="e">
        <f>INDEX(#REF!,MATCH($E650,#REF!,0))</f>
        <v>#REF!</v>
      </c>
      <c r="Z650" t="e">
        <f>INDEX(#REF!,MATCH($E650,#REF!,0))</f>
        <v>#REF!</v>
      </c>
      <c r="AA650" t="e">
        <f>INDEX(#REF!,MATCH($E650,#REF!,0))</f>
        <v>#REF!</v>
      </c>
      <c r="AB650" t="e">
        <f>INDEX(#REF!,MATCH($E650,#REF!,0))</f>
        <v>#REF!</v>
      </c>
      <c r="AC650" t="e">
        <f>INDEX(#REF!,MATCH($E650,#REF!,0))</f>
        <v>#REF!</v>
      </c>
      <c r="AD650" t="e">
        <f>INDEX(#REF!,MATCH($E650,#REF!,0))</f>
        <v>#REF!</v>
      </c>
      <c r="AE650" t="e">
        <f t="shared" si="26"/>
        <v>#REF!</v>
      </c>
    </row>
    <row r="651" spans="2:31" x14ac:dyDescent="0.25">
      <c r="B651" s="45" t="s">
        <v>1935</v>
      </c>
      <c r="C651" s="45" t="s">
        <v>920</v>
      </c>
      <c r="D651" s="89" t="s">
        <v>1105</v>
      </c>
      <c r="E651" s="89">
        <v>900305</v>
      </c>
      <c r="F651" s="89">
        <v>1149</v>
      </c>
      <c r="G651" s="90">
        <v>16</v>
      </c>
      <c r="H651" s="90">
        <v>31</v>
      </c>
      <c r="I651" s="90" t="s">
        <v>147</v>
      </c>
      <c r="J651" s="90">
        <v>100000</v>
      </c>
      <c r="K651" s="90">
        <v>0</v>
      </c>
      <c r="L651" s="91"/>
      <c r="M651" s="92" t="s">
        <v>2339</v>
      </c>
      <c r="N651" s="93"/>
      <c r="P651" s="21"/>
      <c r="Q651" s="12"/>
      <c r="R651">
        <f t="shared" si="28"/>
        <v>1</v>
      </c>
      <c r="S651" s="21" t="s">
        <v>99</v>
      </c>
      <c r="T651" s="21" t="s">
        <v>99</v>
      </c>
      <c r="W651" t="e">
        <f>INDEX(#REF!,MATCH($E651,#REF!,0))</f>
        <v>#REF!</v>
      </c>
      <c r="X651" t="e">
        <f>INDEX(#REF!,MATCH($E651,#REF!,0))</f>
        <v>#REF!</v>
      </c>
      <c r="Y651" t="e">
        <f>INDEX(#REF!,MATCH($E651,#REF!,0))</f>
        <v>#REF!</v>
      </c>
      <c r="Z651" t="e">
        <f>INDEX(#REF!,MATCH($E651,#REF!,0))</f>
        <v>#REF!</v>
      </c>
      <c r="AA651" t="e">
        <f>INDEX(#REF!,MATCH($E651,#REF!,0))</f>
        <v>#REF!</v>
      </c>
      <c r="AB651" t="e">
        <f>INDEX(#REF!,MATCH($E651,#REF!,0))</f>
        <v>#REF!</v>
      </c>
      <c r="AC651" t="e">
        <f>INDEX(#REF!,MATCH($E651,#REF!,0))</f>
        <v>#REF!</v>
      </c>
      <c r="AD651" t="e">
        <f>INDEX(#REF!,MATCH($E651,#REF!,0))</f>
        <v>#REF!</v>
      </c>
      <c r="AE651" t="e">
        <f t="shared" si="26"/>
        <v>#REF!</v>
      </c>
    </row>
    <row r="652" spans="2:31" x14ac:dyDescent="0.25">
      <c r="B652" s="45" t="s">
        <v>1936</v>
      </c>
      <c r="C652" s="45" t="s">
        <v>921</v>
      </c>
      <c r="D652" s="89" t="s">
        <v>1108</v>
      </c>
      <c r="E652" s="89">
        <v>900312</v>
      </c>
      <c r="F652" s="89">
        <v>1171</v>
      </c>
      <c r="G652" s="90">
        <v>21</v>
      </c>
      <c r="H652" s="90">
        <v>31</v>
      </c>
      <c r="I652" s="90" t="s">
        <v>26</v>
      </c>
      <c r="J652" s="90">
        <v>1</v>
      </c>
      <c r="K652" s="90" t="s">
        <v>2511</v>
      </c>
      <c r="L652" s="91"/>
      <c r="M652" s="92" t="s">
        <v>2341</v>
      </c>
      <c r="N652" s="93"/>
      <c r="P652" s="21"/>
      <c r="Q652" s="12"/>
      <c r="R652">
        <f t="shared" si="28"/>
        <v>1</v>
      </c>
      <c r="S652" s="21" t="s">
        <v>99</v>
      </c>
      <c r="T652" s="21">
        <v>383282</v>
      </c>
      <c r="W652" t="e">
        <f>INDEX(#REF!,MATCH($E652,#REF!,0))</f>
        <v>#REF!</v>
      </c>
      <c r="X652" t="e">
        <f>INDEX(#REF!,MATCH($E652,#REF!,0))</f>
        <v>#REF!</v>
      </c>
      <c r="Y652" t="e">
        <f>INDEX(#REF!,MATCH($E652,#REF!,0))</f>
        <v>#REF!</v>
      </c>
      <c r="Z652" t="e">
        <f>INDEX(#REF!,MATCH($E652,#REF!,0))</f>
        <v>#REF!</v>
      </c>
      <c r="AA652" t="e">
        <f>INDEX(#REF!,MATCH($E652,#REF!,0))</f>
        <v>#REF!</v>
      </c>
      <c r="AB652" t="e">
        <f>INDEX(#REF!,MATCH($E652,#REF!,0))</f>
        <v>#REF!</v>
      </c>
      <c r="AC652" t="e">
        <f>INDEX(#REF!,MATCH($E652,#REF!,0))</f>
        <v>#REF!</v>
      </c>
      <c r="AD652" t="e">
        <f>INDEX(#REF!,MATCH($E652,#REF!,0))</f>
        <v>#REF!</v>
      </c>
      <c r="AE652" t="e">
        <f t="shared" si="26"/>
        <v>#REF!</v>
      </c>
    </row>
    <row r="653" spans="2:31" ht="45" x14ac:dyDescent="0.25">
      <c r="B653" s="45" t="s">
        <v>1937</v>
      </c>
      <c r="C653" s="45" t="s">
        <v>923</v>
      </c>
      <c r="D653" s="89" t="s">
        <v>922</v>
      </c>
      <c r="E653" s="89">
        <v>900505</v>
      </c>
      <c r="F653" s="89">
        <v>1171</v>
      </c>
      <c r="G653" s="90">
        <v>7</v>
      </c>
      <c r="H653" s="90">
        <v>31</v>
      </c>
      <c r="I653" s="90" t="s">
        <v>18</v>
      </c>
      <c r="J653" s="90">
        <v>1</v>
      </c>
      <c r="K653" s="90">
        <v>0</v>
      </c>
      <c r="L653" s="91"/>
      <c r="M653" s="92" t="s">
        <v>2291</v>
      </c>
      <c r="N653" s="93"/>
      <c r="P653" s="21"/>
      <c r="Q653" s="12"/>
      <c r="R653">
        <f t="shared" si="28"/>
        <v>1</v>
      </c>
      <c r="S653" s="21" t="s">
        <v>99</v>
      </c>
      <c r="T653" s="21" t="s">
        <v>99</v>
      </c>
      <c r="W653" t="e">
        <f>INDEX(#REF!,MATCH($E653,#REF!,0))</f>
        <v>#REF!</v>
      </c>
      <c r="X653" t="e">
        <f>INDEX(#REF!,MATCH($E653,#REF!,0))</f>
        <v>#REF!</v>
      </c>
      <c r="Y653" t="e">
        <f>INDEX(#REF!,MATCH($E653,#REF!,0))</f>
        <v>#REF!</v>
      </c>
      <c r="Z653" t="e">
        <f>INDEX(#REF!,MATCH($E653,#REF!,0))</f>
        <v>#REF!</v>
      </c>
      <c r="AA653" t="e">
        <f>INDEX(#REF!,MATCH($E653,#REF!,0))</f>
        <v>#REF!</v>
      </c>
      <c r="AB653" t="e">
        <f>INDEX(#REF!,MATCH($E653,#REF!,0))</f>
        <v>#REF!</v>
      </c>
      <c r="AC653" t="e">
        <f>INDEX(#REF!,MATCH($E653,#REF!,0))</f>
        <v>#REF!</v>
      </c>
      <c r="AD653" t="e">
        <f>INDEX(#REF!,MATCH($E653,#REF!,0))</f>
        <v>#REF!</v>
      </c>
      <c r="AE653" t="e">
        <f t="shared" si="26"/>
        <v>#REF!</v>
      </c>
    </row>
    <row r="654" spans="2:31" x14ac:dyDescent="0.25">
      <c r="B654" s="45" t="s">
        <v>1938</v>
      </c>
      <c r="C654" s="45" t="s">
        <v>925</v>
      </c>
      <c r="D654" s="89" t="s">
        <v>924</v>
      </c>
      <c r="E654" s="89">
        <v>900509</v>
      </c>
      <c r="F654" s="89">
        <v>1170</v>
      </c>
      <c r="G654" s="90">
        <v>0</v>
      </c>
      <c r="H654" s="90">
        <v>31</v>
      </c>
      <c r="I654" s="90" t="s">
        <v>222</v>
      </c>
      <c r="J654" s="90">
        <v>1000</v>
      </c>
      <c r="K654" s="90">
        <v>0</v>
      </c>
      <c r="L654" s="91"/>
      <c r="M654" s="92" t="s">
        <v>2395</v>
      </c>
      <c r="N654" s="93"/>
      <c r="P654" s="21"/>
      <c r="Q654" s="12"/>
      <c r="R654">
        <f t="shared" si="28"/>
        <v>1</v>
      </c>
      <c r="S654" s="21" t="s">
        <v>99</v>
      </c>
      <c r="T654" s="21" t="s">
        <v>99</v>
      </c>
      <c r="W654" t="e">
        <f>INDEX(#REF!,MATCH($E654,#REF!,0))</f>
        <v>#REF!</v>
      </c>
      <c r="X654" t="e">
        <f>INDEX(#REF!,MATCH($E654,#REF!,0))</f>
        <v>#REF!</v>
      </c>
      <c r="Y654" t="e">
        <f>INDEX(#REF!,MATCH($E654,#REF!,0))</f>
        <v>#REF!</v>
      </c>
      <c r="Z654" t="e">
        <f>INDEX(#REF!,MATCH($E654,#REF!,0))</f>
        <v>#REF!</v>
      </c>
      <c r="AA654" t="e">
        <f>INDEX(#REF!,MATCH($E654,#REF!,0))</f>
        <v>#REF!</v>
      </c>
      <c r="AB654" t="e">
        <f>INDEX(#REF!,MATCH($E654,#REF!,0))</f>
        <v>#REF!</v>
      </c>
      <c r="AC654" t="e">
        <f>INDEX(#REF!,MATCH($E654,#REF!,0))</f>
        <v>#REF!</v>
      </c>
      <c r="AD654" t="e">
        <f>INDEX(#REF!,MATCH($E654,#REF!,0))</f>
        <v>#REF!</v>
      </c>
      <c r="AE654" t="e">
        <f t="shared" si="26"/>
        <v>#REF!</v>
      </c>
    </row>
    <row r="655" spans="2:31" x14ac:dyDescent="0.25">
      <c r="B655" s="45" t="s">
        <v>2193</v>
      </c>
      <c r="C655" s="45" t="s">
        <v>927</v>
      </c>
      <c r="D655" s="89" t="s">
        <v>926</v>
      </c>
      <c r="E655" s="89">
        <v>900510</v>
      </c>
      <c r="F655" s="89">
        <v>1170</v>
      </c>
      <c r="G655" s="90">
        <v>1</v>
      </c>
      <c r="H655" s="90">
        <v>31</v>
      </c>
      <c r="I655" s="90" t="s">
        <v>120</v>
      </c>
      <c r="J655" s="90">
        <v>1000</v>
      </c>
      <c r="K655" s="90">
        <v>0</v>
      </c>
      <c r="L655" s="91"/>
      <c r="M655" s="92" t="s">
        <v>2430</v>
      </c>
      <c r="N655" s="93"/>
      <c r="P655" s="21"/>
      <c r="Q655" s="12"/>
      <c r="R655">
        <f t="shared" si="28"/>
        <v>1</v>
      </c>
      <c r="S655" s="21" t="s">
        <v>99</v>
      </c>
      <c r="T655" s="21" t="s">
        <v>99</v>
      </c>
      <c r="W655" t="e">
        <f>INDEX(#REF!,MATCH($E655,#REF!,0))</f>
        <v>#REF!</v>
      </c>
      <c r="X655" t="e">
        <f>INDEX(#REF!,MATCH($E655,#REF!,0))</f>
        <v>#REF!</v>
      </c>
      <c r="Y655" t="e">
        <f>INDEX(#REF!,MATCH($E655,#REF!,0))</f>
        <v>#REF!</v>
      </c>
      <c r="Z655" t="e">
        <f>INDEX(#REF!,MATCH($E655,#REF!,0))</f>
        <v>#REF!</v>
      </c>
      <c r="AA655" t="e">
        <f>INDEX(#REF!,MATCH($E655,#REF!,0))</f>
        <v>#REF!</v>
      </c>
      <c r="AB655" t="e">
        <f>INDEX(#REF!,MATCH($E655,#REF!,0))</f>
        <v>#REF!</v>
      </c>
      <c r="AC655" t="e">
        <f>INDEX(#REF!,MATCH($E655,#REF!,0))</f>
        <v>#REF!</v>
      </c>
      <c r="AD655" t="e">
        <f>INDEX(#REF!,MATCH($E655,#REF!,0))</f>
        <v>#REF!</v>
      </c>
      <c r="AE655" t="e">
        <f t="shared" si="26"/>
        <v>#REF!</v>
      </c>
    </row>
    <row r="656" spans="2:31" x14ac:dyDescent="0.25">
      <c r="B656" s="45" t="s">
        <v>2194</v>
      </c>
      <c r="C656" s="45" t="s">
        <v>929</v>
      </c>
      <c r="D656" s="89" t="s">
        <v>928</v>
      </c>
      <c r="E656" s="89">
        <v>900511</v>
      </c>
      <c r="F656" s="89">
        <v>1170</v>
      </c>
      <c r="G656" s="90">
        <v>2</v>
      </c>
      <c r="H656" s="90">
        <v>31</v>
      </c>
      <c r="I656" s="90" t="s">
        <v>120</v>
      </c>
      <c r="J656" s="90">
        <v>1000</v>
      </c>
      <c r="K656" s="90">
        <v>0</v>
      </c>
      <c r="L656" s="91"/>
      <c r="M656" s="92" t="s">
        <v>2431</v>
      </c>
      <c r="N656" s="93"/>
      <c r="P656" s="21"/>
      <c r="Q656" s="12"/>
      <c r="R656">
        <f t="shared" si="28"/>
        <v>1</v>
      </c>
      <c r="S656" s="21" t="s">
        <v>99</v>
      </c>
      <c r="T656" s="21" t="s">
        <v>99</v>
      </c>
      <c r="W656" t="e">
        <f>INDEX(#REF!,MATCH($E656,#REF!,0))</f>
        <v>#REF!</v>
      </c>
      <c r="X656" t="e">
        <f>INDEX(#REF!,MATCH($E656,#REF!,0))</f>
        <v>#REF!</v>
      </c>
      <c r="Y656" t="e">
        <f>INDEX(#REF!,MATCH($E656,#REF!,0))</f>
        <v>#REF!</v>
      </c>
      <c r="Z656" t="e">
        <f>INDEX(#REF!,MATCH($E656,#REF!,0))</f>
        <v>#REF!</v>
      </c>
      <c r="AA656" t="e">
        <f>INDEX(#REF!,MATCH($E656,#REF!,0))</f>
        <v>#REF!</v>
      </c>
      <c r="AB656" t="e">
        <f>INDEX(#REF!,MATCH($E656,#REF!,0))</f>
        <v>#REF!</v>
      </c>
      <c r="AC656" t="e">
        <f>INDEX(#REF!,MATCH($E656,#REF!,0))</f>
        <v>#REF!</v>
      </c>
      <c r="AD656" t="e">
        <f>INDEX(#REF!,MATCH($E656,#REF!,0))</f>
        <v>#REF!</v>
      </c>
      <c r="AE656" t="e">
        <f t="shared" si="26"/>
        <v>#REF!</v>
      </c>
    </row>
    <row r="657" spans="2:31" ht="45" x14ac:dyDescent="0.25">
      <c r="B657" s="45" t="s">
        <v>1939</v>
      </c>
      <c r="C657" s="45" t="s">
        <v>931</v>
      </c>
      <c r="D657" s="89" t="s">
        <v>930</v>
      </c>
      <c r="E657" s="89">
        <v>900512</v>
      </c>
      <c r="F657" s="89">
        <v>1171</v>
      </c>
      <c r="G657" s="90">
        <v>8</v>
      </c>
      <c r="H657" s="90">
        <v>31</v>
      </c>
      <c r="I657" s="90" t="s">
        <v>18</v>
      </c>
      <c r="J657" s="90">
        <v>1</v>
      </c>
      <c r="K657" s="90">
        <v>0</v>
      </c>
      <c r="L657" s="91"/>
      <c r="M657" s="92" t="s">
        <v>2396</v>
      </c>
      <c r="N657" s="93"/>
      <c r="P657" s="21"/>
      <c r="Q657" s="12"/>
      <c r="R657">
        <f t="shared" si="28"/>
        <v>1</v>
      </c>
      <c r="S657" s="21" t="s">
        <v>99</v>
      </c>
      <c r="T657" s="21" t="s">
        <v>99</v>
      </c>
      <c r="W657" t="e">
        <f>INDEX(#REF!,MATCH($E657,#REF!,0))</f>
        <v>#REF!</v>
      </c>
      <c r="X657" t="e">
        <f>INDEX(#REF!,MATCH($E657,#REF!,0))</f>
        <v>#REF!</v>
      </c>
      <c r="Y657" t="e">
        <f>INDEX(#REF!,MATCH($E657,#REF!,0))</f>
        <v>#REF!</v>
      </c>
      <c r="Z657" t="e">
        <f>INDEX(#REF!,MATCH($E657,#REF!,0))</f>
        <v>#REF!</v>
      </c>
      <c r="AA657" t="e">
        <f>INDEX(#REF!,MATCH($E657,#REF!,0))</f>
        <v>#REF!</v>
      </c>
      <c r="AB657" t="e">
        <f>INDEX(#REF!,MATCH($E657,#REF!,0))</f>
        <v>#REF!</v>
      </c>
      <c r="AC657" t="e">
        <f>INDEX(#REF!,MATCH($E657,#REF!,0))</f>
        <v>#REF!</v>
      </c>
      <c r="AD657" t="e">
        <f>INDEX(#REF!,MATCH($E657,#REF!,0))</f>
        <v>#REF!</v>
      </c>
      <c r="AE657" t="e">
        <f t="shared" si="26"/>
        <v>#REF!</v>
      </c>
    </row>
    <row r="658" spans="2:31" x14ac:dyDescent="0.25">
      <c r="B658" s="45" t="s">
        <v>1940</v>
      </c>
      <c r="C658" s="45" t="s">
        <v>933</v>
      </c>
      <c r="D658" s="89" t="s">
        <v>932</v>
      </c>
      <c r="E658" s="89">
        <v>900513</v>
      </c>
      <c r="F658" s="89">
        <v>1171</v>
      </c>
      <c r="G658" s="90">
        <v>9</v>
      </c>
      <c r="H658" s="90">
        <v>31</v>
      </c>
      <c r="I658" s="90" t="s">
        <v>18</v>
      </c>
      <c r="J658" s="90">
        <v>1</v>
      </c>
      <c r="K658" s="90">
        <v>0</v>
      </c>
      <c r="L658" s="91"/>
      <c r="M658" s="92" t="s">
        <v>2432</v>
      </c>
      <c r="N658" s="93"/>
      <c r="P658" s="21"/>
      <c r="Q658" s="12"/>
      <c r="R658">
        <f t="shared" si="28"/>
        <v>1</v>
      </c>
      <c r="S658" s="21" t="s">
        <v>99</v>
      </c>
      <c r="T658" s="21" t="s">
        <v>99</v>
      </c>
      <c r="W658" t="e">
        <f>INDEX(#REF!,MATCH($E658,#REF!,0))</f>
        <v>#REF!</v>
      </c>
      <c r="X658" t="e">
        <f>INDEX(#REF!,MATCH($E658,#REF!,0))</f>
        <v>#REF!</v>
      </c>
      <c r="Y658" t="e">
        <f>INDEX(#REF!,MATCH($E658,#REF!,0))</f>
        <v>#REF!</v>
      </c>
      <c r="Z658" t="e">
        <f>INDEX(#REF!,MATCH($E658,#REF!,0))</f>
        <v>#REF!</v>
      </c>
      <c r="AA658" t="e">
        <f>INDEX(#REF!,MATCH($E658,#REF!,0))</f>
        <v>#REF!</v>
      </c>
      <c r="AB658" t="e">
        <f>INDEX(#REF!,MATCH($E658,#REF!,0))</f>
        <v>#REF!</v>
      </c>
      <c r="AC658" t="e">
        <f>INDEX(#REF!,MATCH($E658,#REF!,0))</f>
        <v>#REF!</v>
      </c>
      <c r="AD658" t="e">
        <f>INDEX(#REF!,MATCH($E658,#REF!,0))</f>
        <v>#REF!</v>
      </c>
      <c r="AE658" t="e">
        <f t="shared" si="26"/>
        <v>#REF!</v>
      </c>
    </row>
    <row r="659" spans="2:31" x14ac:dyDescent="0.25">
      <c r="B659" s="45" t="s">
        <v>1941</v>
      </c>
      <c r="C659" s="45" t="s">
        <v>935</v>
      </c>
      <c r="D659" s="89" t="s">
        <v>934</v>
      </c>
      <c r="E659" s="89">
        <v>900514</v>
      </c>
      <c r="F659" s="89">
        <v>1137</v>
      </c>
      <c r="G659" s="90">
        <v>3</v>
      </c>
      <c r="H659" s="90">
        <v>31</v>
      </c>
      <c r="I659" s="90" t="s">
        <v>18</v>
      </c>
      <c r="J659" s="90">
        <v>1</v>
      </c>
      <c r="K659" s="90">
        <v>0</v>
      </c>
      <c r="L659" s="91"/>
      <c r="M659" s="92" t="s">
        <v>2433</v>
      </c>
      <c r="N659" s="93"/>
      <c r="P659" s="21"/>
      <c r="Q659" s="12" t="s">
        <v>2233</v>
      </c>
      <c r="R659">
        <f t="shared" si="28"/>
        <v>1</v>
      </c>
      <c r="S659" s="21" t="s">
        <v>99</v>
      </c>
      <c r="T659" s="21" t="s">
        <v>99</v>
      </c>
      <c r="W659" t="e">
        <f>INDEX(#REF!,MATCH($E659,#REF!,0))</f>
        <v>#REF!</v>
      </c>
      <c r="X659" t="e">
        <f>INDEX(#REF!,MATCH($E659,#REF!,0))</f>
        <v>#REF!</v>
      </c>
      <c r="Y659" t="e">
        <f>INDEX(#REF!,MATCH($E659,#REF!,0))</f>
        <v>#REF!</v>
      </c>
      <c r="Z659" t="e">
        <f>INDEX(#REF!,MATCH($E659,#REF!,0))</f>
        <v>#REF!</v>
      </c>
      <c r="AA659" t="e">
        <f>INDEX(#REF!,MATCH($E659,#REF!,0))</f>
        <v>#REF!</v>
      </c>
      <c r="AB659" t="e">
        <f>INDEX(#REF!,MATCH($E659,#REF!,0))</f>
        <v>#REF!</v>
      </c>
      <c r="AC659" t="e">
        <f>INDEX(#REF!,MATCH($E659,#REF!,0))</f>
        <v>#REF!</v>
      </c>
      <c r="AD659" t="e">
        <f>INDEX(#REF!,MATCH($E659,#REF!,0))</f>
        <v>#REF!</v>
      </c>
      <c r="AE659" t="e">
        <f t="shared" si="26"/>
        <v>#REF!</v>
      </c>
    </row>
    <row r="660" spans="2:31" x14ac:dyDescent="0.25">
      <c r="B660" s="45" t="s">
        <v>1942</v>
      </c>
      <c r="C660" s="45" t="s">
        <v>937</v>
      </c>
      <c r="D660" s="89" t="s">
        <v>936</v>
      </c>
      <c r="E660" s="89">
        <v>900520</v>
      </c>
      <c r="F660" s="89">
        <v>1149</v>
      </c>
      <c r="G660" s="90">
        <v>17</v>
      </c>
      <c r="H660" s="90">
        <v>31</v>
      </c>
      <c r="I660" s="90" t="s">
        <v>26</v>
      </c>
      <c r="J660" s="90">
        <v>1</v>
      </c>
      <c r="K660" s="90">
        <v>0</v>
      </c>
      <c r="L660" s="91"/>
      <c r="M660" s="92" t="s">
        <v>2434</v>
      </c>
      <c r="N660" s="93"/>
      <c r="P660" s="21"/>
      <c r="Q660" s="12"/>
      <c r="R660">
        <f t="shared" si="28"/>
        <v>1</v>
      </c>
      <c r="S660" s="21" t="s">
        <v>99</v>
      </c>
      <c r="T660" s="21" t="s">
        <v>99</v>
      </c>
      <c r="W660" t="e">
        <f>INDEX(#REF!,MATCH($E660,#REF!,0))</f>
        <v>#REF!</v>
      </c>
      <c r="X660" t="e">
        <f>INDEX(#REF!,MATCH($E660,#REF!,0))</f>
        <v>#REF!</v>
      </c>
      <c r="Y660" t="e">
        <f>INDEX(#REF!,MATCH($E660,#REF!,0))</f>
        <v>#REF!</v>
      </c>
      <c r="Z660" t="e">
        <f>INDEX(#REF!,MATCH($E660,#REF!,0))</f>
        <v>#REF!</v>
      </c>
      <c r="AA660" t="e">
        <f>INDEX(#REF!,MATCH($E660,#REF!,0))</f>
        <v>#REF!</v>
      </c>
      <c r="AB660" t="e">
        <f>INDEX(#REF!,MATCH($E660,#REF!,0))</f>
        <v>#REF!</v>
      </c>
      <c r="AC660" t="e">
        <f>INDEX(#REF!,MATCH($E660,#REF!,0))</f>
        <v>#REF!</v>
      </c>
      <c r="AD660" t="e">
        <f>INDEX(#REF!,MATCH($E660,#REF!,0))</f>
        <v>#REF!</v>
      </c>
      <c r="AE660" t="e">
        <f t="shared" si="26"/>
        <v>#REF!</v>
      </c>
    </row>
    <row r="661" spans="2:31" x14ac:dyDescent="0.25">
      <c r="B661" s="45" t="s">
        <v>1943</v>
      </c>
      <c r="C661" s="45" t="s">
        <v>939</v>
      </c>
      <c r="D661" s="89" t="s">
        <v>938</v>
      </c>
      <c r="E661" s="89">
        <v>900521</v>
      </c>
      <c r="F661" s="89">
        <v>1149</v>
      </c>
      <c r="G661" s="90">
        <v>18</v>
      </c>
      <c r="H661" s="90">
        <v>31</v>
      </c>
      <c r="I661" s="90" t="s">
        <v>26</v>
      </c>
      <c r="J661" s="90">
        <v>1</v>
      </c>
      <c r="K661" s="90">
        <v>0</v>
      </c>
      <c r="L661" s="91"/>
      <c r="M661" s="92" t="s">
        <v>2435</v>
      </c>
      <c r="N661" s="93"/>
      <c r="P661" s="21"/>
      <c r="Q661" s="12"/>
      <c r="R661">
        <f t="shared" si="28"/>
        <v>1</v>
      </c>
      <c r="S661" s="21" t="s">
        <v>99</v>
      </c>
      <c r="T661" s="21" t="s">
        <v>99</v>
      </c>
      <c r="W661" t="e">
        <f>INDEX(#REF!,MATCH($E661,#REF!,0))</f>
        <v>#REF!</v>
      </c>
      <c r="X661" t="e">
        <f>INDEX(#REF!,MATCH($E661,#REF!,0))</f>
        <v>#REF!</v>
      </c>
      <c r="Y661" t="e">
        <f>INDEX(#REF!,MATCH($E661,#REF!,0))</f>
        <v>#REF!</v>
      </c>
      <c r="Z661" t="e">
        <f>INDEX(#REF!,MATCH($E661,#REF!,0))</f>
        <v>#REF!</v>
      </c>
      <c r="AA661" t="e">
        <f>INDEX(#REF!,MATCH($E661,#REF!,0))</f>
        <v>#REF!</v>
      </c>
      <c r="AB661" t="e">
        <f>INDEX(#REF!,MATCH($E661,#REF!,0))</f>
        <v>#REF!</v>
      </c>
      <c r="AC661" t="e">
        <f>INDEX(#REF!,MATCH($E661,#REF!,0))</f>
        <v>#REF!</v>
      </c>
      <c r="AD661" t="e">
        <f>INDEX(#REF!,MATCH($E661,#REF!,0))</f>
        <v>#REF!</v>
      </c>
      <c r="AE661" t="e">
        <f t="shared" si="26"/>
        <v>#REF!</v>
      </c>
    </row>
    <row r="662" spans="2:31" x14ac:dyDescent="0.25">
      <c r="B662" s="45" t="s">
        <v>1944</v>
      </c>
      <c r="C662" s="45" t="s">
        <v>941</v>
      </c>
      <c r="D662" s="89" t="s">
        <v>940</v>
      </c>
      <c r="E662" s="89">
        <v>900522</v>
      </c>
      <c r="F662" s="89">
        <v>1149</v>
      </c>
      <c r="G662" s="90">
        <v>19</v>
      </c>
      <c r="H662" s="90">
        <v>31</v>
      </c>
      <c r="I662" s="90" t="s">
        <v>26</v>
      </c>
      <c r="J662" s="90">
        <v>1</v>
      </c>
      <c r="K662" s="90">
        <v>0</v>
      </c>
      <c r="L662" s="91"/>
      <c r="M662" s="92" t="s">
        <v>2436</v>
      </c>
      <c r="N662" s="93"/>
      <c r="P662" s="21"/>
      <c r="Q662" s="12"/>
      <c r="R662">
        <f t="shared" si="28"/>
        <v>1</v>
      </c>
      <c r="S662" s="21" t="s">
        <v>99</v>
      </c>
      <c r="T662" s="21" t="s">
        <v>99</v>
      </c>
      <c r="W662" t="e">
        <f>INDEX(#REF!,MATCH($E662,#REF!,0))</f>
        <v>#REF!</v>
      </c>
      <c r="X662" t="e">
        <f>INDEX(#REF!,MATCH($E662,#REF!,0))</f>
        <v>#REF!</v>
      </c>
      <c r="Y662" t="e">
        <f>INDEX(#REF!,MATCH($E662,#REF!,0))</f>
        <v>#REF!</v>
      </c>
      <c r="Z662" t="e">
        <f>INDEX(#REF!,MATCH($E662,#REF!,0))</f>
        <v>#REF!</v>
      </c>
      <c r="AA662" t="e">
        <f>INDEX(#REF!,MATCH($E662,#REF!,0))</f>
        <v>#REF!</v>
      </c>
      <c r="AB662" t="e">
        <f>INDEX(#REF!,MATCH($E662,#REF!,0))</f>
        <v>#REF!</v>
      </c>
      <c r="AC662" t="e">
        <f>INDEX(#REF!,MATCH($E662,#REF!,0))</f>
        <v>#REF!</v>
      </c>
      <c r="AD662" t="e">
        <f>INDEX(#REF!,MATCH($E662,#REF!,0))</f>
        <v>#REF!</v>
      </c>
      <c r="AE662" t="e">
        <f t="shared" ref="AE662:AE725" si="29">AND(X662=F662,G662=Y662,AC662=J662,AD662=H662)</f>
        <v>#REF!</v>
      </c>
    </row>
    <row r="663" spans="2:31" x14ac:dyDescent="0.25">
      <c r="B663" s="45" t="s">
        <v>1945</v>
      </c>
      <c r="C663" s="45" t="s">
        <v>943</v>
      </c>
      <c r="D663" s="89" t="s">
        <v>942</v>
      </c>
      <c r="E663" s="89">
        <v>900523</v>
      </c>
      <c r="F663" s="89">
        <v>1149</v>
      </c>
      <c r="G663" s="90">
        <v>20</v>
      </c>
      <c r="H663" s="90">
        <v>31</v>
      </c>
      <c r="I663" s="90" t="s">
        <v>26</v>
      </c>
      <c r="J663" s="90">
        <v>1</v>
      </c>
      <c r="K663" s="90">
        <v>0</v>
      </c>
      <c r="L663" s="91"/>
      <c r="M663" s="92" t="s">
        <v>2437</v>
      </c>
      <c r="N663" s="93"/>
      <c r="P663" s="21"/>
      <c r="Q663" s="12"/>
      <c r="R663">
        <f t="shared" si="28"/>
        <v>1</v>
      </c>
      <c r="S663" s="21" t="s">
        <v>99</v>
      </c>
      <c r="T663" s="21" t="s">
        <v>99</v>
      </c>
      <c r="W663" t="e">
        <f>INDEX(#REF!,MATCH($E663,#REF!,0))</f>
        <v>#REF!</v>
      </c>
      <c r="X663" t="e">
        <f>INDEX(#REF!,MATCH($E663,#REF!,0))</f>
        <v>#REF!</v>
      </c>
      <c r="Y663" t="e">
        <f>INDEX(#REF!,MATCH($E663,#REF!,0))</f>
        <v>#REF!</v>
      </c>
      <c r="Z663" t="e">
        <f>INDEX(#REF!,MATCH($E663,#REF!,0))</f>
        <v>#REF!</v>
      </c>
      <c r="AA663" t="e">
        <f>INDEX(#REF!,MATCH($E663,#REF!,0))</f>
        <v>#REF!</v>
      </c>
      <c r="AB663" t="e">
        <f>INDEX(#REF!,MATCH($E663,#REF!,0))</f>
        <v>#REF!</v>
      </c>
      <c r="AC663" t="e">
        <f>INDEX(#REF!,MATCH($E663,#REF!,0))</f>
        <v>#REF!</v>
      </c>
      <c r="AD663" t="e">
        <f>INDEX(#REF!,MATCH($E663,#REF!,0))</f>
        <v>#REF!</v>
      </c>
      <c r="AE663" t="e">
        <f t="shared" si="29"/>
        <v>#REF!</v>
      </c>
    </row>
    <row r="664" spans="2:31" x14ac:dyDescent="0.25">
      <c r="B664" s="45" t="s">
        <v>1946</v>
      </c>
      <c r="C664" s="45" t="s">
        <v>945</v>
      </c>
      <c r="D664" s="89" t="s">
        <v>944</v>
      </c>
      <c r="E664" s="89">
        <v>900524</v>
      </c>
      <c r="F664" s="89">
        <v>1149</v>
      </c>
      <c r="G664" s="90">
        <v>21</v>
      </c>
      <c r="H664" s="90">
        <v>31</v>
      </c>
      <c r="I664" s="90" t="s">
        <v>18</v>
      </c>
      <c r="J664" s="90">
        <v>1</v>
      </c>
      <c r="K664" s="90">
        <v>0</v>
      </c>
      <c r="L664" s="91"/>
      <c r="M664" s="92" t="s">
        <v>2438</v>
      </c>
      <c r="N664" s="93"/>
      <c r="P664" s="21"/>
      <c r="Q664" s="12"/>
      <c r="R664">
        <f t="shared" si="28"/>
        <v>1</v>
      </c>
      <c r="S664" s="21" t="s">
        <v>99</v>
      </c>
      <c r="T664" s="21" t="s">
        <v>99</v>
      </c>
      <c r="W664" t="e">
        <f>INDEX(#REF!,MATCH($E664,#REF!,0))</f>
        <v>#REF!</v>
      </c>
      <c r="X664" t="e">
        <f>INDEX(#REF!,MATCH($E664,#REF!,0))</f>
        <v>#REF!</v>
      </c>
      <c r="Y664" t="e">
        <f>INDEX(#REF!,MATCH($E664,#REF!,0))</f>
        <v>#REF!</v>
      </c>
      <c r="Z664" t="e">
        <f>INDEX(#REF!,MATCH($E664,#REF!,0))</f>
        <v>#REF!</v>
      </c>
      <c r="AA664" t="e">
        <f>INDEX(#REF!,MATCH($E664,#REF!,0))</f>
        <v>#REF!</v>
      </c>
      <c r="AB664" t="e">
        <f>INDEX(#REF!,MATCH($E664,#REF!,0))</f>
        <v>#REF!</v>
      </c>
      <c r="AC664" t="e">
        <f>INDEX(#REF!,MATCH($E664,#REF!,0))</f>
        <v>#REF!</v>
      </c>
      <c r="AD664" t="e">
        <f>INDEX(#REF!,MATCH($E664,#REF!,0))</f>
        <v>#REF!</v>
      </c>
      <c r="AE664" t="e">
        <f t="shared" si="29"/>
        <v>#REF!</v>
      </c>
    </row>
    <row r="665" spans="2:31" x14ac:dyDescent="0.25">
      <c r="B665" s="45" t="s">
        <v>2185</v>
      </c>
      <c r="C665" s="45" t="s">
        <v>2186</v>
      </c>
      <c r="D665" s="89" t="s">
        <v>2187</v>
      </c>
      <c r="E665" s="89">
        <v>900525</v>
      </c>
      <c r="F665" s="89">
        <v>1139</v>
      </c>
      <c r="G665" s="90">
        <v>2</v>
      </c>
      <c r="H665" s="90">
        <v>31</v>
      </c>
      <c r="I665" s="90" t="s">
        <v>26</v>
      </c>
      <c r="J665" s="90">
        <v>1</v>
      </c>
      <c r="K665" s="90">
        <v>0</v>
      </c>
      <c r="L665" s="91"/>
      <c r="M665" s="92" t="s">
        <v>2439</v>
      </c>
      <c r="N665" s="93"/>
      <c r="P665" s="21"/>
      <c r="Q665" s="12"/>
      <c r="R665">
        <f t="shared" si="28"/>
        <v>1</v>
      </c>
      <c r="S665" s="21" t="s">
        <v>99</v>
      </c>
      <c r="T665" s="21" t="s">
        <v>99</v>
      </c>
      <c r="W665" t="e">
        <f>INDEX(#REF!,MATCH($E665,#REF!,0))</f>
        <v>#REF!</v>
      </c>
      <c r="X665" t="e">
        <f>INDEX(#REF!,MATCH($E665,#REF!,0))</f>
        <v>#REF!</v>
      </c>
      <c r="Y665" t="e">
        <f>INDEX(#REF!,MATCH($E665,#REF!,0))</f>
        <v>#REF!</v>
      </c>
      <c r="Z665" t="e">
        <f>INDEX(#REF!,MATCH($E665,#REF!,0))</f>
        <v>#REF!</v>
      </c>
      <c r="AA665" t="e">
        <f>INDEX(#REF!,MATCH($E665,#REF!,0))</f>
        <v>#REF!</v>
      </c>
      <c r="AB665" t="e">
        <f>INDEX(#REF!,MATCH($E665,#REF!,0))</f>
        <v>#REF!</v>
      </c>
      <c r="AC665" t="e">
        <f>INDEX(#REF!,MATCH($E665,#REF!,0))</f>
        <v>#REF!</v>
      </c>
      <c r="AD665" t="e">
        <f>INDEX(#REF!,MATCH($E665,#REF!,0))</f>
        <v>#REF!</v>
      </c>
      <c r="AE665" t="e">
        <f t="shared" si="29"/>
        <v>#REF!</v>
      </c>
    </row>
    <row r="666" spans="2:31" x14ac:dyDescent="0.25">
      <c r="B666" s="45" t="s">
        <v>1947</v>
      </c>
      <c r="C666" s="45" t="s">
        <v>946</v>
      </c>
      <c r="D666" s="89" t="s">
        <v>1107</v>
      </c>
      <c r="E666" s="89">
        <v>900915</v>
      </c>
      <c r="F666" s="89">
        <v>1171</v>
      </c>
      <c r="G666" s="90">
        <v>11</v>
      </c>
      <c r="H666" s="90">
        <v>31</v>
      </c>
      <c r="I666" s="90" t="s">
        <v>26</v>
      </c>
      <c r="J666" s="90">
        <v>1</v>
      </c>
      <c r="K666" s="90">
        <v>0</v>
      </c>
      <c r="L666" s="91"/>
      <c r="M666" s="92" t="s">
        <v>2440</v>
      </c>
      <c r="N666" s="93"/>
      <c r="P666" s="21"/>
      <c r="Q666" s="12"/>
      <c r="R666">
        <f t="shared" si="28"/>
        <v>1</v>
      </c>
      <c r="S666" s="21" t="s">
        <v>99</v>
      </c>
      <c r="T666" s="21" t="s">
        <v>99</v>
      </c>
      <c r="W666" t="e">
        <f>INDEX(#REF!,MATCH($E666,#REF!,0))</f>
        <v>#REF!</v>
      </c>
      <c r="X666" t="e">
        <f>INDEX(#REF!,MATCH($E666,#REF!,0))</f>
        <v>#REF!</v>
      </c>
      <c r="Y666" t="e">
        <f>INDEX(#REF!,MATCH($E666,#REF!,0))</f>
        <v>#REF!</v>
      </c>
      <c r="Z666" t="e">
        <f>INDEX(#REF!,MATCH($E666,#REF!,0))</f>
        <v>#REF!</v>
      </c>
      <c r="AA666" t="e">
        <f>INDEX(#REF!,MATCH($E666,#REF!,0))</f>
        <v>#REF!</v>
      </c>
      <c r="AB666" t="e">
        <f>INDEX(#REF!,MATCH($E666,#REF!,0))</f>
        <v>#REF!</v>
      </c>
      <c r="AC666" t="e">
        <f>INDEX(#REF!,MATCH($E666,#REF!,0))</f>
        <v>#REF!</v>
      </c>
      <c r="AD666" t="e">
        <f>INDEX(#REF!,MATCH($E666,#REF!,0))</f>
        <v>#REF!</v>
      </c>
      <c r="AE666" t="e">
        <f t="shared" si="29"/>
        <v>#REF!</v>
      </c>
    </row>
    <row r="667" spans="2:31" x14ac:dyDescent="0.25">
      <c r="B667" s="45" t="s">
        <v>2813</v>
      </c>
      <c r="C667" s="45" t="s">
        <v>2952</v>
      </c>
      <c r="D667" s="89" t="s">
        <v>2648</v>
      </c>
      <c r="E667" s="89">
        <v>180001</v>
      </c>
      <c r="F667" s="89">
        <v>1220</v>
      </c>
      <c r="G667" s="90">
        <v>0</v>
      </c>
      <c r="H667" s="90">
        <v>4</v>
      </c>
      <c r="I667" s="90" t="s">
        <v>18</v>
      </c>
      <c r="J667" s="90">
        <v>1</v>
      </c>
      <c r="K667" s="90">
        <v>0</v>
      </c>
      <c r="L667" s="91"/>
      <c r="M667" s="92" t="s">
        <v>1261</v>
      </c>
      <c r="N667" s="93" t="s">
        <v>2527</v>
      </c>
      <c r="P667" s="21" t="s">
        <v>2999</v>
      </c>
      <c r="Q667" s="12" t="s">
        <v>2811</v>
      </c>
      <c r="R667">
        <f t="shared" si="28"/>
        <v>1</v>
      </c>
      <c r="U667" s="37">
        <v>110664</v>
      </c>
      <c r="V667" t="s">
        <v>2683</v>
      </c>
      <c r="W667" t="e">
        <f>INDEX(#REF!,MATCH($E667,#REF!,0))</f>
        <v>#REF!</v>
      </c>
      <c r="X667" t="e">
        <f>INDEX(#REF!,MATCH($E667,#REF!,0))</f>
        <v>#REF!</v>
      </c>
      <c r="Y667" t="e">
        <f>INDEX(#REF!,MATCH($E667,#REF!,0))</f>
        <v>#REF!</v>
      </c>
      <c r="Z667" t="e">
        <f>INDEX(#REF!,MATCH($E667,#REF!,0))</f>
        <v>#REF!</v>
      </c>
      <c r="AA667" t="e">
        <f>INDEX(#REF!,MATCH($E667,#REF!,0))</f>
        <v>#REF!</v>
      </c>
      <c r="AB667" t="e">
        <f>INDEX(#REF!,MATCH($E667,#REF!,0))</f>
        <v>#REF!</v>
      </c>
      <c r="AC667" t="e">
        <f>INDEX(#REF!,MATCH($E667,#REF!,0))</f>
        <v>#REF!</v>
      </c>
      <c r="AD667" t="e">
        <f>INDEX(#REF!,MATCH($E667,#REF!,0))</f>
        <v>#REF!</v>
      </c>
      <c r="AE667" t="e">
        <f t="shared" si="29"/>
        <v>#REF!</v>
      </c>
    </row>
    <row r="668" spans="2:31" x14ac:dyDescent="0.25">
      <c r="B668" s="45" t="s">
        <v>2814</v>
      </c>
      <c r="C668" s="45" t="s">
        <v>3033</v>
      </c>
      <c r="D668" s="89" t="s">
        <v>2649</v>
      </c>
      <c r="E668" s="89">
        <v>180002</v>
      </c>
      <c r="F668" s="89">
        <v>1220</v>
      </c>
      <c r="G668" s="90">
        <v>1</v>
      </c>
      <c r="H668" s="90">
        <v>4</v>
      </c>
      <c r="I668" s="90" t="s">
        <v>210</v>
      </c>
      <c r="J668" s="90">
        <v>100</v>
      </c>
      <c r="K668" s="90">
        <v>0</v>
      </c>
      <c r="L668" s="91"/>
      <c r="M668" s="92" t="s">
        <v>2591</v>
      </c>
      <c r="N668" s="93" t="s">
        <v>2528</v>
      </c>
      <c r="P668" s="21" t="s">
        <v>2999</v>
      </c>
      <c r="Q668" s="12" t="s">
        <v>2811</v>
      </c>
      <c r="R668">
        <f t="shared" si="28"/>
        <v>1</v>
      </c>
      <c r="U668" s="37">
        <v>110665</v>
      </c>
      <c r="V668" t="s">
        <v>2684</v>
      </c>
      <c r="W668" t="e">
        <f>INDEX(#REF!,MATCH($E668,#REF!,0))</f>
        <v>#REF!</v>
      </c>
      <c r="X668" t="e">
        <f>INDEX(#REF!,MATCH($E668,#REF!,0))</f>
        <v>#REF!</v>
      </c>
      <c r="Y668" t="e">
        <f>INDEX(#REF!,MATCH($E668,#REF!,0))</f>
        <v>#REF!</v>
      </c>
      <c r="Z668" t="e">
        <f>INDEX(#REF!,MATCH($E668,#REF!,0))</f>
        <v>#REF!</v>
      </c>
      <c r="AA668" t="e">
        <f>INDEX(#REF!,MATCH($E668,#REF!,0))</f>
        <v>#REF!</v>
      </c>
      <c r="AB668" t="e">
        <f>INDEX(#REF!,MATCH($E668,#REF!,0))</f>
        <v>#REF!</v>
      </c>
      <c r="AC668" t="e">
        <f>INDEX(#REF!,MATCH($E668,#REF!,0))</f>
        <v>#REF!</v>
      </c>
      <c r="AD668" t="e">
        <f>INDEX(#REF!,MATCH($E668,#REF!,0))</f>
        <v>#REF!</v>
      </c>
      <c r="AE668" t="e">
        <f t="shared" si="29"/>
        <v>#REF!</v>
      </c>
    </row>
    <row r="669" spans="2:31" x14ac:dyDescent="0.25">
      <c r="B669" s="45" t="s">
        <v>2815</v>
      </c>
      <c r="C669" s="45" t="s">
        <v>3034</v>
      </c>
      <c r="D669" s="89" t="s">
        <v>2650</v>
      </c>
      <c r="E669" s="89">
        <v>180003</v>
      </c>
      <c r="F669" s="89">
        <v>1220</v>
      </c>
      <c r="G669" s="90">
        <v>2</v>
      </c>
      <c r="H669" s="90">
        <v>4</v>
      </c>
      <c r="I669" s="90" t="s">
        <v>210</v>
      </c>
      <c r="J669" s="90">
        <v>100</v>
      </c>
      <c r="K669" s="90">
        <v>0</v>
      </c>
      <c r="L669" s="91"/>
      <c r="M669" s="92" t="s">
        <v>2592</v>
      </c>
      <c r="N669" s="93" t="s">
        <v>2529</v>
      </c>
      <c r="P669" s="21" t="s">
        <v>2999</v>
      </c>
      <c r="Q669" s="12" t="s">
        <v>2811</v>
      </c>
      <c r="R669">
        <f t="shared" si="28"/>
        <v>1</v>
      </c>
      <c r="U669" s="37">
        <v>110662</v>
      </c>
      <c r="V669" t="s">
        <v>2685</v>
      </c>
      <c r="W669" t="e">
        <f>INDEX(#REF!,MATCH($E669,#REF!,0))</f>
        <v>#REF!</v>
      </c>
      <c r="X669" t="e">
        <f>INDEX(#REF!,MATCH($E669,#REF!,0))</f>
        <v>#REF!</v>
      </c>
      <c r="Y669" t="e">
        <f>INDEX(#REF!,MATCH($E669,#REF!,0))</f>
        <v>#REF!</v>
      </c>
      <c r="Z669" t="e">
        <f>INDEX(#REF!,MATCH($E669,#REF!,0))</f>
        <v>#REF!</v>
      </c>
      <c r="AA669" t="e">
        <f>INDEX(#REF!,MATCH($E669,#REF!,0))</f>
        <v>#REF!</v>
      </c>
      <c r="AB669" t="e">
        <f>INDEX(#REF!,MATCH($E669,#REF!,0))</f>
        <v>#REF!</v>
      </c>
      <c r="AC669" t="e">
        <f>INDEX(#REF!,MATCH($E669,#REF!,0))</f>
        <v>#REF!</v>
      </c>
      <c r="AD669" t="e">
        <f>INDEX(#REF!,MATCH($E669,#REF!,0))</f>
        <v>#REF!</v>
      </c>
      <c r="AE669" t="e">
        <f t="shared" si="29"/>
        <v>#REF!</v>
      </c>
    </row>
    <row r="670" spans="2:31" x14ac:dyDescent="0.25">
      <c r="B670" s="45" t="s">
        <v>2816</v>
      </c>
      <c r="C670" s="45" t="s">
        <v>2953</v>
      </c>
      <c r="D670" s="89" t="s">
        <v>1110</v>
      </c>
      <c r="E670" s="89">
        <v>180004</v>
      </c>
      <c r="F670" s="89">
        <v>1220</v>
      </c>
      <c r="G670" s="90">
        <v>3</v>
      </c>
      <c r="H670" s="90">
        <v>4</v>
      </c>
      <c r="I670" s="90" t="s">
        <v>210</v>
      </c>
      <c r="J670" s="90">
        <v>100</v>
      </c>
      <c r="K670" s="90">
        <v>0</v>
      </c>
      <c r="L670" s="91"/>
      <c r="M670" s="92" t="s">
        <v>1253</v>
      </c>
      <c r="N670" s="93" t="s">
        <v>2530</v>
      </c>
      <c r="P670" s="21" t="s">
        <v>2999</v>
      </c>
      <c r="Q670" s="12" t="s">
        <v>2811</v>
      </c>
      <c r="R670">
        <f t="shared" si="28"/>
        <v>1</v>
      </c>
      <c r="U670" s="37">
        <v>110654</v>
      </c>
      <c r="V670" t="s">
        <v>2686</v>
      </c>
      <c r="W670" t="e">
        <f>INDEX(#REF!,MATCH($E670,#REF!,0))</f>
        <v>#REF!</v>
      </c>
      <c r="X670" t="e">
        <f>INDEX(#REF!,MATCH($E670,#REF!,0))</f>
        <v>#REF!</v>
      </c>
      <c r="Y670" t="e">
        <f>INDEX(#REF!,MATCH($E670,#REF!,0))</f>
        <v>#REF!</v>
      </c>
      <c r="Z670" t="e">
        <f>INDEX(#REF!,MATCH($E670,#REF!,0))</f>
        <v>#REF!</v>
      </c>
      <c r="AA670" t="e">
        <f>INDEX(#REF!,MATCH($E670,#REF!,0))</f>
        <v>#REF!</v>
      </c>
      <c r="AB670" t="e">
        <f>INDEX(#REF!,MATCH($E670,#REF!,0))</f>
        <v>#REF!</v>
      </c>
      <c r="AC670" t="e">
        <f>INDEX(#REF!,MATCH($E670,#REF!,0))</f>
        <v>#REF!</v>
      </c>
      <c r="AD670" t="e">
        <f>INDEX(#REF!,MATCH($E670,#REF!,0))</f>
        <v>#REF!</v>
      </c>
      <c r="AE670" t="e">
        <f t="shared" si="29"/>
        <v>#REF!</v>
      </c>
    </row>
    <row r="671" spans="2:31" x14ac:dyDescent="0.25">
      <c r="B671" s="45" t="s">
        <v>2817</v>
      </c>
      <c r="C671" s="45" t="s">
        <v>2954</v>
      </c>
      <c r="D671" s="89" t="s">
        <v>1112</v>
      </c>
      <c r="E671" s="89">
        <v>180005</v>
      </c>
      <c r="F671" s="89">
        <v>1220</v>
      </c>
      <c r="G671" s="90">
        <v>4</v>
      </c>
      <c r="H671" s="90">
        <v>4</v>
      </c>
      <c r="I671" s="90" t="s">
        <v>210</v>
      </c>
      <c r="J671" s="90">
        <v>100</v>
      </c>
      <c r="K671" s="90">
        <v>0</v>
      </c>
      <c r="L671" s="91"/>
      <c r="M671" s="92" t="s">
        <v>1255</v>
      </c>
      <c r="N671" s="93" t="s">
        <v>2531</v>
      </c>
      <c r="P671" s="21" t="s">
        <v>2999</v>
      </c>
      <c r="Q671" s="12" t="s">
        <v>2811</v>
      </c>
      <c r="R671">
        <f t="shared" si="28"/>
        <v>1</v>
      </c>
      <c r="U671" s="37">
        <v>110656</v>
      </c>
      <c r="V671" t="s">
        <v>2687</v>
      </c>
      <c r="W671" t="e">
        <f>INDEX(#REF!,MATCH($E671,#REF!,0))</f>
        <v>#REF!</v>
      </c>
      <c r="X671" t="e">
        <f>INDEX(#REF!,MATCH($E671,#REF!,0))</f>
        <v>#REF!</v>
      </c>
      <c r="Y671" t="e">
        <f>INDEX(#REF!,MATCH($E671,#REF!,0))</f>
        <v>#REF!</v>
      </c>
      <c r="Z671" t="e">
        <f>INDEX(#REF!,MATCH($E671,#REF!,0))</f>
        <v>#REF!</v>
      </c>
      <c r="AA671" t="e">
        <f>INDEX(#REF!,MATCH($E671,#REF!,0))</f>
        <v>#REF!</v>
      </c>
      <c r="AB671" t="e">
        <f>INDEX(#REF!,MATCH($E671,#REF!,0))</f>
        <v>#REF!</v>
      </c>
      <c r="AC671" t="e">
        <f>INDEX(#REF!,MATCH($E671,#REF!,0))</f>
        <v>#REF!</v>
      </c>
      <c r="AD671" t="e">
        <f>INDEX(#REF!,MATCH($E671,#REF!,0))</f>
        <v>#REF!</v>
      </c>
      <c r="AE671" t="e">
        <f t="shared" si="29"/>
        <v>#REF!</v>
      </c>
    </row>
    <row r="672" spans="2:31" x14ac:dyDescent="0.25">
      <c r="B672" s="45" t="s">
        <v>2818</v>
      </c>
      <c r="C672" s="45" t="s">
        <v>2955</v>
      </c>
      <c r="D672" s="89" t="s">
        <v>1113</v>
      </c>
      <c r="E672" s="89">
        <v>180006</v>
      </c>
      <c r="F672" s="89">
        <v>1220</v>
      </c>
      <c r="G672" s="90">
        <v>5</v>
      </c>
      <c r="H672" s="90">
        <v>4</v>
      </c>
      <c r="I672" s="90" t="s">
        <v>210</v>
      </c>
      <c r="J672" s="90">
        <v>100</v>
      </c>
      <c r="K672" s="90">
        <v>0</v>
      </c>
      <c r="L672" s="91"/>
      <c r="M672" s="92" t="s">
        <v>2593</v>
      </c>
      <c r="N672" s="93" t="s">
        <v>2532</v>
      </c>
      <c r="P672" s="21" t="s">
        <v>2999</v>
      </c>
      <c r="Q672" s="12" t="s">
        <v>2811</v>
      </c>
      <c r="R672">
        <f t="shared" si="28"/>
        <v>1</v>
      </c>
      <c r="U672" s="37">
        <v>110657</v>
      </c>
      <c r="V672" t="s">
        <v>2688</v>
      </c>
      <c r="W672" t="e">
        <f>INDEX(#REF!,MATCH($E672,#REF!,0))</f>
        <v>#REF!</v>
      </c>
      <c r="X672" t="e">
        <f>INDEX(#REF!,MATCH($E672,#REF!,0))</f>
        <v>#REF!</v>
      </c>
      <c r="Y672" t="e">
        <f>INDEX(#REF!,MATCH($E672,#REF!,0))</f>
        <v>#REF!</v>
      </c>
      <c r="Z672" t="e">
        <f>INDEX(#REF!,MATCH($E672,#REF!,0))</f>
        <v>#REF!</v>
      </c>
      <c r="AA672" t="e">
        <f>INDEX(#REF!,MATCH($E672,#REF!,0))</f>
        <v>#REF!</v>
      </c>
      <c r="AB672" t="e">
        <f>INDEX(#REF!,MATCH($E672,#REF!,0))</f>
        <v>#REF!</v>
      </c>
      <c r="AC672" t="e">
        <f>INDEX(#REF!,MATCH($E672,#REF!,0))</f>
        <v>#REF!</v>
      </c>
      <c r="AD672" t="e">
        <f>INDEX(#REF!,MATCH($E672,#REF!,0))</f>
        <v>#REF!</v>
      </c>
      <c r="AE672" t="e">
        <f t="shared" si="29"/>
        <v>#REF!</v>
      </c>
    </row>
    <row r="673" spans="2:31" x14ac:dyDescent="0.25">
      <c r="B673" s="45" t="s">
        <v>2819</v>
      </c>
      <c r="C673" s="45" t="s">
        <v>2956</v>
      </c>
      <c r="D673" s="89" t="s">
        <v>1114</v>
      </c>
      <c r="E673" s="89">
        <v>180007</v>
      </c>
      <c r="F673" s="89">
        <v>1220</v>
      </c>
      <c r="G673" s="90">
        <v>6</v>
      </c>
      <c r="H673" s="90">
        <v>4</v>
      </c>
      <c r="I673" s="90" t="s">
        <v>210</v>
      </c>
      <c r="J673" s="90">
        <v>100</v>
      </c>
      <c r="K673" s="90">
        <v>0</v>
      </c>
      <c r="L673" s="91"/>
      <c r="M673" s="92" t="s">
        <v>2594</v>
      </c>
      <c r="N673" s="93" t="s">
        <v>2533</v>
      </c>
      <c r="P673" s="21" t="s">
        <v>2999</v>
      </c>
      <c r="Q673" s="12" t="s">
        <v>2811</v>
      </c>
      <c r="R673">
        <f t="shared" ref="R673:R704" si="30">COUNTIF(C:C,C673)</f>
        <v>1</v>
      </c>
      <c r="U673" s="37">
        <v>110658</v>
      </c>
      <c r="V673" t="s">
        <v>2689</v>
      </c>
      <c r="W673" t="e">
        <f>INDEX(#REF!,MATCH($E673,#REF!,0))</f>
        <v>#REF!</v>
      </c>
      <c r="X673" t="e">
        <f>INDEX(#REF!,MATCH($E673,#REF!,0))</f>
        <v>#REF!</v>
      </c>
      <c r="Y673" t="e">
        <f>INDEX(#REF!,MATCH($E673,#REF!,0))</f>
        <v>#REF!</v>
      </c>
      <c r="Z673" t="e">
        <f>INDEX(#REF!,MATCH($E673,#REF!,0))</f>
        <v>#REF!</v>
      </c>
      <c r="AA673" t="e">
        <f>INDEX(#REF!,MATCH($E673,#REF!,0))</f>
        <v>#REF!</v>
      </c>
      <c r="AB673" t="e">
        <f>INDEX(#REF!,MATCH($E673,#REF!,0))</f>
        <v>#REF!</v>
      </c>
      <c r="AC673" t="e">
        <f>INDEX(#REF!,MATCH($E673,#REF!,0))</f>
        <v>#REF!</v>
      </c>
      <c r="AD673" t="e">
        <f>INDEX(#REF!,MATCH($E673,#REF!,0))</f>
        <v>#REF!</v>
      </c>
      <c r="AE673" t="e">
        <f t="shared" si="29"/>
        <v>#REF!</v>
      </c>
    </row>
    <row r="674" spans="2:31" x14ac:dyDescent="0.25">
      <c r="B674" s="45" t="s">
        <v>2820</v>
      </c>
      <c r="C674" s="45" t="s">
        <v>2957</v>
      </c>
      <c r="D674" s="89" t="s">
        <v>2452</v>
      </c>
      <c r="E674" s="89">
        <v>180008</v>
      </c>
      <c r="F674" s="89">
        <v>1220</v>
      </c>
      <c r="G674" s="90">
        <v>7</v>
      </c>
      <c r="H674" s="90">
        <v>4</v>
      </c>
      <c r="I674" s="90" t="s">
        <v>147</v>
      </c>
      <c r="J674" s="90">
        <v>100000</v>
      </c>
      <c r="K674" s="90">
        <v>0</v>
      </c>
      <c r="L674" s="91"/>
      <c r="M674" s="92" t="s">
        <v>2595</v>
      </c>
      <c r="N674" s="93" t="s">
        <v>2534</v>
      </c>
      <c r="P674" s="21" t="s">
        <v>2999</v>
      </c>
      <c r="Q674" s="12" t="s">
        <v>2811</v>
      </c>
      <c r="R674">
        <f t="shared" si="30"/>
        <v>1</v>
      </c>
      <c r="U674" s="70">
        <v>110695</v>
      </c>
      <c r="V674" t="s">
        <v>2690</v>
      </c>
      <c r="W674" t="e">
        <f>INDEX(#REF!,MATCH($E674,#REF!,0))</f>
        <v>#REF!</v>
      </c>
      <c r="X674" t="e">
        <f>INDEX(#REF!,MATCH($E674,#REF!,0))</f>
        <v>#REF!</v>
      </c>
      <c r="Y674" t="e">
        <f>INDEX(#REF!,MATCH($E674,#REF!,0))</f>
        <v>#REF!</v>
      </c>
      <c r="Z674" t="e">
        <f>INDEX(#REF!,MATCH($E674,#REF!,0))</f>
        <v>#REF!</v>
      </c>
      <c r="AA674" t="e">
        <f>INDEX(#REF!,MATCH($E674,#REF!,0))</f>
        <v>#REF!</v>
      </c>
      <c r="AB674" t="e">
        <f>INDEX(#REF!,MATCH($E674,#REF!,0))</f>
        <v>#REF!</v>
      </c>
      <c r="AC674" t="e">
        <f>INDEX(#REF!,MATCH($E674,#REF!,0))</f>
        <v>#REF!</v>
      </c>
      <c r="AD674" t="e">
        <f>INDEX(#REF!,MATCH($E674,#REF!,0))</f>
        <v>#REF!</v>
      </c>
      <c r="AE674" t="e">
        <f t="shared" si="29"/>
        <v>#REF!</v>
      </c>
    </row>
    <row r="675" spans="2:31" x14ac:dyDescent="0.25">
      <c r="B675" s="45" t="s">
        <v>2821</v>
      </c>
      <c r="C675" s="45" t="s">
        <v>2958</v>
      </c>
      <c r="D675" s="89" t="s">
        <v>2453</v>
      </c>
      <c r="E675" s="89">
        <v>180009</v>
      </c>
      <c r="F675" s="89">
        <v>1220</v>
      </c>
      <c r="G675" s="90">
        <v>8</v>
      </c>
      <c r="H675" s="90">
        <v>4</v>
      </c>
      <c r="I675" s="90" t="s">
        <v>147</v>
      </c>
      <c r="J675" s="90">
        <v>100000</v>
      </c>
      <c r="K675" s="90">
        <v>0</v>
      </c>
      <c r="L675" s="91"/>
      <c r="M675" s="92" t="s">
        <v>2596</v>
      </c>
      <c r="N675" s="93" t="s">
        <v>2535</v>
      </c>
      <c r="P675" s="21" t="s">
        <v>2999</v>
      </c>
      <c r="Q675" s="12" t="s">
        <v>2811</v>
      </c>
      <c r="R675">
        <f t="shared" si="30"/>
        <v>1</v>
      </c>
      <c r="U675" s="70">
        <v>110696</v>
      </c>
      <c r="V675" t="s">
        <v>2691</v>
      </c>
      <c r="W675" t="e">
        <f>INDEX(#REF!,MATCH($E675,#REF!,0))</f>
        <v>#REF!</v>
      </c>
      <c r="X675" t="e">
        <f>INDEX(#REF!,MATCH($E675,#REF!,0))</f>
        <v>#REF!</v>
      </c>
      <c r="Y675" t="e">
        <f>INDEX(#REF!,MATCH($E675,#REF!,0))</f>
        <v>#REF!</v>
      </c>
      <c r="Z675" t="e">
        <f>INDEX(#REF!,MATCH($E675,#REF!,0))</f>
        <v>#REF!</v>
      </c>
      <c r="AA675" t="e">
        <f>INDEX(#REF!,MATCH($E675,#REF!,0))</f>
        <v>#REF!</v>
      </c>
      <c r="AB675" t="e">
        <f>INDEX(#REF!,MATCH($E675,#REF!,0))</f>
        <v>#REF!</v>
      </c>
      <c r="AC675" t="e">
        <f>INDEX(#REF!,MATCH($E675,#REF!,0))</f>
        <v>#REF!</v>
      </c>
      <c r="AD675" t="e">
        <f>INDEX(#REF!,MATCH($E675,#REF!,0))</f>
        <v>#REF!</v>
      </c>
      <c r="AE675" t="e">
        <f t="shared" si="29"/>
        <v>#REF!</v>
      </c>
    </row>
    <row r="676" spans="2:31" x14ac:dyDescent="0.25">
      <c r="B676" s="45" t="s">
        <v>2822</v>
      </c>
      <c r="C676" s="45" t="s">
        <v>2959</v>
      </c>
      <c r="D676" s="89" t="s">
        <v>2454</v>
      </c>
      <c r="E676" s="89">
        <v>180010</v>
      </c>
      <c r="F676" s="89">
        <v>1220</v>
      </c>
      <c r="G676" s="90">
        <v>9</v>
      </c>
      <c r="H676" s="90">
        <v>4</v>
      </c>
      <c r="I676" s="90" t="s">
        <v>147</v>
      </c>
      <c r="J676" s="90">
        <v>100000</v>
      </c>
      <c r="K676" s="90">
        <v>0</v>
      </c>
      <c r="L676" s="91"/>
      <c r="M676" s="92" t="s">
        <v>2597</v>
      </c>
      <c r="N676" s="93" t="s">
        <v>2536</v>
      </c>
      <c r="P676" s="21" t="s">
        <v>2999</v>
      </c>
      <c r="Q676" s="12" t="s">
        <v>2811</v>
      </c>
      <c r="R676">
        <f t="shared" si="30"/>
        <v>1</v>
      </c>
      <c r="U676" s="70">
        <v>110697</v>
      </c>
      <c r="V676" t="s">
        <v>2692</v>
      </c>
      <c r="W676" t="e">
        <f>INDEX(#REF!,MATCH($E676,#REF!,0))</f>
        <v>#REF!</v>
      </c>
      <c r="X676" t="e">
        <f>INDEX(#REF!,MATCH($E676,#REF!,0))</f>
        <v>#REF!</v>
      </c>
      <c r="Y676" t="e">
        <f>INDEX(#REF!,MATCH($E676,#REF!,0))</f>
        <v>#REF!</v>
      </c>
      <c r="Z676" t="e">
        <f>INDEX(#REF!,MATCH($E676,#REF!,0))</f>
        <v>#REF!</v>
      </c>
      <c r="AA676" t="e">
        <f>INDEX(#REF!,MATCH($E676,#REF!,0))</f>
        <v>#REF!</v>
      </c>
      <c r="AB676" t="e">
        <f>INDEX(#REF!,MATCH($E676,#REF!,0))</f>
        <v>#REF!</v>
      </c>
      <c r="AC676" t="e">
        <f>INDEX(#REF!,MATCH($E676,#REF!,0))</f>
        <v>#REF!</v>
      </c>
      <c r="AD676" t="e">
        <f>INDEX(#REF!,MATCH($E676,#REF!,0))</f>
        <v>#REF!</v>
      </c>
      <c r="AE676" t="e">
        <f t="shared" si="29"/>
        <v>#REF!</v>
      </c>
    </row>
    <row r="677" spans="2:31" x14ac:dyDescent="0.25">
      <c r="B677" s="45" t="s">
        <v>2823</v>
      </c>
      <c r="C677" s="45" t="s">
        <v>2960</v>
      </c>
      <c r="D677" s="89" t="s">
        <v>2651</v>
      </c>
      <c r="E677" s="89">
        <v>180011</v>
      </c>
      <c r="F677" s="89">
        <v>1220</v>
      </c>
      <c r="G677" s="90">
        <v>10</v>
      </c>
      <c r="H677" s="90">
        <v>4</v>
      </c>
      <c r="I677" s="90" t="s">
        <v>147</v>
      </c>
      <c r="J677" s="90">
        <v>100000</v>
      </c>
      <c r="K677" s="90">
        <v>0</v>
      </c>
      <c r="L677" s="91"/>
      <c r="M677" s="92" t="s">
        <v>1258</v>
      </c>
      <c r="N677" s="93" t="s">
        <v>2537</v>
      </c>
      <c r="P677" s="21" t="s">
        <v>2999</v>
      </c>
      <c r="Q677" s="12" t="s">
        <v>2811</v>
      </c>
      <c r="R677">
        <f t="shared" si="30"/>
        <v>1</v>
      </c>
      <c r="U677" s="37">
        <v>110661</v>
      </c>
      <c r="V677" t="s">
        <v>2693</v>
      </c>
      <c r="W677" t="e">
        <f>INDEX(#REF!,MATCH($E677,#REF!,0))</f>
        <v>#REF!</v>
      </c>
      <c r="X677" t="e">
        <f>INDEX(#REF!,MATCH($E677,#REF!,0))</f>
        <v>#REF!</v>
      </c>
      <c r="Y677" t="e">
        <f>INDEX(#REF!,MATCH($E677,#REF!,0))</f>
        <v>#REF!</v>
      </c>
      <c r="Z677" t="e">
        <f>INDEX(#REF!,MATCH($E677,#REF!,0))</f>
        <v>#REF!</v>
      </c>
      <c r="AA677" t="e">
        <f>INDEX(#REF!,MATCH($E677,#REF!,0))</f>
        <v>#REF!</v>
      </c>
      <c r="AB677" t="e">
        <f>INDEX(#REF!,MATCH($E677,#REF!,0))</f>
        <v>#REF!</v>
      </c>
      <c r="AC677" t="e">
        <f>INDEX(#REF!,MATCH($E677,#REF!,0))</f>
        <v>#REF!</v>
      </c>
      <c r="AD677" t="e">
        <f>INDEX(#REF!,MATCH($E677,#REF!,0))</f>
        <v>#REF!</v>
      </c>
      <c r="AE677" t="e">
        <f t="shared" si="29"/>
        <v>#REF!</v>
      </c>
    </row>
    <row r="678" spans="2:31" x14ac:dyDescent="0.25">
      <c r="B678" s="45" t="s">
        <v>2824</v>
      </c>
      <c r="C678" s="45" t="s">
        <v>2961</v>
      </c>
      <c r="D678" s="89" t="s">
        <v>2652</v>
      </c>
      <c r="E678" s="89">
        <v>180012</v>
      </c>
      <c r="F678" s="89">
        <v>1220</v>
      </c>
      <c r="G678" s="90">
        <v>11</v>
      </c>
      <c r="H678" s="90">
        <v>4</v>
      </c>
      <c r="I678" s="90" t="s">
        <v>147</v>
      </c>
      <c r="J678" s="90">
        <v>100000</v>
      </c>
      <c r="K678" s="90">
        <v>0</v>
      </c>
      <c r="L678" s="91"/>
      <c r="M678" s="92" t="s">
        <v>1256</v>
      </c>
      <c r="N678" s="93" t="s">
        <v>2538</v>
      </c>
      <c r="P678" s="21" t="s">
        <v>2999</v>
      </c>
      <c r="Q678" s="12" t="s">
        <v>2811</v>
      </c>
      <c r="R678">
        <f t="shared" si="30"/>
        <v>1</v>
      </c>
      <c r="U678" s="37">
        <v>110659</v>
      </c>
      <c r="V678" t="s">
        <v>2694</v>
      </c>
      <c r="W678" t="e">
        <f>INDEX(#REF!,MATCH($E678,#REF!,0))</f>
        <v>#REF!</v>
      </c>
      <c r="X678" t="e">
        <f>INDEX(#REF!,MATCH($E678,#REF!,0))</f>
        <v>#REF!</v>
      </c>
      <c r="Y678" t="e">
        <f>INDEX(#REF!,MATCH($E678,#REF!,0))</f>
        <v>#REF!</v>
      </c>
      <c r="Z678" t="e">
        <f>INDEX(#REF!,MATCH($E678,#REF!,0))</f>
        <v>#REF!</v>
      </c>
      <c r="AA678" t="e">
        <f>INDEX(#REF!,MATCH($E678,#REF!,0))</f>
        <v>#REF!</v>
      </c>
      <c r="AB678" t="e">
        <f>INDEX(#REF!,MATCH($E678,#REF!,0))</f>
        <v>#REF!</v>
      </c>
      <c r="AC678" t="e">
        <f>INDEX(#REF!,MATCH($E678,#REF!,0))</f>
        <v>#REF!</v>
      </c>
      <c r="AD678" t="e">
        <f>INDEX(#REF!,MATCH($E678,#REF!,0))</f>
        <v>#REF!</v>
      </c>
      <c r="AE678" t="e">
        <f t="shared" si="29"/>
        <v>#REF!</v>
      </c>
    </row>
    <row r="679" spans="2:31" x14ac:dyDescent="0.25">
      <c r="B679" s="45" t="s">
        <v>2825</v>
      </c>
      <c r="C679" s="45" t="s">
        <v>2962</v>
      </c>
      <c r="D679" s="89" t="s">
        <v>2653</v>
      </c>
      <c r="E679" s="89">
        <v>180013</v>
      </c>
      <c r="F679" s="89">
        <v>1220</v>
      </c>
      <c r="G679" s="90">
        <v>12</v>
      </c>
      <c r="H679" s="90">
        <v>4</v>
      </c>
      <c r="I679" s="90" t="s">
        <v>147</v>
      </c>
      <c r="J679" s="90">
        <v>100000</v>
      </c>
      <c r="K679" s="90">
        <v>0</v>
      </c>
      <c r="L679" s="91"/>
      <c r="M679" s="92" t="s">
        <v>1257</v>
      </c>
      <c r="N679" s="93" t="s">
        <v>2539</v>
      </c>
      <c r="P679" s="21" t="s">
        <v>2999</v>
      </c>
      <c r="Q679" s="12" t="s">
        <v>2811</v>
      </c>
      <c r="R679">
        <f t="shared" si="30"/>
        <v>1</v>
      </c>
      <c r="U679" s="37">
        <v>110660</v>
      </c>
      <c r="V679" t="s">
        <v>2695</v>
      </c>
      <c r="W679" t="e">
        <f>INDEX(#REF!,MATCH($E679,#REF!,0))</f>
        <v>#REF!</v>
      </c>
      <c r="X679" t="e">
        <f>INDEX(#REF!,MATCH($E679,#REF!,0))</f>
        <v>#REF!</v>
      </c>
      <c r="Y679" t="e">
        <f>INDEX(#REF!,MATCH($E679,#REF!,0))</f>
        <v>#REF!</v>
      </c>
      <c r="Z679" t="e">
        <f>INDEX(#REF!,MATCH($E679,#REF!,0))</f>
        <v>#REF!</v>
      </c>
      <c r="AA679" t="e">
        <f>INDEX(#REF!,MATCH($E679,#REF!,0))</f>
        <v>#REF!</v>
      </c>
      <c r="AB679" t="e">
        <f>INDEX(#REF!,MATCH($E679,#REF!,0))</f>
        <v>#REF!</v>
      </c>
      <c r="AC679" t="e">
        <f>INDEX(#REF!,MATCH($E679,#REF!,0))</f>
        <v>#REF!</v>
      </c>
      <c r="AD679" t="e">
        <f>INDEX(#REF!,MATCH($E679,#REF!,0))</f>
        <v>#REF!</v>
      </c>
      <c r="AE679" t="e">
        <f t="shared" si="29"/>
        <v>#REF!</v>
      </c>
    </row>
    <row r="680" spans="2:31" x14ac:dyDescent="0.25">
      <c r="B680" s="45" t="s">
        <v>2826</v>
      </c>
      <c r="C680" s="45" t="s">
        <v>2963</v>
      </c>
      <c r="D680" s="89" t="s">
        <v>2654</v>
      </c>
      <c r="E680" s="89">
        <v>180014</v>
      </c>
      <c r="F680" s="89">
        <v>1220</v>
      </c>
      <c r="G680" s="90">
        <v>13</v>
      </c>
      <c r="H680" s="90">
        <v>4</v>
      </c>
      <c r="I680" s="90" t="s">
        <v>147</v>
      </c>
      <c r="J680" s="90">
        <v>100000</v>
      </c>
      <c r="K680" s="90">
        <v>0</v>
      </c>
      <c r="L680" s="91"/>
      <c r="M680" s="92" t="s">
        <v>2598</v>
      </c>
      <c r="N680" s="93" t="s">
        <v>2540</v>
      </c>
      <c r="P680" s="21" t="s">
        <v>2999</v>
      </c>
      <c r="Q680" s="12" t="s">
        <v>2811</v>
      </c>
      <c r="R680">
        <f t="shared" si="30"/>
        <v>1</v>
      </c>
      <c r="U680" s="68" t="s">
        <v>2679</v>
      </c>
      <c r="V680" t="s">
        <v>2696</v>
      </c>
      <c r="W680" t="e">
        <f>INDEX(#REF!,MATCH($E680,#REF!,0))</f>
        <v>#REF!</v>
      </c>
      <c r="X680" t="e">
        <f>INDEX(#REF!,MATCH($E680,#REF!,0))</f>
        <v>#REF!</v>
      </c>
      <c r="Y680" t="e">
        <f>INDEX(#REF!,MATCH($E680,#REF!,0))</f>
        <v>#REF!</v>
      </c>
      <c r="Z680" t="e">
        <f>INDEX(#REF!,MATCH($E680,#REF!,0))</f>
        <v>#REF!</v>
      </c>
      <c r="AA680" t="e">
        <f>INDEX(#REF!,MATCH($E680,#REF!,0))</f>
        <v>#REF!</v>
      </c>
      <c r="AB680" t="e">
        <f>INDEX(#REF!,MATCH($E680,#REF!,0))</f>
        <v>#REF!</v>
      </c>
      <c r="AC680" t="e">
        <f>INDEX(#REF!,MATCH($E680,#REF!,0))</f>
        <v>#REF!</v>
      </c>
      <c r="AD680" t="e">
        <f>INDEX(#REF!,MATCH($E680,#REF!,0))</f>
        <v>#REF!</v>
      </c>
      <c r="AE680" t="e">
        <f t="shared" si="29"/>
        <v>#REF!</v>
      </c>
    </row>
    <row r="681" spans="2:31" x14ac:dyDescent="0.25">
      <c r="B681" s="45" t="s">
        <v>2827</v>
      </c>
      <c r="C681" s="45" t="s">
        <v>2964</v>
      </c>
      <c r="D681" s="89" t="s">
        <v>2655</v>
      </c>
      <c r="E681" s="89">
        <v>180015</v>
      </c>
      <c r="F681" s="89">
        <v>1220</v>
      </c>
      <c r="G681" s="90">
        <v>14</v>
      </c>
      <c r="H681" s="90">
        <v>4</v>
      </c>
      <c r="I681" s="90" t="s">
        <v>147</v>
      </c>
      <c r="J681" s="90">
        <v>100000</v>
      </c>
      <c r="K681" s="90">
        <v>0</v>
      </c>
      <c r="L681" s="91"/>
      <c r="M681" s="92" t="s">
        <v>2599</v>
      </c>
      <c r="N681" s="93" t="s">
        <v>2541</v>
      </c>
      <c r="P681" s="21" t="s">
        <v>2999</v>
      </c>
      <c r="Q681" s="12" t="s">
        <v>2811</v>
      </c>
      <c r="R681">
        <f t="shared" si="30"/>
        <v>1</v>
      </c>
      <c r="U681">
        <v>110666</v>
      </c>
      <c r="V681" t="s">
        <v>2697</v>
      </c>
      <c r="W681" t="e">
        <f>INDEX(#REF!,MATCH($E681,#REF!,0))</f>
        <v>#REF!</v>
      </c>
      <c r="X681" t="e">
        <f>INDEX(#REF!,MATCH($E681,#REF!,0))</f>
        <v>#REF!</v>
      </c>
      <c r="Y681" t="e">
        <f>INDEX(#REF!,MATCH($E681,#REF!,0))</f>
        <v>#REF!</v>
      </c>
      <c r="Z681" t="e">
        <f>INDEX(#REF!,MATCH($E681,#REF!,0))</f>
        <v>#REF!</v>
      </c>
      <c r="AA681" t="e">
        <f>INDEX(#REF!,MATCH($E681,#REF!,0))</f>
        <v>#REF!</v>
      </c>
      <c r="AB681" t="e">
        <f>INDEX(#REF!,MATCH($E681,#REF!,0))</f>
        <v>#REF!</v>
      </c>
      <c r="AC681" t="e">
        <f>INDEX(#REF!,MATCH($E681,#REF!,0))</f>
        <v>#REF!</v>
      </c>
      <c r="AD681" t="e">
        <f>INDEX(#REF!,MATCH($E681,#REF!,0))</f>
        <v>#REF!</v>
      </c>
      <c r="AE681" t="e">
        <f t="shared" si="29"/>
        <v>#REF!</v>
      </c>
    </row>
    <row r="682" spans="2:31" x14ac:dyDescent="0.25">
      <c r="B682" s="45" t="s">
        <v>2828</v>
      </c>
      <c r="C682" s="45" t="s">
        <v>2965</v>
      </c>
      <c r="D682" s="89" t="s">
        <v>2656</v>
      </c>
      <c r="E682" s="89">
        <v>180016</v>
      </c>
      <c r="F682" s="89">
        <v>1220</v>
      </c>
      <c r="G682" s="90">
        <v>15</v>
      </c>
      <c r="H682" s="90">
        <v>4</v>
      </c>
      <c r="I682" s="90" t="s">
        <v>2657</v>
      </c>
      <c r="J682" s="90">
        <v>10000</v>
      </c>
      <c r="K682" s="90">
        <v>0</v>
      </c>
      <c r="L682" s="91"/>
      <c r="M682" s="92" t="s">
        <v>2600</v>
      </c>
      <c r="N682" s="93" t="s">
        <v>2542</v>
      </c>
      <c r="P682" s="21" t="s">
        <v>2999</v>
      </c>
      <c r="Q682" s="12" t="s">
        <v>2811</v>
      </c>
      <c r="R682">
        <f t="shared" si="30"/>
        <v>1</v>
      </c>
      <c r="U682" s="37">
        <v>110676</v>
      </c>
      <c r="V682" t="s">
        <v>2698</v>
      </c>
      <c r="W682" t="e">
        <f>INDEX(#REF!,MATCH($E682,#REF!,0))</f>
        <v>#REF!</v>
      </c>
      <c r="X682" t="e">
        <f>INDEX(#REF!,MATCH($E682,#REF!,0))</f>
        <v>#REF!</v>
      </c>
      <c r="Y682" t="e">
        <f>INDEX(#REF!,MATCH($E682,#REF!,0))</f>
        <v>#REF!</v>
      </c>
      <c r="Z682" t="e">
        <f>INDEX(#REF!,MATCH($E682,#REF!,0))</f>
        <v>#REF!</v>
      </c>
      <c r="AA682" t="e">
        <f>INDEX(#REF!,MATCH($E682,#REF!,0))</f>
        <v>#REF!</v>
      </c>
      <c r="AB682" t="e">
        <f>INDEX(#REF!,MATCH($E682,#REF!,0))</f>
        <v>#REF!</v>
      </c>
      <c r="AC682" t="e">
        <f>INDEX(#REF!,MATCH($E682,#REF!,0))</f>
        <v>#REF!</v>
      </c>
      <c r="AD682" t="e">
        <f>INDEX(#REF!,MATCH($E682,#REF!,0))</f>
        <v>#REF!</v>
      </c>
      <c r="AE682" t="e">
        <f t="shared" si="29"/>
        <v>#REF!</v>
      </c>
    </row>
    <row r="683" spans="2:31" x14ac:dyDescent="0.25">
      <c r="B683" s="45" t="s">
        <v>2829</v>
      </c>
      <c r="C683" s="45" t="s">
        <v>2966</v>
      </c>
      <c r="D683" s="89" t="s">
        <v>2658</v>
      </c>
      <c r="E683" s="89">
        <v>180017</v>
      </c>
      <c r="F683" s="89">
        <v>1220</v>
      </c>
      <c r="G683" s="90">
        <v>16</v>
      </c>
      <c r="H683" s="90">
        <v>4</v>
      </c>
      <c r="I683" s="90" t="s">
        <v>120</v>
      </c>
      <c r="J683" s="90">
        <v>1000</v>
      </c>
      <c r="K683" s="90">
        <v>0</v>
      </c>
      <c r="L683" s="91"/>
      <c r="M683" s="92" t="s">
        <v>2601</v>
      </c>
      <c r="N683" s="93" t="s">
        <v>2543</v>
      </c>
      <c r="P683" s="21" t="s">
        <v>2999</v>
      </c>
      <c r="Q683" s="12" t="s">
        <v>2811</v>
      </c>
      <c r="R683">
        <f t="shared" si="30"/>
        <v>1</v>
      </c>
      <c r="U683" s="37" t="s">
        <v>2680</v>
      </c>
      <c r="V683" t="s">
        <v>2699</v>
      </c>
      <c r="W683" t="e">
        <f>INDEX(#REF!,MATCH($E683,#REF!,0))</f>
        <v>#REF!</v>
      </c>
      <c r="X683" t="e">
        <f>INDEX(#REF!,MATCH($E683,#REF!,0))</f>
        <v>#REF!</v>
      </c>
      <c r="Y683" t="e">
        <f>INDEX(#REF!,MATCH($E683,#REF!,0))</f>
        <v>#REF!</v>
      </c>
      <c r="Z683" t="e">
        <f>INDEX(#REF!,MATCH($E683,#REF!,0))</f>
        <v>#REF!</v>
      </c>
      <c r="AA683" t="e">
        <f>INDEX(#REF!,MATCH($E683,#REF!,0))</f>
        <v>#REF!</v>
      </c>
      <c r="AB683" t="e">
        <f>INDEX(#REF!,MATCH($E683,#REF!,0))</f>
        <v>#REF!</v>
      </c>
      <c r="AC683" t="e">
        <f>INDEX(#REF!,MATCH($E683,#REF!,0))</f>
        <v>#REF!</v>
      </c>
      <c r="AD683" t="e">
        <f>INDEX(#REF!,MATCH($E683,#REF!,0))</f>
        <v>#REF!</v>
      </c>
      <c r="AE683" t="e">
        <f t="shared" si="29"/>
        <v>#REF!</v>
      </c>
    </row>
    <row r="684" spans="2:31" x14ac:dyDescent="0.25">
      <c r="B684" s="45" t="s">
        <v>2830</v>
      </c>
      <c r="C684" s="45" t="s">
        <v>2967</v>
      </c>
      <c r="D684" s="89" t="s">
        <v>2659</v>
      </c>
      <c r="E684" s="89">
        <v>180018</v>
      </c>
      <c r="F684" s="89">
        <v>1220</v>
      </c>
      <c r="G684" s="90">
        <v>17</v>
      </c>
      <c r="H684" s="90">
        <v>4</v>
      </c>
      <c r="I684" s="90" t="s">
        <v>120</v>
      </c>
      <c r="J684" s="90">
        <v>1000</v>
      </c>
      <c r="K684" s="90">
        <v>0</v>
      </c>
      <c r="L684" s="91"/>
      <c r="M684" s="92" t="s">
        <v>2602</v>
      </c>
      <c r="N684" s="93" t="s">
        <v>2544</v>
      </c>
      <c r="P684" s="21" t="s">
        <v>2999</v>
      </c>
      <c r="Q684" s="12" t="s">
        <v>2811</v>
      </c>
      <c r="R684">
        <f t="shared" si="30"/>
        <v>1</v>
      </c>
      <c r="U684" s="37" t="s">
        <v>2680</v>
      </c>
      <c r="V684" t="s">
        <v>2700</v>
      </c>
      <c r="W684" t="e">
        <f>INDEX(#REF!,MATCH($E684,#REF!,0))</f>
        <v>#REF!</v>
      </c>
      <c r="X684" t="e">
        <f>INDEX(#REF!,MATCH($E684,#REF!,0))</f>
        <v>#REF!</v>
      </c>
      <c r="Y684" t="e">
        <f>INDEX(#REF!,MATCH($E684,#REF!,0))</f>
        <v>#REF!</v>
      </c>
      <c r="Z684" t="e">
        <f>INDEX(#REF!,MATCH($E684,#REF!,0))</f>
        <v>#REF!</v>
      </c>
      <c r="AA684" t="e">
        <f>INDEX(#REF!,MATCH($E684,#REF!,0))</f>
        <v>#REF!</v>
      </c>
      <c r="AB684" t="e">
        <f>INDEX(#REF!,MATCH($E684,#REF!,0))</f>
        <v>#REF!</v>
      </c>
      <c r="AC684" t="e">
        <f>INDEX(#REF!,MATCH($E684,#REF!,0))</f>
        <v>#REF!</v>
      </c>
      <c r="AD684" t="e">
        <f>INDEX(#REF!,MATCH($E684,#REF!,0))</f>
        <v>#REF!</v>
      </c>
      <c r="AE684" t="e">
        <f t="shared" si="29"/>
        <v>#REF!</v>
      </c>
    </row>
    <row r="685" spans="2:31" x14ac:dyDescent="0.25">
      <c r="B685" s="45" t="s">
        <v>2831</v>
      </c>
      <c r="C685" s="45" t="s">
        <v>2968</v>
      </c>
      <c r="D685" s="89" t="s">
        <v>2660</v>
      </c>
      <c r="E685" s="89">
        <v>180019</v>
      </c>
      <c r="F685" s="89">
        <v>1220</v>
      </c>
      <c r="G685" s="90">
        <v>18</v>
      </c>
      <c r="H685" s="90">
        <v>4</v>
      </c>
      <c r="I685" s="90" t="s">
        <v>120</v>
      </c>
      <c r="J685" s="90">
        <v>1000</v>
      </c>
      <c r="K685" s="90">
        <v>0</v>
      </c>
      <c r="L685" s="91"/>
      <c r="M685" s="92" t="s">
        <v>2603</v>
      </c>
      <c r="N685" s="93" t="s">
        <v>2545</v>
      </c>
      <c r="P685" s="21" t="s">
        <v>2999</v>
      </c>
      <c r="Q685" s="12" t="s">
        <v>2811</v>
      </c>
      <c r="R685">
        <f t="shared" si="30"/>
        <v>1</v>
      </c>
      <c r="U685" s="37" t="s">
        <v>2680</v>
      </c>
      <c r="V685" t="s">
        <v>2701</v>
      </c>
      <c r="W685" t="e">
        <f>INDEX(#REF!,MATCH($E685,#REF!,0))</f>
        <v>#REF!</v>
      </c>
      <c r="X685" t="e">
        <f>INDEX(#REF!,MATCH($E685,#REF!,0))</f>
        <v>#REF!</v>
      </c>
      <c r="Y685" t="e">
        <f>INDEX(#REF!,MATCH($E685,#REF!,0))</f>
        <v>#REF!</v>
      </c>
      <c r="Z685" t="e">
        <f>INDEX(#REF!,MATCH($E685,#REF!,0))</f>
        <v>#REF!</v>
      </c>
      <c r="AA685" t="e">
        <f>INDEX(#REF!,MATCH($E685,#REF!,0))</f>
        <v>#REF!</v>
      </c>
      <c r="AB685" t="e">
        <f>INDEX(#REF!,MATCH($E685,#REF!,0))</f>
        <v>#REF!</v>
      </c>
      <c r="AC685" t="e">
        <f>INDEX(#REF!,MATCH($E685,#REF!,0))</f>
        <v>#REF!</v>
      </c>
      <c r="AD685" t="e">
        <f>INDEX(#REF!,MATCH($E685,#REF!,0))</f>
        <v>#REF!</v>
      </c>
      <c r="AE685" t="e">
        <f t="shared" si="29"/>
        <v>#REF!</v>
      </c>
    </row>
    <row r="686" spans="2:31" x14ac:dyDescent="0.25">
      <c r="B686" s="45" t="s">
        <v>2832</v>
      </c>
      <c r="C686" s="45" t="s">
        <v>2969</v>
      </c>
      <c r="D686" s="89" t="s">
        <v>2661</v>
      </c>
      <c r="E686" s="89">
        <v>180020</v>
      </c>
      <c r="F686" s="89">
        <v>1220</v>
      </c>
      <c r="G686" s="90">
        <v>19</v>
      </c>
      <c r="H686" s="90">
        <v>4</v>
      </c>
      <c r="I686" s="90" t="s">
        <v>120</v>
      </c>
      <c r="J686" s="90">
        <v>1000</v>
      </c>
      <c r="K686" s="90">
        <v>0</v>
      </c>
      <c r="L686" s="91"/>
      <c r="M686" s="92" t="s">
        <v>2604</v>
      </c>
      <c r="N686" s="93" t="s">
        <v>2546</v>
      </c>
      <c r="P686" s="21" t="s">
        <v>2999</v>
      </c>
      <c r="Q686" s="12" t="s">
        <v>2811</v>
      </c>
      <c r="R686">
        <f t="shared" si="30"/>
        <v>1</v>
      </c>
      <c r="U686" s="37" t="s">
        <v>2680</v>
      </c>
      <c r="V686" t="s">
        <v>2702</v>
      </c>
      <c r="W686" t="e">
        <f>INDEX(#REF!,MATCH($E686,#REF!,0))</f>
        <v>#REF!</v>
      </c>
      <c r="X686" t="e">
        <f>INDEX(#REF!,MATCH($E686,#REF!,0))</f>
        <v>#REF!</v>
      </c>
      <c r="Y686" t="e">
        <f>INDEX(#REF!,MATCH($E686,#REF!,0))</f>
        <v>#REF!</v>
      </c>
      <c r="Z686" t="e">
        <f>INDEX(#REF!,MATCH($E686,#REF!,0))</f>
        <v>#REF!</v>
      </c>
      <c r="AA686" t="e">
        <f>INDEX(#REF!,MATCH($E686,#REF!,0))</f>
        <v>#REF!</v>
      </c>
      <c r="AB686" t="e">
        <f>INDEX(#REF!,MATCH($E686,#REF!,0))</f>
        <v>#REF!</v>
      </c>
      <c r="AC686" t="e">
        <f>INDEX(#REF!,MATCH($E686,#REF!,0))</f>
        <v>#REF!</v>
      </c>
      <c r="AD686" t="e">
        <f>INDEX(#REF!,MATCH($E686,#REF!,0))</f>
        <v>#REF!</v>
      </c>
      <c r="AE686" t="e">
        <f t="shared" si="29"/>
        <v>#REF!</v>
      </c>
    </row>
    <row r="687" spans="2:31" x14ac:dyDescent="0.25">
      <c r="B687" s="45" t="s">
        <v>2833</v>
      </c>
      <c r="C687" s="45" t="s">
        <v>2970</v>
      </c>
      <c r="D687" s="89" t="s">
        <v>2662</v>
      </c>
      <c r="E687" s="89">
        <v>180021</v>
      </c>
      <c r="F687" s="89">
        <v>1220</v>
      </c>
      <c r="G687" s="90">
        <v>20</v>
      </c>
      <c r="H687" s="90">
        <v>4</v>
      </c>
      <c r="I687" s="90" t="s">
        <v>120</v>
      </c>
      <c r="J687" s="90">
        <v>1000</v>
      </c>
      <c r="K687" s="90">
        <v>0</v>
      </c>
      <c r="L687" s="91"/>
      <c r="M687" s="92" t="s">
        <v>2605</v>
      </c>
      <c r="N687" s="93" t="s">
        <v>2547</v>
      </c>
      <c r="P687" s="21" t="s">
        <v>2999</v>
      </c>
      <c r="Q687" s="12" t="s">
        <v>2811</v>
      </c>
      <c r="R687">
        <f t="shared" si="30"/>
        <v>1</v>
      </c>
      <c r="U687" s="37" t="s">
        <v>2680</v>
      </c>
      <c r="V687" t="s">
        <v>2703</v>
      </c>
      <c r="W687" t="e">
        <f>INDEX(#REF!,MATCH($E687,#REF!,0))</f>
        <v>#REF!</v>
      </c>
      <c r="X687" t="e">
        <f>INDEX(#REF!,MATCH($E687,#REF!,0))</f>
        <v>#REF!</v>
      </c>
      <c r="Y687" t="e">
        <f>INDEX(#REF!,MATCH($E687,#REF!,0))</f>
        <v>#REF!</v>
      </c>
      <c r="Z687" t="e">
        <f>INDEX(#REF!,MATCH($E687,#REF!,0))</f>
        <v>#REF!</v>
      </c>
      <c r="AA687" t="e">
        <f>INDEX(#REF!,MATCH($E687,#REF!,0))</f>
        <v>#REF!</v>
      </c>
      <c r="AB687" t="e">
        <f>INDEX(#REF!,MATCH($E687,#REF!,0))</f>
        <v>#REF!</v>
      </c>
      <c r="AC687" t="e">
        <f>INDEX(#REF!,MATCH($E687,#REF!,0))</f>
        <v>#REF!</v>
      </c>
      <c r="AD687" t="e">
        <f>INDEX(#REF!,MATCH($E687,#REF!,0))</f>
        <v>#REF!</v>
      </c>
      <c r="AE687" t="e">
        <f t="shared" si="29"/>
        <v>#REF!</v>
      </c>
    </row>
    <row r="688" spans="2:31" x14ac:dyDescent="0.25">
      <c r="B688" s="45" t="s">
        <v>2834</v>
      </c>
      <c r="C688" s="45" t="s">
        <v>2971</v>
      </c>
      <c r="D688" s="89" t="s">
        <v>2663</v>
      </c>
      <c r="E688" s="89">
        <v>180022</v>
      </c>
      <c r="F688" s="89">
        <v>1220</v>
      </c>
      <c r="G688" s="90">
        <v>21</v>
      </c>
      <c r="H688" s="90">
        <v>4</v>
      </c>
      <c r="I688" s="90" t="s">
        <v>18</v>
      </c>
      <c r="J688" s="90">
        <v>1</v>
      </c>
      <c r="K688" s="90">
        <v>0</v>
      </c>
      <c r="L688" s="91"/>
      <c r="M688" s="92" t="s">
        <v>2606</v>
      </c>
      <c r="N688" s="93" t="s">
        <v>2548</v>
      </c>
      <c r="P688" s="21" t="s">
        <v>2999</v>
      </c>
      <c r="Q688" s="12" t="s">
        <v>2811</v>
      </c>
      <c r="R688">
        <f t="shared" si="30"/>
        <v>1</v>
      </c>
      <c r="U688" s="37"/>
      <c r="V688" t="s">
        <v>2704</v>
      </c>
      <c r="W688" t="e">
        <f>INDEX(#REF!,MATCH($E688,#REF!,0))</f>
        <v>#REF!</v>
      </c>
      <c r="X688" t="e">
        <f>INDEX(#REF!,MATCH($E688,#REF!,0))</f>
        <v>#REF!</v>
      </c>
      <c r="Y688" t="e">
        <f>INDEX(#REF!,MATCH($E688,#REF!,0))</f>
        <v>#REF!</v>
      </c>
      <c r="Z688" t="e">
        <f>INDEX(#REF!,MATCH($E688,#REF!,0))</f>
        <v>#REF!</v>
      </c>
      <c r="AA688" t="e">
        <f>INDEX(#REF!,MATCH($E688,#REF!,0))</f>
        <v>#REF!</v>
      </c>
      <c r="AB688" t="e">
        <f>INDEX(#REF!,MATCH($E688,#REF!,0))</f>
        <v>#REF!</v>
      </c>
      <c r="AC688" t="e">
        <f>INDEX(#REF!,MATCH($E688,#REF!,0))</f>
        <v>#REF!</v>
      </c>
      <c r="AD688" t="e">
        <f>INDEX(#REF!,MATCH($E688,#REF!,0))</f>
        <v>#REF!</v>
      </c>
      <c r="AE688" t="e">
        <f t="shared" si="29"/>
        <v>#REF!</v>
      </c>
    </row>
    <row r="689" spans="2:31" x14ac:dyDescent="0.25">
      <c r="B689" s="45" t="s">
        <v>2835</v>
      </c>
      <c r="C689" s="45" t="s">
        <v>2972</v>
      </c>
      <c r="D689" s="89" t="s">
        <v>2664</v>
      </c>
      <c r="E689" s="89">
        <v>180023</v>
      </c>
      <c r="F689" s="89">
        <v>1220</v>
      </c>
      <c r="G689" s="90">
        <v>22</v>
      </c>
      <c r="H689" s="90">
        <v>4</v>
      </c>
      <c r="I689" s="90" t="s">
        <v>18</v>
      </c>
      <c r="J689" s="90">
        <v>1</v>
      </c>
      <c r="K689" s="90">
        <v>0</v>
      </c>
      <c r="L689" s="91"/>
      <c r="M689" s="92" t="s">
        <v>2607</v>
      </c>
      <c r="N689" s="93" t="s">
        <v>2549</v>
      </c>
      <c r="P689" s="21" t="s">
        <v>2999</v>
      </c>
      <c r="Q689" s="12" t="s">
        <v>2811</v>
      </c>
      <c r="R689">
        <f t="shared" si="30"/>
        <v>1</v>
      </c>
      <c r="U689" s="37"/>
      <c r="V689" t="s">
        <v>2705</v>
      </c>
      <c r="W689" t="e">
        <f>INDEX(#REF!,MATCH($E689,#REF!,0))</f>
        <v>#REF!</v>
      </c>
      <c r="X689" t="e">
        <f>INDEX(#REF!,MATCH($E689,#REF!,0))</f>
        <v>#REF!</v>
      </c>
      <c r="Y689" t="e">
        <f>INDEX(#REF!,MATCH($E689,#REF!,0))</f>
        <v>#REF!</v>
      </c>
      <c r="Z689" t="e">
        <f>INDEX(#REF!,MATCH($E689,#REF!,0))</f>
        <v>#REF!</v>
      </c>
      <c r="AA689" t="e">
        <f>INDEX(#REF!,MATCH($E689,#REF!,0))</f>
        <v>#REF!</v>
      </c>
      <c r="AB689" t="e">
        <f>INDEX(#REF!,MATCH($E689,#REF!,0))</f>
        <v>#REF!</v>
      </c>
      <c r="AC689" t="e">
        <f>INDEX(#REF!,MATCH($E689,#REF!,0))</f>
        <v>#REF!</v>
      </c>
      <c r="AD689" t="e">
        <f>INDEX(#REF!,MATCH($E689,#REF!,0))</f>
        <v>#REF!</v>
      </c>
      <c r="AE689" t="e">
        <f t="shared" si="29"/>
        <v>#REF!</v>
      </c>
    </row>
    <row r="690" spans="2:31" x14ac:dyDescent="0.25">
      <c r="B690" s="45" t="s">
        <v>2836</v>
      </c>
      <c r="C690" s="45" t="s">
        <v>2973</v>
      </c>
      <c r="D690" s="89" t="s">
        <v>2665</v>
      </c>
      <c r="E690" s="89">
        <v>180024</v>
      </c>
      <c r="F690" s="89">
        <v>1220</v>
      </c>
      <c r="G690" s="90">
        <v>23</v>
      </c>
      <c r="H690" s="90">
        <v>4</v>
      </c>
      <c r="I690" s="90" t="s">
        <v>18</v>
      </c>
      <c r="J690" s="90">
        <v>1</v>
      </c>
      <c r="K690" s="90">
        <v>0</v>
      </c>
      <c r="L690" s="91"/>
      <c r="M690" s="92" t="s">
        <v>2608</v>
      </c>
      <c r="N690" s="93" t="s">
        <v>2550</v>
      </c>
      <c r="P690" s="21" t="s">
        <v>2999</v>
      </c>
      <c r="Q690" s="12" t="s">
        <v>2811</v>
      </c>
      <c r="R690">
        <f t="shared" si="30"/>
        <v>1</v>
      </c>
      <c r="U690" s="37"/>
      <c r="V690" t="s">
        <v>2706</v>
      </c>
      <c r="W690" t="e">
        <f>INDEX(#REF!,MATCH($E690,#REF!,0))</f>
        <v>#REF!</v>
      </c>
      <c r="X690" t="e">
        <f>INDEX(#REF!,MATCH($E690,#REF!,0))</f>
        <v>#REF!</v>
      </c>
      <c r="Y690" t="e">
        <f>INDEX(#REF!,MATCH($E690,#REF!,0))</f>
        <v>#REF!</v>
      </c>
      <c r="Z690" t="e">
        <f>INDEX(#REF!,MATCH($E690,#REF!,0))</f>
        <v>#REF!</v>
      </c>
      <c r="AA690" t="e">
        <f>INDEX(#REF!,MATCH($E690,#REF!,0))</f>
        <v>#REF!</v>
      </c>
      <c r="AB690" t="e">
        <f>INDEX(#REF!,MATCH($E690,#REF!,0))</f>
        <v>#REF!</v>
      </c>
      <c r="AC690" t="e">
        <f>INDEX(#REF!,MATCH($E690,#REF!,0))</f>
        <v>#REF!</v>
      </c>
      <c r="AD690" t="e">
        <f>INDEX(#REF!,MATCH($E690,#REF!,0))</f>
        <v>#REF!</v>
      </c>
      <c r="AE690" t="e">
        <f t="shared" si="29"/>
        <v>#REF!</v>
      </c>
    </row>
    <row r="691" spans="2:31" x14ac:dyDescent="0.25">
      <c r="B691" s="45" t="s">
        <v>2749</v>
      </c>
      <c r="C691" s="45" t="s">
        <v>2974</v>
      </c>
      <c r="D691" s="89" t="s">
        <v>2666</v>
      </c>
      <c r="E691" s="89">
        <v>180025</v>
      </c>
      <c r="F691" s="89">
        <v>1220</v>
      </c>
      <c r="G691" s="90">
        <v>24</v>
      </c>
      <c r="H691" s="90">
        <v>4</v>
      </c>
      <c r="I691" s="90" t="s">
        <v>207</v>
      </c>
      <c r="J691" s="90">
        <v>1000</v>
      </c>
      <c r="K691" s="90">
        <v>0</v>
      </c>
      <c r="L691" s="91"/>
      <c r="M691" s="92" t="s">
        <v>2609</v>
      </c>
      <c r="N691" s="93" t="s">
        <v>2551</v>
      </c>
      <c r="P691" s="21" t="s">
        <v>2999</v>
      </c>
      <c r="Q691" s="12" t="s">
        <v>2811</v>
      </c>
      <c r="R691">
        <f t="shared" si="30"/>
        <v>1</v>
      </c>
      <c r="U691" s="37"/>
      <c r="V691" t="s">
        <v>2707</v>
      </c>
      <c r="W691" t="e">
        <f>INDEX(#REF!,MATCH($E691,#REF!,0))</f>
        <v>#REF!</v>
      </c>
      <c r="X691" t="e">
        <f>INDEX(#REF!,MATCH($E691,#REF!,0))</f>
        <v>#REF!</v>
      </c>
      <c r="Y691" t="e">
        <f>INDEX(#REF!,MATCH($E691,#REF!,0))</f>
        <v>#REF!</v>
      </c>
      <c r="Z691" t="e">
        <f>INDEX(#REF!,MATCH($E691,#REF!,0))</f>
        <v>#REF!</v>
      </c>
      <c r="AA691" t="e">
        <f>INDEX(#REF!,MATCH($E691,#REF!,0))</f>
        <v>#REF!</v>
      </c>
      <c r="AB691" t="e">
        <f>INDEX(#REF!,MATCH($E691,#REF!,0))</f>
        <v>#REF!</v>
      </c>
      <c r="AC691" t="e">
        <f>INDEX(#REF!,MATCH($E691,#REF!,0))</f>
        <v>#REF!</v>
      </c>
      <c r="AD691" t="e">
        <f>INDEX(#REF!,MATCH($E691,#REF!,0))</f>
        <v>#REF!</v>
      </c>
      <c r="AE691" t="e">
        <f t="shared" si="29"/>
        <v>#REF!</v>
      </c>
    </row>
    <row r="692" spans="2:31" x14ac:dyDescent="0.25">
      <c r="B692" s="45" t="s">
        <v>2552</v>
      </c>
      <c r="C692" s="45" t="s">
        <v>2975</v>
      </c>
      <c r="D692" s="89" t="s">
        <v>2667</v>
      </c>
      <c r="E692" s="89">
        <v>180026</v>
      </c>
      <c r="F692" s="89">
        <v>1221</v>
      </c>
      <c r="G692" s="90">
        <v>0</v>
      </c>
      <c r="H692" s="90">
        <v>4</v>
      </c>
      <c r="I692" s="90" t="s">
        <v>210</v>
      </c>
      <c r="J692" s="90">
        <v>100</v>
      </c>
      <c r="K692" s="90">
        <v>0</v>
      </c>
      <c r="L692" s="91"/>
      <c r="M692" s="92" t="s">
        <v>2610</v>
      </c>
      <c r="N692" s="93" t="s">
        <v>2552</v>
      </c>
      <c r="P692" s="21" t="s">
        <v>2999</v>
      </c>
      <c r="Q692" s="12" t="s">
        <v>2811</v>
      </c>
      <c r="R692">
        <f t="shared" si="30"/>
        <v>1</v>
      </c>
      <c r="U692" s="37"/>
      <c r="V692" t="s">
        <v>2708</v>
      </c>
      <c r="W692" t="e">
        <f>INDEX(#REF!,MATCH($E692,#REF!,0))</f>
        <v>#REF!</v>
      </c>
      <c r="X692" t="e">
        <f>INDEX(#REF!,MATCH($E692,#REF!,0))</f>
        <v>#REF!</v>
      </c>
      <c r="Y692" t="e">
        <f>INDEX(#REF!,MATCH($E692,#REF!,0))</f>
        <v>#REF!</v>
      </c>
      <c r="Z692" t="e">
        <f>INDEX(#REF!,MATCH($E692,#REF!,0))</f>
        <v>#REF!</v>
      </c>
      <c r="AA692" t="e">
        <f>INDEX(#REF!,MATCH($E692,#REF!,0))</f>
        <v>#REF!</v>
      </c>
      <c r="AB692" t="e">
        <f>INDEX(#REF!,MATCH($E692,#REF!,0))</f>
        <v>#REF!</v>
      </c>
      <c r="AC692" t="e">
        <f>INDEX(#REF!,MATCH($E692,#REF!,0))</f>
        <v>#REF!</v>
      </c>
      <c r="AD692" t="e">
        <f>INDEX(#REF!,MATCH($E692,#REF!,0))</f>
        <v>#REF!</v>
      </c>
      <c r="AE692" t="e">
        <f t="shared" si="29"/>
        <v>#REF!</v>
      </c>
    </row>
    <row r="693" spans="2:31" x14ac:dyDescent="0.25">
      <c r="B693" s="45" t="s">
        <v>2837</v>
      </c>
      <c r="C693" s="45" t="s">
        <v>2976</v>
      </c>
      <c r="D693" s="89"/>
      <c r="E693" s="89">
        <v>180028</v>
      </c>
      <c r="F693" s="89">
        <v>1221</v>
      </c>
      <c r="G693" s="90">
        <v>1</v>
      </c>
      <c r="H693" s="90">
        <v>4</v>
      </c>
      <c r="I693" s="90" t="s">
        <v>222</v>
      </c>
      <c r="J693" s="90">
        <v>1000</v>
      </c>
      <c r="K693" s="90">
        <v>0</v>
      </c>
      <c r="L693" s="91"/>
      <c r="M693" s="92" t="s">
        <v>2611</v>
      </c>
      <c r="N693" s="93" t="s">
        <v>2553</v>
      </c>
      <c r="P693" s="21" t="s">
        <v>2999</v>
      </c>
      <c r="Q693" s="12" t="s">
        <v>2811</v>
      </c>
      <c r="R693">
        <f t="shared" si="30"/>
        <v>1</v>
      </c>
      <c r="U693" s="37">
        <v>110682</v>
      </c>
      <c r="V693" t="s">
        <v>2709</v>
      </c>
      <c r="W693" t="e">
        <f>INDEX(#REF!,MATCH($E693,#REF!,0))</f>
        <v>#REF!</v>
      </c>
      <c r="X693" t="e">
        <f>INDEX(#REF!,MATCH($E693,#REF!,0))</f>
        <v>#REF!</v>
      </c>
      <c r="Y693" t="e">
        <f>INDEX(#REF!,MATCH($E693,#REF!,0))</f>
        <v>#REF!</v>
      </c>
      <c r="Z693" t="e">
        <f>INDEX(#REF!,MATCH($E693,#REF!,0))</f>
        <v>#REF!</v>
      </c>
      <c r="AA693" t="e">
        <f>INDEX(#REF!,MATCH($E693,#REF!,0))</f>
        <v>#REF!</v>
      </c>
      <c r="AB693" t="e">
        <f>INDEX(#REF!,MATCH($E693,#REF!,0))</f>
        <v>#REF!</v>
      </c>
      <c r="AC693" t="e">
        <f>INDEX(#REF!,MATCH($E693,#REF!,0))</f>
        <v>#REF!</v>
      </c>
      <c r="AD693" t="e">
        <f>INDEX(#REF!,MATCH($E693,#REF!,0))</f>
        <v>#REF!</v>
      </c>
      <c r="AE693" t="e">
        <f t="shared" si="29"/>
        <v>#REF!</v>
      </c>
    </row>
    <row r="694" spans="2:31" x14ac:dyDescent="0.25">
      <c r="B694" s="45" t="s">
        <v>3241</v>
      </c>
      <c r="C694" s="45" t="s">
        <v>2977</v>
      </c>
      <c r="D694" s="89" t="s">
        <v>2668</v>
      </c>
      <c r="E694" s="89">
        <v>180212</v>
      </c>
      <c r="F694" s="89">
        <v>1221</v>
      </c>
      <c r="G694" s="90">
        <v>2</v>
      </c>
      <c r="H694" s="90">
        <v>4</v>
      </c>
      <c r="I694" s="90" t="s">
        <v>26</v>
      </c>
      <c r="J694" s="90">
        <v>1</v>
      </c>
      <c r="K694" s="90" t="s">
        <v>2511</v>
      </c>
      <c r="L694" s="91"/>
      <c r="M694" s="92" t="s">
        <v>2612</v>
      </c>
      <c r="N694" s="93" t="s">
        <v>2554</v>
      </c>
      <c r="P694" s="21" t="s">
        <v>2999</v>
      </c>
      <c r="Q694" s="12" t="s">
        <v>2811</v>
      </c>
      <c r="R694">
        <f t="shared" si="30"/>
        <v>1</v>
      </c>
      <c r="U694" s="37"/>
      <c r="V694" t="s">
        <v>2710</v>
      </c>
      <c r="W694" t="e">
        <f>INDEX(#REF!,MATCH($E694,#REF!,0))</f>
        <v>#REF!</v>
      </c>
      <c r="X694" t="e">
        <f>INDEX(#REF!,MATCH($E694,#REF!,0))</f>
        <v>#REF!</v>
      </c>
      <c r="Y694" t="e">
        <f>INDEX(#REF!,MATCH($E694,#REF!,0))</f>
        <v>#REF!</v>
      </c>
      <c r="Z694" t="e">
        <f>INDEX(#REF!,MATCH($E694,#REF!,0))</f>
        <v>#REF!</v>
      </c>
      <c r="AA694" t="e">
        <f>INDEX(#REF!,MATCH($E694,#REF!,0))</f>
        <v>#REF!</v>
      </c>
      <c r="AB694" t="e">
        <f>INDEX(#REF!,MATCH($E694,#REF!,0))</f>
        <v>#REF!</v>
      </c>
      <c r="AC694" t="e">
        <f>INDEX(#REF!,MATCH($E694,#REF!,0))</f>
        <v>#REF!</v>
      </c>
      <c r="AD694" t="e">
        <f>INDEX(#REF!,MATCH($E694,#REF!,0))</f>
        <v>#REF!</v>
      </c>
      <c r="AE694" t="e">
        <f t="shared" si="29"/>
        <v>#REF!</v>
      </c>
    </row>
    <row r="695" spans="2:31" x14ac:dyDescent="0.25">
      <c r="B695" s="45" t="s">
        <v>2839</v>
      </c>
      <c r="C695" s="45" t="s">
        <v>2978</v>
      </c>
      <c r="D695" s="89" t="s">
        <v>2669</v>
      </c>
      <c r="E695" s="89">
        <v>180035</v>
      </c>
      <c r="F695" s="89">
        <v>1221</v>
      </c>
      <c r="G695" s="90">
        <v>8</v>
      </c>
      <c r="H695" s="90">
        <v>4</v>
      </c>
      <c r="I695" s="90" t="s">
        <v>18</v>
      </c>
      <c r="J695" s="90">
        <v>1</v>
      </c>
      <c r="K695" s="90">
        <v>0</v>
      </c>
      <c r="L695" s="91"/>
      <c r="M695" s="92" t="s">
        <v>2613</v>
      </c>
      <c r="N695" s="93" t="s">
        <v>2555</v>
      </c>
      <c r="P695" s="21" t="s">
        <v>2999</v>
      </c>
      <c r="Q695" s="12" t="s">
        <v>2811</v>
      </c>
      <c r="R695">
        <f t="shared" si="30"/>
        <v>1</v>
      </c>
      <c r="U695" s="37"/>
      <c r="V695" t="s">
        <v>2711</v>
      </c>
      <c r="W695" t="e">
        <f>INDEX(#REF!,MATCH($E695,#REF!,0))</f>
        <v>#REF!</v>
      </c>
      <c r="X695" t="e">
        <f>INDEX(#REF!,MATCH($E695,#REF!,0))</f>
        <v>#REF!</v>
      </c>
      <c r="Y695" t="e">
        <f>INDEX(#REF!,MATCH($E695,#REF!,0))</f>
        <v>#REF!</v>
      </c>
      <c r="Z695" t="e">
        <f>INDEX(#REF!,MATCH($E695,#REF!,0))</f>
        <v>#REF!</v>
      </c>
      <c r="AA695" t="e">
        <f>INDEX(#REF!,MATCH($E695,#REF!,0))</f>
        <v>#REF!</v>
      </c>
      <c r="AB695" t="e">
        <f>INDEX(#REF!,MATCH($E695,#REF!,0))</f>
        <v>#REF!</v>
      </c>
      <c r="AC695" t="e">
        <f>INDEX(#REF!,MATCH($E695,#REF!,0))</f>
        <v>#REF!</v>
      </c>
      <c r="AD695" t="e">
        <f>INDEX(#REF!,MATCH($E695,#REF!,0))</f>
        <v>#REF!</v>
      </c>
      <c r="AE695" t="e">
        <f t="shared" si="29"/>
        <v>#REF!</v>
      </c>
    </row>
    <row r="696" spans="2:31" x14ac:dyDescent="0.25">
      <c r="B696" s="45" t="s">
        <v>2840</v>
      </c>
      <c r="C696" s="45" t="s">
        <v>2979</v>
      </c>
      <c r="D696" s="89" t="s">
        <v>2670</v>
      </c>
      <c r="E696" s="89">
        <v>180036</v>
      </c>
      <c r="F696" s="89">
        <v>1221</v>
      </c>
      <c r="G696" s="90">
        <v>9</v>
      </c>
      <c r="H696" s="90">
        <v>4</v>
      </c>
      <c r="I696" s="90" t="s">
        <v>18</v>
      </c>
      <c r="J696" s="90">
        <v>1</v>
      </c>
      <c r="K696" s="90">
        <v>0</v>
      </c>
      <c r="L696" s="91"/>
      <c r="M696" s="92" t="s">
        <v>2614</v>
      </c>
      <c r="N696" s="93" t="s">
        <v>2556</v>
      </c>
      <c r="P696" s="21" t="s">
        <v>2999</v>
      </c>
      <c r="Q696" s="12" t="s">
        <v>2811</v>
      </c>
      <c r="R696">
        <f t="shared" si="30"/>
        <v>1</v>
      </c>
      <c r="U696" s="37"/>
      <c r="V696" t="s">
        <v>2712</v>
      </c>
      <c r="W696" t="e">
        <f>INDEX(#REF!,MATCH($E696,#REF!,0))</f>
        <v>#REF!</v>
      </c>
      <c r="X696" t="e">
        <f>INDEX(#REF!,MATCH($E696,#REF!,0))</f>
        <v>#REF!</v>
      </c>
      <c r="Y696" t="e">
        <f>INDEX(#REF!,MATCH($E696,#REF!,0))</f>
        <v>#REF!</v>
      </c>
      <c r="Z696" t="e">
        <f>INDEX(#REF!,MATCH($E696,#REF!,0))</f>
        <v>#REF!</v>
      </c>
      <c r="AA696" t="e">
        <f>INDEX(#REF!,MATCH($E696,#REF!,0))</f>
        <v>#REF!</v>
      </c>
      <c r="AB696" t="e">
        <f>INDEX(#REF!,MATCH($E696,#REF!,0))</f>
        <v>#REF!</v>
      </c>
      <c r="AC696" t="e">
        <f>INDEX(#REF!,MATCH($E696,#REF!,0))</f>
        <v>#REF!</v>
      </c>
      <c r="AD696" t="e">
        <f>INDEX(#REF!,MATCH($E696,#REF!,0))</f>
        <v>#REF!</v>
      </c>
      <c r="AE696" t="e">
        <f t="shared" si="29"/>
        <v>#REF!</v>
      </c>
    </row>
    <row r="697" spans="2:31" x14ac:dyDescent="0.25">
      <c r="B697" s="45" t="s">
        <v>2841</v>
      </c>
      <c r="C697" s="45" t="s">
        <v>2980</v>
      </c>
      <c r="D697" s="89" t="s">
        <v>2671</v>
      </c>
      <c r="E697" s="89">
        <v>180031</v>
      </c>
      <c r="F697" s="89">
        <v>1221</v>
      </c>
      <c r="G697" s="90">
        <v>5</v>
      </c>
      <c r="H697" s="90">
        <v>4</v>
      </c>
      <c r="I697" s="90" t="s">
        <v>18</v>
      </c>
      <c r="J697" s="90">
        <v>1</v>
      </c>
      <c r="K697" s="90">
        <v>0</v>
      </c>
      <c r="L697" s="91"/>
      <c r="M697" s="92" t="s">
        <v>2615</v>
      </c>
      <c r="N697" s="93" t="s">
        <v>2557</v>
      </c>
      <c r="P697" s="21" t="s">
        <v>2999</v>
      </c>
      <c r="Q697" s="12" t="s">
        <v>2811</v>
      </c>
      <c r="R697">
        <f t="shared" si="30"/>
        <v>1</v>
      </c>
      <c r="U697" s="37"/>
      <c r="V697" t="s">
        <v>2713</v>
      </c>
      <c r="W697" t="e">
        <f>INDEX(#REF!,MATCH($E697,#REF!,0))</f>
        <v>#REF!</v>
      </c>
      <c r="X697" t="e">
        <f>INDEX(#REF!,MATCH($E697,#REF!,0))</f>
        <v>#REF!</v>
      </c>
      <c r="Y697" t="e">
        <f>INDEX(#REF!,MATCH($E697,#REF!,0))</f>
        <v>#REF!</v>
      </c>
      <c r="Z697" t="e">
        <f>INDEX(#REF!,MATCH($E697,#REF!,0))</f>
        <v>#REF!</v>
      </c>
      <c r="AA697" t="e">
        <f>INDEX(#REF!,MATCH($E697,#REF!,0))</f>
        <v>#REF!</v>
      </c>
      <c r="AB697" t="e">
        <f>INDEX(#REF!,MATCH($E697,#REF!,0))</f>
        <v>#REF!</v>
      </c>
      <c r="AC697" t="e">
        <f>INDEX(#REF!,MATCH($E697,#REF!,0))</f>
        <v>#REF!</v>
      </c>
      <c r="AD697" t="e">
        <f>INDEX(#REF!,MATCH($E697,#REF!,0))</f>
        <v>#REF!</v>
      </c>
      <c r="AE697" t="e">
        <f t="shared" si="29"/>
        <v>#REF!</v>
      </c>
    </row>
    <row r="698" spans="2:31" x14ac:dyDescent="0.25">
      <c r="B698" s="45" t="s">
        <v>2842</v>
      </c>
      <c r="C698" s="45" t="s">
        <v>2981</v>
      </c>
      <c r="D698" s="89" t="s">
        <v>2672</v>
      </c>
      <c r="E698" s="89">
        <v>180032</v>
      </c>
      <c r="F698" s="89">
        <v>1221</v>
      </c>
      <c r="G698" s="90">
        <v>10</v>
      </c>
      <c r="H698" s="90">
        <v>4</v>
      </c>
      <c r="I698" s="90" t="s">
        <v>147</v>
      </c>
      <c r="J698" s="90">
        <v>100000</v>
      </c>
      <c r="K698" s="90">
        <v>0</v>
      </c>
      <c r="L698" s="91"/>
      <c r="M698" s="92" t="s">
        <v>2616</v>
      </c>
      <c r="N698" s="93" t="s">
        <v>2558</v>
      </c>
      <c r="P698" s="21" t="s">
        <v>2999</v>
      </c>
      <c r="Q698" s="12" t="s">
        <v>2811</v>
      </c>
      <c r="R698">
        <f t="shared" si="30"/>
        <v>1</v>
      </c>
      <c r="U698" s="68" t="s">
        <v>2679</v>
      </c>
      <c r="V698" t="s">
        <v>2714</v>
      </c>
      <c r="W698" t="e">
        <f>INDEX(#REF!,MATCH($E698,#REF!,0))</f>
        <v>#REF!</v>
      </c>
      <c r="X698" t="e">
        <f>INDEX(#REF!,MATCH($E698,#REF!,0))</f>
        <v>#REF!</v>
      </c>
      <c r="Y698" t="e">
        <f>INDEX(#REF!,MATCH($E698,#REF!,0))</f>
        <v>#REF!</v>
      </c>
      <c r="Z698" t="e">
        <f>INDEX(#REF!,MATCH($E698,#REF!,0))</f>
        <v>#REF!</v>
      </c>
      <c r="AA698" t="e">
        <f>INDEX(#REF!,MATCH($E698,#REF!,0))</f>
        <v>#REF!</v>
      </c>
      <c r="AB698" t="e">
        <f>INDEX(#REF!,MATCH($E698,#REF!,0))</f>
        <v>#REF!</v>
      </c>
      <c r="AC698" t="e">
        <f>INDEX(#REF!,MATCH($E698,#REF!,0))</f>
        <v>#REF!</v>
      </c>
      <c r="AD698" t="e">
        <f>INDEX(#REF!,MATCH($E698,#REF!,0))</f>
        <v>#REF!</v>
      </c>
      <c r="AE698" t="e">
        <f t="shared" si="29"/>
        <v>#REF!</v>
      </c>
    </row>
    <row r="699" spans="2:31" x14ac:dyDescent="0.25">
      <c r="B699" s="45" t="s">
        <v>2843</v>
      </c>
      <c r="C699" s="45" t="s">
        <v>3035</v>
      </c>
      <c r="D699" s="89" t="s">
        <v>2209</v>
      </c>
      <c r="E699" s="89">
        <v>180037</v>
      </c>
      <c r="F699" s="89">
        <v>1221</v>
      </c>
      <c r="G699" s="90">
        <v>11</v>
      </c>
      <c r="H699" s="90">
        <v>4</v>
      </c>
      <c r="I699" s="90" t="s">
        <v>210</v>
      </c>
      <c r="J699" s="90">
        <v>100</v>
      </c>
      <c r="K699" s="90">
        <v>0</v>
      </c>
      <c r="L699" s="91"/>
      <c r="M699" s="92" t="s">
        <v>2617</v>
      </c>
      <c r="N699" s="93" t="s">
        <v>2559</v>
      </c>
      <c r="P699" s="21" t="s">
        <v>2999</v>
      </c>
      <c r="Q699" s="12" t="s">
        <v>2811</v>
      </c>
      <c r="R699">
        <f t="shared" si="30"/>
        <v>1</v>
      </c>
      <c r="U699" s="37">
        <v>110663</v>
      </c>
      <c r="V699" t="s">
        <v>2715</v>
      </c>
      <c r="W699" t="e">
        <f>INDEX(#REF!,MATCH($E699,#REF!,0))</f>
        <v>#REF!</v>
      </c>
      <c r="X699" t="e">
        <f>INDEX(#REF!,MATCH($E699,#REF!,0))</f>
        <v>#REF!</v>
      </c>
      <c r="Y699" t="e">
        <f>INDEX(#REF!,MATCH($E699,#REF!,0))</f>
        <v>#REF!</v>
      </c>
      <c r="Z699" t="e">
        <f>INDEX(#REF!,MATCH($E699,#REF!,0))</f>
        <v>#REF!</v>
      </c>
      <c r="AA699" t="e">
        <f>INDEX(#REF!,MATCH($E699,#REF!,0))</f>
        <v>#REF!</v>
      </c>
      <c r="AB699" t="e">
        <f>INDEX(#REF!,MATCH($E699,#REF!,0))</f>
        <v>#REF!</v>
      </c>
      <c r="AC699" t="e">
        <f>INDEX(#REF!,MATCH($E699,#REF!,0))</f>
        <v>#REF!</v>
      </c>
      <c r="AD699" t="e">
        <f>INDEX(#REF!,MATCH($E699,#REF!,0))</f>
        <v>#REF!</v>
      </c>
      <c r="AE699" t="e">
        <f t="shared" si="29"/>
        <v>#REF!</v>
      </c>
    </row>
    <row r="700" spans="2:31" x14ac:dyDescent="0.25">
      <c r="B700" s="45" t="s">
        <v>2991</v>
      </c>
      <c r="C700" s="45" t="s">
        <v>2982</v>
      </c>
      <c r="D700" s="89" t="s">
        <v>2207</v>
      </c>
      <c r="E700" s="89">
        <v>180038</v>
      </c>
      <c r="F700" s="89">
        <v>1221</v>
      </c>
      <c r="G700" s="90">
        <v>12</v>
      </c>
      <c r="H700" s="90">
        <v>4</v>
      </c>
      <c r="I700" s="90" t="s">
        <v>147</v>
      </c>
      <c r="J700" s="90">
        <v>100000</v>
      </c>
      <c r="K700" s="90">
        <v>0</v>
      </c>
      <c r="L700" s="91"/>
      <c r="M700" s="92" t="s">
        <v>2618</v>
      </c>
      <c r="N700" s="93" t="s">
        <v>2560</v>
      </c>
      <c r="P700" s="21" t="s">
        <v>2999</v>
      </c>
      <c r="Q700" s="12" t="s">
        <v>2811</v>
      </c>
      <c r="R700">
        <f t="shared" si="30"/>
        <v>1</v>
      </c>
      <c r="U700" s="37">
        <v>110667</v>
      </c>
      <c r="V700" t="s">
        <v>2716</v>
      </c>
      <c r="W700" t="e">
        <f>INDEX(#REF!,MATCH($E700,#REF!,0))</f>
        <v>#REF!</v>
      </c>
      <c r="X700" t="e">
        <f>INDEX(#REF!,MATCH($E700,#REF!,0))</f>
        <v>#REF!</v>
      </c>
      <c r="Y700" t="e">
        <f>INDEX(#REF!,MATCH($E700,#REF!,0))</f>
        <v>#REF!</v>
      </c>
      <c r="Z700" t="e">
        <f>INDEX(#REF!,MATCH($E700,#REF!,0))</f>
        <v>#REF!</v>
      </c>
      <c r="AA700" t="e">
        <f>INDEX(#REF!,MATCH($E700,#REF!,0))</f>
        <v>#REF!</v>
      </c>
      <c r="AB700" t="e">
        <f>INDEX(#REF!,MATCH($E700,#REF!,0))</f>
        <v>#REF!</v>
      </c>
      <c r="AC700" t="e">
        <f>INDEX(#REF!,MATCH($E700,#REF!,0))</f>
        <v>#REF!</v>
      </c>
      <c r="AD700" t="e">
        <f>INDEX(#REF!,MATCH($E700,#REF!,0))</f>
        <v>#REF!</v>
      </c>
      <c r="AE700" t="e">
        <f t="shared" si="29"/>
        <v>#REF!</v>
      </c>
    </row>
    <row r="701" spans="2:31" x14ac:dyDescent="0.25">
      <c r="B701" s="45" t="s">
        <v>2844</v>
      </c>
      <c r="C701" s="45" t="s">
        <v>2992</v>
      </c>
      <c r="D701" s="89" t="s">
        <v>2673</v>
      </c>
      <c r="E701" s="89">
        <v>180039</v>
      </c>
      <c r="F701" s="89">
        <v>1221</v>
      </c>
      <c r="G701" s="90">
        <v>13</v>
      </c>
      <c r="H701" s="90">
        <v>4</v>
      </c>
      <c r="I701" s="90" t="s">
        <v>147</v>
      </c>
      <c r="J701" s="90">
        <v>100000</v>
      </c>
      <c r="K701" s="90">
        <v>0</v>
      </c>
      <c r="L701" s="91"/>
      <c r="M701" s="92" t="s">
        <v>2619</v>
      </c>
      <c r="N701" s="93" t="s">
        <v>2561</v>
      </c>
      <c r="P701" s="21" t="s">
        <v>2999</v>
      </c>
      <c r="Q701" s="12" t="s">
        <v>2811</v>
      </c>
      <c r="R701">
        <f t="shared" si="30"/>
        <v>1</v>
      </c>
      <c r="U701" s="37"/>
      <c r="V701" t="s">
        <v>2717</v>
      </c>
      <c r="W701" t="e">
        <f>INDEX(#REF!,MATCH($E701,#REF!,0))</f>
        <v>#REF!</v>
      </c>
      <c r="X701" t="e">
        <f>INDEX(#REF!,MATCH($E701,#REF!,0))</f>
        <v>#REF!</v>
      </c>
      <c r="Y701" t="e">
        <f>INDEX(#REF!,MATCH($E701,#REF!,0))</f>
        <v>#REF!</v>
      </c>
      <c r="Z701" t="e">
        <f>INDEX(#REF!,MATCH($E701,#REF!,0))</f>
        <v>#REF!</v>
      </c>
      <c r="AA701" t="e">
        <f>INDEX(#REF!,MATCH($E701,#REF!,0))</f>
        <v>#REF!</v>
      </c>
      <c r="AB701" t="e">
        <f>INDEX(#REF!,MATCH($E701,#REF!,0))</f>
        <v>#REF!</v>
      </c>
      <c r="AC701" t="e">
        <f>INDEX(#REF!,MATCH($E701,#REF!,0))</f>
        <v>#REF!</v>
      </c>
      <c r="AD701" t="e">
        <f>INDEX(#REF!,MATCH($E701,#REF!,0))</f>
        <v>#REF!</v>
      </c>
      <c r="AE701" t="e">
        <f t="shared" si="29"/>
        <v>#REF!</v>
      </c>
    </row>
    <row r="702" spans="2:31" ht="30" x14ac:dyDescent="0.25">
      <c r="B702" s="45" t="s">
        <v>2845</v>
      </c>
      <c r="C702" s="45" t="s">
        <v>2983</v>
      </c>
      <c r="D702" s="89" t="s">
        <v>2674</v>
      </c>
      <c r="E702" s="89">
        <v>180040</v>
      </c>
      <c r="F702" s="89">
        <v>1221</v>
      </c>
      <c r="G702" s="90">
        <v>14</v>
      </c>
      <c r="H702" s="90">
        <v>4</v>
      </c>
      <c r="I702" s="90" t="s">
        <v>18</v>
      </c>
      <c r="J702" s="90">
        <v>1</v>
      </c>
      <c r="K702" s="90">
        <v>0</v>
      </c>
      <c r="L702" s="91"/>
      <c r="M702" s="92" t="s">
        <v>2620</v>
      </c>
      <c r="N702" s="93" t="s">
        <v>2562</v>
      </c>
      <c r="P702" s="21" t="s">
        <v>2999</v>
      </c>
      <c r="Q702" s="12" t="s">
        <v>2811</v>
      </c>
      <c r="R702">
        <f t="shared" si="30"/>
        <v>1</v>
      </c>
      <c r="U702" s="37"/>
      <c r="V702" t="s">
        <v>2718</v>
      </c>
      <c r="W702" t="e">
        <f>INDEX(#REF!,MATCH($E702,#REF!,0))</f>
        <v>#REF!</v>
      </c>
      <c r="X702" t="e">
        <f>INDEX(#REF!,MATCH($E702,#REF!,0))</f>
        <v>#REF!</v>
      </c>
      <c r="Y702" t="e">
        <f>INDEX(#REF!,MATCH($E702,#REF!,0))</f>
        <v>#REF!</v>
      </c>
      <c r="Z702" t="e">
        <f>INDEX(#REF!,MATCH($E702,#REF!,0))</f>
        <v>#REF!</v>
      </c>
      <c r="AA702" t="e">
        <f>INDEX(#REF!,MATCH($E702,#REF!,0))</f>
        <v>#REF!</v>
      </c>
      <c r="AB702" t="e">
        <f>INDEX(#REF!,MATCH($E702,#REF!,0))</f>
        <v>#REF!</v>
      </c>
      <c r="AC702" t="e">
        <f>INDEX(#REF!,MATCH($E702,#REF!,0))</f>
        <v>#REF!</v>
      </c>
      <c r="AD702" t="e">
        <f>INDEX(#REF!,MATCH($E702,#REF!,0))</f>
        <v>#REF!</v>
      </c>
      <c r="AE702" t="e">
        <f t="shared" si="29"/>
        <v>#REF!</v>
      </c>
    </row>
    <row r="703" spans="2:31" x14ac:dyDescent="0.25">
      <c r="B703" s="45" t="s">
        <v>2846</v>
      </c>
      <c r="C703" s="45" t="s">
        <v>2984</v>
      </c>
      <c r="D703" s="89" t="s">
        <v>2675</v>
      </c>
      <c r="E703" s="89">
        <v>180041</v>
      </c>
      <c r="F703" s="89">
        <v>1221</v>
      </c>
      <c r="G703" s="90">
        <v>15</v>
      </c>
      <c r="H703" s="90">
        <v>4</v>
      </c>
      <c r="I703" s="90" t="s">
        <v>18</v>
      </c>
      <c r="J703" s="90">
        <v>1</v>
      </c>
      <c r="K703" s="90">
        <v>0</v>
      </c>
      <c r="L703" s="91"/>
      <c r="M703" s="92" t="s">
        <v>2621</v>
      </c>
      <c r="N703" s="93" t="s">
        <v>2563</v>
      </c>
      <c r="P703" s="21" t="s">
        <v>2999</v>
      </c>
      <c r="Q703" s="12" t="s">
        <v>2811</v>
      </c>
      <c r="R703">
        <f t="shared" si="30"/>
        <v>1</v>
      </c>
      <c r="U703" s="37"/>
      <c r="V703" t="s">
        <v>2719</v>
      </c>
      <c r="W703" t="e">
        <f>INDEX(#REF!,MATCH($E703,#REF!,0))</f>
        <v>#REF!</v>
      </c>
      <c r="X703" t="e">
        <f>INDEX(#REF!,MATCH($E703,#REF!,0))</f>
        <v>#REF!</v>
      </c>
      <c r="Y703" t="e">
        <f>INDEX(#REF!,MATCH($E703,#REF!,0))</f>
        <v>#REF!</v>
      </c>
      <c r="Z703" t="e">
        <f>INDEX(#REF!,MATCH($E703,#REF!,0))</f>
        <v>#REF!</v>
      </c>
      <c r="AA703" t="e">
        <f>INDEX(#REF!,MATCH($E703,#REF!,0))</f>
        <v>#REF!</v>
      </c>
      <c r="AB703" t="e">
        <f>INDEX(#REF!,MATCH($E703,#REF!,0))</f>
        <v>#REF!</v>
      </c>
      <c r="AC703" t="e">
        <f>INDEX(#REF!,MATCH($E703,#REF!,0))</f>
        <v>#REF!</v>
      </c>
      <c r="AD703" t="e">
        <f>INDEX(#REF!,MATCH($E703,#REF!,0))</f>
        <v>#REF!</v>
      </c>
      <c r="AE703" t="e">
        <f t="shared" si="29"/>
        <v>#REF!</v>
      </c>
    </row>
    <row r="704" spans="2:31" x14ac:dyDescent="0.25">
      <c r="B704" s="45" t="s">
        <v>2847</v>
      </c>
      <c r="C704" s="45" t="s">
        <v>2985</v>
      </c>
      <c r="D704" s="89" t="s">
        <v>2676</v>
      </c>
      <c r="E704" s="89">
        <v>180042</v>
      </c>
      <c r="F704" s="89">
        <v>1221</v>
      </c>
      <c r="G704" s="90">
        <v>16</v>
      </c>
      <c r="H704" s="90">
        <v>4</v>
      </c>
      <c r="I704" s="90" t="s">
        <v>26</v>
      </c>
      <c r="J704" s="90">
        <v>1</v>
      </c>
      <c r="K704" s="90">
        <v>0</v>
      </c>
      <c r="L704" s="91"/>
      <c r="M704" s="92" t="s">
        <v>2622</v>
      </c>
      <c r="N704" s="93" t="s">
        <v>2564</v>
      </c>
      <c r="P704" s="21" t="s">
        <v>2999</v>
      </c>
      <c r="Q704" s="12" t="s">
        <v>2811</v>
      </c>
      <c r="R704">
        <f t="shared" si="30"/>
        <v>1</v>
      </c>
      <c r="U704" s="37"/>
      <c r="V704" t="s">
        <v>2720</v>
      </c>
      <c r="W704" t="e">
        <f>INDEX(#REF!,MATCH($E704,#REF!,0))</f>
        <v>#REF!</v>
      </c>
      <c r="X704" t="e">
        <f>INDEX(#REF!,MATCH($E704,#REF!,0))</f>
        <v>#REF!</v>
      </c>
      <c r="Y704" t="e">
        <f>INDEX(#REF!,MATCH($E704,#REF!,0))</f>
        <v>#REF!</v>
      </c>
      <c r="Z704" t="e">
        <f>INDEX(#REF!,MATCH($E704,#REF!,0))</f>
        <v>#REF!</v>
      </c>
      <c r="AA704" t="e">
        <f>INDEX(#REF!,MATCH($E704,#REF!,0))</f>
        <v>#REF!</v>
      </c>
      <c r="AB704" t="e">
        <f>INDEX(#REF!,MATCH($E704,#REF!,0))</f>
        <v>#REF!</v>
      </c>
      <c r="AC704" t="e">
        <f>INDEX(#REF!,MATCH($E704,#REF!,0))</f>
        <v>#REF!</v>
      </c>
      <c r="AD704" t="e">
        <f>INDEX(#REF!,MATCH($E704,#REF!,0))</f>
        <v>#REF!</v>
      </c>
      <c r="AE704" t="e">
        <f t="shared" si="29"/>
        <v>#REF!</v>
      </c>
    </row>
    <row r="705" spans="2:31" x14ac:dyDescent="0.25">
      <c r="B705" s="45" t="s">
        <v>2848</v>
      </c>
      <c r="C705" s="45" t="s">
        <v>2986</v>
      </c>
      <c r="D705" s="89" t="s">
        <v>2677</v>
      </c>
      <c r="E705" s="89">
        <v>180043</v>
      </c>
      <c r="F705" s="89">
        <v>1221</v>
      </c>
      <c r="G705" s="90">
        <v>17</v>
      </c>
      <c r="H705" s="90">
        <v>4</v>
      </c>
      <c r="I705" s="90" t="s">
        <v>26</v>
      </c>
      <c r="J705" s="90">
        <v>1</v>
      </c>
      <c r="K705" s="90">
        <v>0</v>
      </c>
      <c r="L705" s="91"/>
      <c r="M705" s="92" t="s">
        <v>2623</v>
      </c>
      <c r="N705" s="93" t="s">
        <v>2565</v>
      </c>
      <c r="P705" s="21" t="s">
        <v>2999</v>
      </c>
      <c r="Q705" s="12" t="s">
        <v>2811</v>
      </c>
      <c r="R705">
        <f t="shared" ref="R705:R710" si="31">COUNTIF(C:C,C705)</f>
        <v>1</v>
      </c>
      <c r="U705" s="37"/>
      <c r="V705" t="s">
        <v>2721</v>
      </c>
      <c r="W705" t="e">
        <f>INDEX(#REF!,MATCH($E705,#REF!,0))</f>
        <v>#REF!</v>
      </c>
      <c r="X705" t="e">
        <f>INDEX(#REF!,MATCH($E705,#REF!,0))</f>
        <v>#REF!</v>
      </c>
      <c r="Y705" t="e">
        <f>INDEX(#REF!,MATCH($E705,#REF!,0))</f>
        <v>#REF!</v>
      </c>
      <c r="Z705" t="e">
        <f>INDEX(#REF!,MATCH($E705,#REF!,0))</f>
        <v>#REF!</v>
      </c>
      <c r="AA705" t="e">
        <f>INDEX(#REF!,MATCH($E705,#REF!,0))</f>
        <v>#REF!</v>
      </c>
      <c r="AB705" t="e">
        <f>INDEX(#REF!,MATCH($E705,#REF!,0))</f>
        <v>#REF!</v>
      </c>
      <c r="AC705" t="e">
        <f>INDEX(#REF!,MATCH($E705,#REF!,0))</f>
        <v>#REF!</v>
      </c>
      <c r="AD705" t="e">
        <f>INDEX(#REF!,MATCH($E705,#REF!,0))</f>
        <v>#REF!</v>
      </c>
      <c r="AE705" t="e">
        <f t="shared" si="29"/>
        <v>#REF!</v>
      </c>
    </row>
    <row r="706" spans="2:31" x14ac:dyDescent="0.25">
      <c r="B706" s="45" t="s">
        <v>2849</v>
      </c>
      <c r="C706" s="45" t="s">
        <v>2987</v>
      </c>
      <c r="D706" s="89" t="s">
        <v>989</v>
      </c>
      <c r="E706" s="89">
        <v>180044</v>
      </c>
      <c r="F706" s="89">
        <v>1221</v>
      </c>
      <c r="G706" s="90">
        <v>18</v>
      </c>
      <c r="H706" s="90">
        <v>4</v>
      </c>
      <c r="I706" s="90" t="s">
        <v>26</v>
      </c>
      <c r="J706" s="90">
        <v>1</v>
      </c>
      <c r="K706" s="90">
        <v>0</v>
      </c>
      <c r="L706" s="91"/>
      <c r="M706" s="92" t="s">
        <v>2307</v>
      </c>
      <c r="N706" s="93" t="s">
        <v>2566</v>
      </c>
      <c r="P706" s="21" t="s">
        <v>2999</v>
      </c>
      <c r="Q706" s="12" t="s">
        <v>2811</v>
      </c>
      <c r="R706">
        <f t="shared" si="31"/>
        <v>1</v>
      </c>
      <c r="U706" s="37">
        <v>110651</v>
      </c>
      <c r="V706" t="s">
        <v>2722</v>
      </c>
      <c r="W706" t="e">
        <f>INDEX(#REF!,MATCH($E706,#REF!,0))</f>
        <v>#REF!</v>
      </c>
      <c r="X706" t="e">
        <f>INDEX(#REF!,MATCH($E706,#REF!,0))</f>
        <v>#REF!</v>
      </c>
      <c r="Y706" t="e">
        <f>INDEX(#REF!,MATCH($E706,#REF!,0))</f>
        <v>#REF!</v>
      </c>
      <c r="Z706" t="e">
        <f>INDEX(#REF!,MATCH($E706,#REF!,0))</f>
        <v>#REF!</v>
      </c>
      <c r="AA706" t="e">
        <f>INDEX(#REF!,MATCH($E706,#REF!,0))</f>
        <v>#REF!</v>
      </c>
      <c r="AB706" t="e">
        <f>INDEX(#REF!,MATCH($E706,#REF!,0))</f>
        <v>#REF!</v>
      </c>
      <c r="AC706" t="e">
        <f>INDEX(#REF!,MATCH($E706,#REF!,0))</f>
        <v>#REF!</v>
      </c>
      <c r="AD706" t="e">
        <f>INDEX(#REF!,MATCH($E706,#REF!,0))</f>
        <v>#REF!</v>
      </c>
      <c r="AE706" t="e">
        <f t="shared" si="29"/>
        <v>#REF!</v>
      </c>
    </row>
    <row r="707" spans="2:31" x14ac:dyDescent="0.25">
      <c r="B707" s="45" t="s">
        <v>2850</v>
      </c>
      <c r="C707" s="45" t="s">
        <v>2988</v>
      </c>
      <c r="D707" s="89" t="s">
        <v>990</v>
      </c>
      <c r="E707" s="89">
        <v>180045</v>
      </c>
      <c r="F707" s="89">
        <v>1221</v>
      </c>
      <c r="G707" s="90">
        <v>19</v>
      </c>
      <c r="H707" s="90">
        <v>4</v>
      </c>
      <c r="I707" s="90" t="s">
        <v>26</v>
      </c>
      <c r="J707" s="90">
        <v>1</v>
      </c>
      <c r="K707" s="90">
        <v>0</v>
      </c>
      <c r="L707" s="91"/>
      <c r="M707" s="92" t="s">
        <v>2308</v>
      </c>
      <c r="N707" s="93" t="s">
        <v>2567</v>
      </c>
      <c r="P707" s="21" t="s">
        <v>2999</v>
      </c>
      <c r="Q707" s="12" t="s">
        <v>2811</v>
      </c>
      <c r="R707">
        <f t="shared" si="31"/>
        <v>1</v>
      </c>
      <c r="U707" s="37">
        <v>110652</v>
      </c>
      <c r="V707" t="s">
        <v>2723</v>
      </c>
      <c r="W707" t="e">
        <f>INDEX(#REF!,MATCH($E707,#REF!,0))</f>
        <v>#REF!</v>
      </c>
      <c r="X707" t="e">
        <f>INDEX(#REF!,MATCH($E707,#REF!,0))</f>
        <v>#REF!</v>
      </c>
      <c r="Y707" t="e">
        <f>INDEX(#REF!,MATCH($E707,#REF!,0))</f>
        <v>#REF!</v>
      </c>
      <c r="Z707" t="e">
        <f>INDEX(#REF!,MATCH($E707,#REF!,0))</f>
        <v>#REF!</v>
      </c>
      <c r="AA707" t="e">
        <f>INDEX(#REF!,MATCH($E707,#REF!,0))</f>
        <v>#REF!</v>
      </c>
      <c r="AB707" t="e">
        <f>INDEX(#REF!,MATCH($E707,#REF!,0))</f>
        <v>#REF!</v>
      </c>
      <c r="AC707" t="e">
        <f>INDEX(#REF!,MATCH($E707,#REF!,0))</f>
        <v>#REF!</v>
      </c>
      <c r="AD707" t="e">
        <f>INDEX(#REF!,MATCH($E707,#REF!,0))</f>
        <v>#REF!</v>
      </c>
      <c r="AE707" t="e">
        <f t="shared" si="29"/>
        <v>#REF!</v>
      </c>
    </row>
    <row r="708" spans="2:31" x14ac:dyDescent="0.25">
      <c r="B708" s="45" t="s">
        <v>2851</v>
      </c>
      <c r="C708" s="45" t="s">
        <v>2989</v>
      </c>
      <c r="D708" s="89" t="s">
        <v>991</v>
      </c>
      <c r="E708" s="89">
        <v>180046</v>
      </c>
      <c r="F708" s="89">
        <v>1221</v>
      </c>
      <c r="G708" s="90">
        <v>20</v>
      </c>
      <c r="H708" s="90">
        <v>4</v>
      </c>
      <c r="I708" s="90" t="s">
        <v>26</v>
      </c>
      <c r="J708" s="90">
        <v>1</v>
      </c>
      <c r="K708" s="90">
        <v>0</v>
      </c>
      <c r="L708" s="91"/>
      <c r="M708" s="92" t="s">
        <v>2309</v>
      </c>
      <c r="N708" s="93" t="s">
        <v>2568</v>
      </c>
      <c r="P708" s="21" t="s">
        <v>2999</v>
      </c>
      <c r="Q708" s="12" t="s">
        <v>2811</v>
      </c>
      <c r="R708">
        <f t="shared" si="31"/>
        <v>1</v>
      </c>
      <c r="U708" s="37">
        <v>110653</v>
      </c>
      <c r="V708" t="s">
        <v>2724</v>
      </c>
      <c r="W708" t="e">
        <f>INDEX(#REF!,MATCH($E708,#REF!,0))</f>
        <v>#REF!</v>
      </c>
      <c r="X708" t="e">
        <f>INDEX(#REF!,MATCH($E708,#REF!,0))</f>
        <v>#REF!</v>
      </c>
      <c r="Y708" t="e">
        <f>INDEX(#REF!,MATCH($E708,#REF!,0))</f>
        <v>#REF!</v>
      </c>
      <c r="Z708" t="e">
        <f>INDEX(#REF!,MATCH($E708,#REF!,0))</f>
        <v>#REF!</v>
      </c>
      <c r="AA708" t="e">
        <f>INDEX(#REF!,MATCH($E708,#REF!,0))</f>
        <v>#REF!</v>
      </c>
      <c r="AB708" t="e">
        <f>INDEX(#REF!,MATCH($E708,#REF!,0))</f>
        <v>#REF!</v>
      </c>
      <c r="AC708" t="e">
        <f>INDEX(#REF!,MATCH($E708,#REF!,0))</f>
        <v>#REF!</v>
      </c>
      <c r="AD708" t="e">
        <f>INDEX(#REF!,MATCH($E708,#REF!,0))</f>
        <v>#REF!</v>
      </c>
      <c r="AE708" t="e">
        <f t="shared" si="29"/>
        <v>#REF!</v>
      </c>
    </row>
    <row r="709" spans="2:31" x14ac:dyDescent="0.25">
      <c r="B709" s="45" t="s">
        <v>2852</v>
      </c>
      <c r="C709" s="45" t="s">
        <v>2926</v>
      </c>
      <c r="D709" s="89"/>
      <c r="E709" s="89">
        <v>180047</v>
      </c>
      <c r="F709" s="89">
        <v>1221</v>
      </c>
      <c r="G709" s="90">
        <v>21</v>
      </c>
      <c r="H709" s="90">
        <v>4</v>
      </c>
      <c r="I709" s="90" t="s">
        <v>184</v>
      </c>
      <c r="J709" s="90">
        <v>1</v>
      </c>
      <c r="K709" s="90">
        <v>0</v>
      </c>
      <c r="L709" s="91"/>
      <c r="M709" s="92" t="s">
        <v>2624</v>
      </c>
      <c r="N709" s="93" t="s">
        <v>2569</v>
      </c>
      <c r="P709" s="21" t="s">
        <v>2999</v>
      </c>
      <c r="Q709" s="12" t="s">
        <v>2811</v>
      </c>
      <c r="R709">
        <f t="shared" si="31"/>
        <v>1</v>
      </c>
      <c r="U709" s="37"/>
      <c r="V709" t="s">
        <v>2725</v>
      </c>
      <c r="W709" t="e">
        <f>INDEX(#REF!,MATCH($E709,#REF!,0))</f>
        <v>#REF!</v>
      </c>
      <c r="X709" t="e">
        <f>INDEX(#REF!,MATCH($E709,#REF!,0))</f>
        <v>#REF!</v>
      </c>
      <c r="Y709" t="e">
        <f>INDEX(#REF!,MATCH($E709,#REF!,0))</f>
        <v>#REF!</v>
      </c>
      <c r="Z709" t="e">
        <f>INDEX(#REF!,MATCH($E709,#REF!,0))</f>
        <v>#REF!</v>
      </c>
      <c r="AA709" t="e">
        <f>INDEX(#REF!,MATCH($E709,#REF!,0))</f>
        <v>#REF!</v>
      </c>
      <c r="AB709" t="e">
        <f>INDEX(#REF!,MATCH($E709,#REF!,0))</f>
        <v>#REF!</v>
      </c>
      <c r="AC709" t="e">
        <f>INDEX(#REF!,MATCH($E709,#REF!,0))</f>
        <v>#REF!</v>
      </c>
      <c r="AD709" t="e">
        <f>INDEX(#REF!,MATCH($E709,#REF!,0))</f>
        <v>#REF!</v>
      </c>
      <c r="AE709" t="e">
        <f t="shared" si="29"/>
        <v>#REF!</v>
      </c>
    </row>
    <row r="710" spans="2:31" x14ac:dyDescent="0.25">
      <c r="B710" s="45" t="s">
        <v>2853</v>
      </c>
      <c r="C710" s="45" t="s">
        <v>2927</v>
      </c>
      <c r="D710" s="89"/>
      <c r="E710" s="89">
        <v>180048</v>
      </c>
      <c r="F710" s="89">
        <v>1221</v>
      </c>
      <c r="G710" s="90">
        <v>22</v>
      </c>
      <c r="H710" s="90">
        <v>4</v>
      </c>
      <c r="I710" s="90" t="s">
        <v>184</v>
      </c>
      <c r="J710" s="90">
        <v>1</v>
      </c>
      <c r="K710" s="90">
        <v>0</v>
      </c>
      <c r="L710" s="91"/>
      <c r="M710" s="92" t="s">
        <v>2625</v>
      </c>
      <c r="N710" s="93" t="s">
        <v>2570</v>
      </c>
      <c r="P710" s="21" t="s">
        <v>2999</v>
      </c>
      <c r="Q710" s="12" t="s">
        <v>2811</v>
      </c>
      <c r="R710">
        <f t="shared" si="31"/>
        <v>1</v>
      </c>
      <c r="U710" s="37"/>
      <c r="V710" t="s">
        <v>2726</v>
      </c>
      <c r="W710" t="e">
        <f>INDEX(#REF!,MATCH($E710,#REF!,0))</f>
        <v>#REF!</v>
      </c>
      <c r="X710" t="e">
        <f>INDEX(#REF!,MATCH($E710,#REF!,0))</f>
        <v>#REF!</v>
      </c>
      <c r="Y710" t="e">
        <f>INDEX(#REF!,MATCH($E710,#REF!,0))</f>
        <v>#REF!</v>
      </c>
      <c r="Z710" t="e">
        <f>INDEX(#REF!,MATCH($E710,#REF!,0))</f>
        <v>#REF!</v>
      </c>
      <c r="AA710" t="e">
        <f>INDEX(#REF!,MATCH($E710,#REF!,0))</f>
        <v>#REF!</v>
      </c>
      <c r="AB710" t="e">
        <f>INDEX(#REF!,MATCH($E710,#REF!,0))</f>
        <v>#REF!</v>
      </c>
      <c r="AC710" t="e">
        <f>INDEX(#REF!,MATCH($E710,#REF!,0))</f>
        <v>#REF!</v>
      </c>
      <c r="AD710" t="e">
        <f>INDEX(#REF!,MATCH($E710,#REF!,0))</f>
        <v>#REF!</v>
      </c>
      <c r="AE710" t="e">
        <f t="shared" si="29"/>
        <v>#REF!</v>
      </c>
    </row>
    <row r="711" spans="2:31" x14ac:dyDescent="0.25">
      <c r="B711" s="45" t="s">
        <v>2854</v>
      </c>
      <c r="C711" s="45" t="s">
        <v>2930</v>
      </c>
      <c r="D711" s="89"/>
      <c r="E711" s="89">
        <v>180049</v>
      </c>
      <c r="F711" s="89">
        <v>1221</v>
      </c>
      <c r="G711" s="90">
        <v>23</v>
      </c>
      <c r="H711" s="90">
        <v>4</v>
      </c>
      <c r="I711" s="90" t="s">
        <v>210</v>
      </c>
      <c r="J711" s="90">
        <v>100</v>
      </c>
      <c r="K711" s="90">
        <v>0</v>
      </c>
      <c r="L711" s="91"/>
      <c r="M711" s="92" t="s">
        <v>2626</v>
      </c>
      <c r="N711" s="93" t="s">
        <v>2571</v>
      </c>
      <c r="P711" s="21" t="s">
        <v>2999</v>
      </c>
      <c r="Q711" s="12" t="s">
        <v>2811</v>
      </c>
      <c r="R711">
        <f>COUNTIF(C:C,C713)</f>
        <v>1</v>
      </c>
      <c r="U711" s="37"/>
      <c r="V711" t="s">
        <v>2727</v>
      </c>
      <c r="W711" t="e">
        <f>INDEX(#REF!,MATCH($E711,#REF!,0))</f>
        <v>#REF!</v>
      </c>
      <c r="X711" t="e">
        <f>INDEX(#REF!,MATCH($E711,#REF!,0))</f>
        <v>#REF!</v>
      </c>
      <c r="Y711" t="e">
        <f>INDEX(#REF!,MATCH($E711,#REF!,0))</f>
        <v>#REF!</v>
      </c>
      <c r="Z711" t="e">
        <f>INDEX(#REF!,MATCH($E711,#REF!,0))</f>
        <v>#REF!</v>
      </c>
      <c r="AA711" t="e">
        <f>INDEX(#REF!,MATCH($E711,#REF!,0))</f>
        <v>#REF!</v>
      </c>
      <c r="AB711" t="e">
        <f>INDEX(#REF!,MATCH($E711,#REF!,0))</f>
        <v>#REF!</v>
      </c>
      <c r="AC711" t="e">
        <f>INDEX(#REF!,MATCH($E711,#REF!,0))</f>
        <v>#REF!</v>
      </c>
      <c r="AD711" t="e">
        <f>INDEX(#REF!,MATCH($E711,#REF!,0))</f>
        <v>#REF!</v>
      </c>
      <c r="AE711" t="e">
        <f t="shared" si="29"/>
        <v>#REF!</v>
      </c>
    </row>
    <row r="712" spans="2:31" x14ac:dyDescent="0.25">
      <c r="B712" s="45" t="s">
        <v>2855</v>
      </c>
      <c r="C712" s="45" t="s">
        <v>2931</v>
      </c>
      <c r="D712" s="89"/>
      <c r="E712" s="89">
        <v>180050</v>
      </c>
      <c r="F712" s="89">
        <v>1221</v>
      </c>
      <c r="G712" s="90">
        <v>24</v>
      </c>
      <c r="H712" s="90">
        <v>4</v>
      </c>
      <c r="I712" s="90" t="s">
        <v>210</v>
      </c>
      <c r="J712" s="90">
        <v>100</v>
      </c>
      <c r="K712" s="90">
        <v>0</v>
      </c>
      <c r="L712" s="91"/>
      <c r="M712" s="92" t="s">
        <v>2627</v>
      </c>
      <c r="N712" s="93" t="s">
        <v>2572</v>
      </c>
      <c r="P712" s="21" t="s">
        <v>2999</v>
      </c>
      <c r="Q712" s="12" t="s">
        <v>2811</v>
      </c>
      <c r="R712">
        <f>COUNTIF(C:C,C714)</f>
        <v>1</v>
      </c>
      <c r="U712" s="37"/>
      <c r="V712" t="s">
        <v>2728</v>
      </c>
      <c r="W712" t="e">
        <f>INDEX(#REF!,MATCH($E712,#REF!,0))</f>
        <v>#REF!</v>
      </c>
      <c r="X712" t="e">
        <f>INDEX(#REF!,MATCH($E712,#REF!,0))</f>
        <v>#REF!</v>
      </c>
      <c r="Y712" t="e">
        <f>INDEX(#REF!,MATCH($E712,#REF!,0))</f>
        <v>#REF!</v>
      </c>
      <c r="Z712" t="e">
        <f>INDEX(#REF!,MATCH($E712,#REF!,0))</f>
        <v>#REF!</v>
      </c>
      <c r="AA712" t="e">
        <f>INDEX(#REF!,MATCH($E712,#REF!,0))</f>
        <v>#REF!</v>
      </c>
      <c r="AB712" t="e">
        <f>INDEX(#REF!,MATCH($E712,#REF!,0))</f>
        <v>#REF!</v>
      </c>
      <c r="AC712" t="e">
        <f>INDEX(#REF!,MATCH($E712,#REF!,0))</f>
        <v>#REF!</v>
      </c>
      <c r="AD712" t="e">
        <f>INDEX(#REF!,MATCH($E712,#REF!,0))</f>
        <v>#REF!</v>
      </c>
      <c r="AE712" t="e">
        <f t="shared" si="29"/>
        <v>#REF!</v>
      </c>
    </row>
    <row r="713" spans="2:31" x14ac:dyDescent="0.25">
      <c r="B713" s="45" t="s">
        <v>2856</v>
      </c>
      <c r="C713" s="45" t="s">
        <v>2928</v>
      </c>
      <c r="D713" s="89"/>
      <c r="E713" s="89">
        <v>180051</v>
      </c>
      <c r="F713" s="89">
        <v>1222</v>
      </c>
      <c r="G713" s="90">
        <v>0</v>
      </c>
      <c r="H713" s="90">
        <v>4</v>
      </c>
      <c r="I713" s="90" t="s">
        <v>18</v>
      </c>
      <c r="J713" s="90">
        <v>1</v>
      </c>
      <c r="K713" s="90">
        <v>0</v>
      </c>
      <c r="L713" s="91"/>
      <c r="M713" s="92" t="s">
        <v>2628</v>
      </c>
      <c r="N713" s="93" t="s">
        <v>2573</v>
      </c>
      <c r="P713" s="21" t="s">
        <v>2999</v>
      </c>
      <c r="Q713" s="12" t="s">
        <v>2811</v>
      </c>
      <c r="R713">
        <f>COUNTIF(C:C,C711)</f>
        <v>1</v>
      </c>
      <c r="U713" s="37"/>
      <c r="V713" t="s">
        <v>2729</v>
      </c>
      <c r="W713" t="e">
        <f>INDEX(#REF!,MATCH($E713,#REF!,0))</f>
        <v>#REF!</v>
      </c>
      <c r="X713" t="e">
        <f>INDEX(#REF!,MATCH($E713,#REF!,0))</f>
        <v>#REF!</v>
      </c>
      <c r="Y713" t="e">
        <f>INDEX(#REF!,MATCH($E713,#REF!,0))</f>
        <v>#REF!</v>
      </c>
      <c r="Z713" t="e">
        <f>INDEX(#REF!,MATCH($E713,#REF!,0))</f>
        <v>#REF!</v>
      </c>
      <c r="AA713" t="e">
        <f>INDEX(#REF!,MATCH($E713,#REF!,0))</f>
        <v>#REF!</v>
      </c>
      <c r="AB713" t="e">
        <f>INDEX(#REF!,MATCH($E713,#REF!,0))</f>
        <v>#REF!</v>
      </c>
      <c r="AC713" t="e">
        <f>INDEX(#REF!,MATCH($E713,#REF!,0))</f>
        <v>#REF!</v>
      </c>
      <c r="AD713" t="e">
        <f>INDEX(#REF!,MATCH($E713,#REF!,0))</f>
        <v>#REF!</v>
      </c>
      <c r="AE713" t="e">
        <f t="shared" si="29"/>
        <v>#REF!</v>
      </c>
    </row>
    <row r="714" spans="2:31" x14ac:dyDescent="0.25">
      <c r="B714" s="45" t="s">
        <v>2857</v>
      </c>
      <c r="C714" s="45" t="s">
        <v>2929</v>
      </c>
      <c r="D714" s="89"/>
      <c r="E714" s="89">
        <v>180052</v>
      </c>
      <c r="F714" s="89">
        <v>1222</v>
      </c>
      <c r="G714" s="90">
        <v>1</v>
      </c>
      <c r="H714" s="90">
        <v>4</v>
      </c>
      <c r="I714" s="90" t="s">
        <v>18</v>
      </c>
      <c r="J714" s="90">
        <v>1</v>
      </c>
      <c r="K714" s="90">
        <v>0</v>
      </c>
      <c r="L714" s="91"/>
      <c r="M714" s="92" t="s">
        <v>2629</v>
      </c>
      <c r="N714" s="93" t="s">
        <v>2574</v>
      </c>
      <c r="P714" s="21" t="s">
        <v>2999</v>
      </c>
      <c r="Q714" s="12" t="s">
        <v>2811</v>
      </c>
      <c r="R714">
        <f>COUNTIF(C:C,C712)</f>
        <v>1</v>
      </c>
      <c r="U714" s="37"/>
      <c r="V714" t="s">
        <v>2730</v>
      </c>
      <c r="W714" t="e">
        <f>INDEX(#REF!,MATCH($E714,#REF!,0))</f>
        <v>#REF!</v>
      </c>
      <c r="X714" t="e">
        <f>INDEX(#REF!,MATCH($E714,#REF!,0))</f>
        <v>#REF!</v>
      </c>
      <c r="Y714" t="e">
        <f>INDEX(#REF!,MATCH($E714,#REF!,0))</f>
        <v>#REF!</v>
      </c>
      <c r="Z714" t="e">
        <f>INDEX(#REF!,MATCH($E714,#REF!,0))</f>
        <v>#REF!</v>
      </c>
      <c r="AA714" t="e">
        <f>INDEX(#REF!,MATCH($E714,#REF!,0))</f>
        <v>#REF!</v>
      </c>
      <c r="AB714" t="e">
        <f>INDEX(#REF!,MATCH($E714,#REF!,0))</f>
        <v>#REF!</v>
      </c>
      <c r="AC714" t="e">
        <f>INDEX(#REF!,MATCH($E714,#REF!,0))</f>
        <v>#REF!</v>
      </c>
      <c r="AD714" t="e">
        <f>INDEX(#REF!,MATCH($E714,#REF!,0))</f>
        <v>#REF!</v>
      </c>
      <c r="AE714" t="e">
        <f t="shared" si="29"/>
        <v>#REF!</v>
      </c>
    </row>
    <row r="715" spans="2:31" x14ac:dyDescent="0.25">
      <c r="B715" s="45" t="s">
        <v>2858</v>
      </c>
      <c r="C715" s="45" t="s">
        <v>2932</v>
      </c>
      <c r="D715" s="89"/>
      <c r="E715" s="89">
        <v>180053</v>
      </c>
      <c r="F715" s="89">
        <v>1222</v>
      </c>
      <c r="G715" s="90">
        <v>2</v>
      </c>
      <c r="H715" s="90">
        <v>4</v>
      </c>
      <c r="I715" s="90" t="s">
        <v>18</v>
      </c>
      <c r="J715" s="90">
        <v>1</v>
      </c>
      <c r="K715" s="90">
        <v>0</v>
      </c>
      <c r="L715" s="91"/>
      <c r="M715" s="92" t="s">
        <v>2630</v>
      </c>
      <c r="N715" s="93" t="s">
        <v>2575</v>
      </c>
      <c r="P715" s="21" t="s">
        <v>2999</v>
      </c>
      <c r="Q715" s="12" t="s">
        <v>2811</v>
      </c>
      <c r="R715">
        <f t="shared" ref="R715:R746" si="32">COUNTIF(C:C,C715)</f>
        <v>1</v>
      </c>
      <c r="U715" s="37"/>
      <c r="V715" t="s">
        <v>2731</v>
      </c>
      <c r="W715" t="e">
        <f>INDEX(#REF!,MATCH($E715,#REF!,0))</f>
        <v>#REF!</v>
      </c>
      <c r="X715" t="e">
        <f>INDEX(#REF!,MATCH($E715,#REF!,0))</f>
        <v>#REF!</v>
      </c>
      <c r="Y715" t="e">
        <f>INDEX(#REF!,MATCH($E715,#REF!,0))</f>
        <v>#REF!</v>
      </c>
      <c r="Z715" t="e">
        <f>INDEX(#REF!,MATCH($E715,#REF!,0))</f>
        <v>#REF!</v>
      </c>
      <c r="AA715" t="e">
        <f>INDEX(#REF!,MATCH($E715,#REF!,0))</f>
        <v>#REF!</v>
      </c>
      <c r="AB715" t="e">
        <f>INDEX(#REF!,MATCH($E715,#REF!,0))</f>
        <v>#REF!</v>
      </c>
      <c r="AC715" t="e">
        <f>INDEX(#REF!,MATCH($E715,#REF!,0))</f>
        <v>#REF!</v>
      </c>
      <c r="AD715" t="e">
        <f>INDEX(#REF!,MATCH($E715,#REF!,0))</f>
        <v>#REF!</v>
      </c>
      <c r="AE715" t="e">
        <f t="shared" si="29"/>
        <v>#REF!</v>
      </c>
    </row>
    <row r="716" spans="2:31" x14ac:dyDescent="0.25">
      <c r="B716" s="45" t="s">
        <v>2859</v>
      </c>
      <c r="C716" s="45" t="s">
        <v>2933</v>
      </c>
      <c r="D716" s="89"/>
      <c r="E716" s="89">
        <v>180054</v>
      </c>
      <c r="F716" s="89">
        <v>1222</v>
      </c>
      <c r="G716" s="90">
        <v>3</v>
      </c>
      <c r="H716" s="90">
        <v>4</v>
      </c>
      <c r="I716" s="90" t="s">
        <v>18</v>
      </c>
      <c r="J716" s="90">
        <v>1</v>
      </c>
      <c r="K716" s="90">
        <v>0</v>
      </c>
      <c r="L716" s="91"/>
      <c r="M716" s="92" t="s">
        <v>2631</v>
      </c>
      <c r="N716" s="93" t="s">
        <v>2576</v>
      </c>
      <c r="P716" s="21" t="s">
        <v>2999</v>
      </c>
      <c r="Q716" s="12" t="s">
        <v>2811</v>
      </c>
      <c r="R716">
        <f t="shared" si="32"/>
        <v>1</v>
      </c>
      <c r="U716" s="37"/>
      <c r="V716" t="s">
        <v>2732</v>
      </c>
      <c r="W716" t="e">
        <f>INDEX(#REF!,MATCH($E716,#REF!,0))</f>
        <v>#REF!</v>
      </c>
      <c r="X716" t="e">
        <f>INDEX(#REF!,MATCH($E716,#REF!,0))</f>
        <v>#REF!</v>
      </c>
      <c r="Y716" t="e">
        <f>INDEX(#REF!,MATCH($E716,#REF!,0))</f>
        <v>#REF!</v>
      </c>
      <c r="Z716" t="e">
        <f>INDEX(#REF!,MATCH($E716,#REF!,0))</f>
        <v>#REF!</v>
      </c>
      <c r="AA716" t="e">
        <f>INDEX(#REF!,MATCH($E716,#REF!,0))</f>
        <v>#REF!</v>
      </c>
      <c r="AB716" t="e">
        <f>INDEX(#REF!,MATCH($E716,#REF!,0))</f>
        <v>#REF!</v>
      </c>
      <c r="AC716" t="e">
        <f>INDEX(#REF!,MATCH($E716,#REF!,0))</f>
        <v>#REF!</v>
      </c>
      <c r="AD716" t="e">
        <f>INDEX(#REF!,MATCH($E716,#REF!,0))</f>
        <v>#REF!</v>
      </c>
      <c r="AE716" t="e">
        <f t="shared" si="29"/>
        <v>#REF!</v>
      </c>
    </row>
    <row r="717" spans="2:31" x14ac:dyDescent="0.25">
      <c r="B717" s="45" t="s">
        <v>2860</v>
      </c>
      <c r="C717" s="45" t="s">
        <v>2934</v>
      </c>
      <c r="D717" s="89"/>
      <c r="E717" s="89">
        <v>180055</v>
      </c>
      <c r="F717" s="89">
        <v>1222</v>
      </c>
      <c r="G717" s="90">
        <v>4</v>
      </c>
      <c r="H717" s="90">
        <v>4</v>
      </c>
      <c r="I717" s="90" t="s">
        <v>210</v>
      </c>
      <c r="J717" s="90">
        <v>100</v>
      </c>
      <c r="K717" s="90">
        <v>0</v>
      </c>
      <c r="L717" s="91"/>
      <c r="M717" s="92" t="s">
        <v>2632</v>
      </c>
      <c r="N717" s="93" t="s">
        <v>2577</v>
      </c>
      <c r="P717" s="21" t="s">
        <v>2999</v>
      </c>
      <c r="Q717" s="12" t="s">
        <v>2811</v>
      </c>
      <c r="R717">
        <f t="shared" si="32"/>
        <v>1</v>
      </c>
      <c r="U717" s="37"/>
      <c r="V717" t="s">
        <v>2733</v>
      </c>
      <c r="W717" t="e">
        <f>INDEX(#REF!,MATCH($E717,#REF!,0))</f>
        <v>#REF!</v>
      </c>
      <c r="X717" t="e">
        <f>INDEX(#REF!,MATCH($E717,#REF!,0))</f>
        <v>#REF!</v>
      </c>
      <c r="Y717" t="e">
        <f>INDEX(#REF!,MATCH($E717,#REF!,0))</f>
        <v>#REF!</v>
      </c>
      <c r="Z717" t="e">
        <f>INDEX(#REF!,MATCH($E717,#REF!,0))</f>
        <v>#REF!</v>
      </c>
      <c r="AA717" t="e">
        <f>INDEX(#REF!,MATCH($E717,#REF!,0))</f>
        <v>#REF!</v>
      </c>
      <c r="AB717" t="e">
        <f>INDEX(#REF!,MATCH($E717,#REF!,0))</f>
        <v>#REF!</v>
      </c>
      <c r="AC717" t="e">
        <f>INDEX(#REF!,MATCH($E717,#REF!,0))</f>
        <v>#REF!</v>
      </c>
      <c r="AD717" t="e">
        <f>INDEX(#REF!,MATCH($E717,#REF!,0))</f>
        <v>#REF!</v>
      </c>
      <c r="AE717" t="e">
        <f t="shared" si="29"/>
        <v>#REF!</v>
      </c>
    </row>
    <row r="718" spans="2:31" x14ac:dyDescent="0.25">
      <c r="B718" s="45" t="s">
        <v>2861</v>
      </c>
      <c r="C718" s="45" t="s">
        <v>2935</v>
      </c>
      <c r="D718" s="89"/>
      <c r="E718" s="89">
        <v>180056</v>
      </c>
      <c r="F718" s="89">
        <v>1222</v>
      </c>
      <c r="G718" s="90">
        <v>5</v>
      </c>
      <c r="H718" s="90">
        <v>4</v>
      </c>
      <c r="I718" s="90" t="s">
        <v>210</v>
      </c>
      <c r="J718" s="90">
        <v>100</v>
      </c>
      <c r="K718" s="90">
        <v>0</v>
      </c>
      <c r="L718" s="91"/>
      <c r="M718" s="92" t="s">
        <v>2633</v>
      </c>
      <c r="N718" s="93" t="s">
        <v>2578</v>
      </c>
      <c r="P718" s="21" t="s">
        <v>2999</v>
      </c>
      <c r="Q718" s="12" t="s">
        <v>2811</v>
      </c>
      <c r="R718">
        <f t="shared" si="32"/>
        <v>1</v>
      </c>
      <c r="U718" s="37"/>
      <c r="V718" t="s">
        <v>2734</v>
      </c>
      <c r="W718" t="e">
        <f>INDEX(#REF!,MATCH($E718,#REF!,0))</f>
        <v>#REF!</v>
      </c>
      <c r="X718" t="e">
        <f>INDEX(#REF!,MATCH($E718,#REF!,0))</f>
        <v>#REF!</v>
      </c>
      <c r="Y718" t="e">
        <f>INDEX(#REF!,MATCH($E718,#REF!,0))</f>
        <v>#REF!</v>
      </c>
      <c r="Z718" t="e">
        <f>INDEX(#REF!,MATCH($E718,#REF!,0))</f>
        <v>#REF!</v>
      </c>
      <c r="AA718" t="e">
        <f>INDEX(#REF!,MATCH($E718,#REF!,0))</f>
        <v>#REF!</v>
      </c>
      <c r="AB718" t="e">
        <f>INDEX(#REF!,MATCH($E718,#REF!,0))</f>
        <v>#REF!</v>
      </c>
      <c r="AC718" t="e">
        <f>INDEX(#REF!,MATCH($E718,#REF!,0))</f>
        <v>#REF!</v>
      </c>
      <c r="AD718" t="e">
        <f>INDEX(#REF!,MATCH($E718,#REF!,0))</f>
        <v>#REF!</v>
      </c>
      <c r="AE718" t="e">
        <f t="shared" si="29"/>
        <v>#REF!</v>
      </c>
    </row>
    <row r="719" spans="2:31" x14ac:dyDescent="0.25">
      <c r="B719" s="45" t="s">
        <v>2862</v>
      </c>
      <c r="C719" s="45" t="s">
        <v>2936</v>
      </c>
      <c r="D719" s="89"/>
      <c r="E719" s="89">
        <v>180057</v>
      </c>
      <c r="F719" s="89">
        <v>1222</v>
      </c>
      <c r="G719" s="90">
        <v>6</v>
      </c>
      <c r="H719" s="90">
        <v>4</v>
      </c>
      <c r="I719" s="90" t="s">
        <v>18</v>
      </c>
      <c r="J719" s="90">
        <v>1</v>
      </c>
      <c r="K719" s="90">
        <v>0</v>
      </c>
      <c r="L719" s="91"/>
      <c r="M719" s="92" t="s">
        <v>2634</v>
      </c>
      <c r="N719" s="93" t="s">
        <v>2579</v>
      </c>
      <c r="P719" s="21" t="s">
        <v>2999</v>
      </c>
      <c r="Q719" s="12" t="s">
        <v>2811</v>
      </c>
      <c r="R719">
        <f t="shared" si="32"/>
        <v>1</v>
      </c>
      <c r="U719" s="37"/>
      <c r="V719" t="s">
        <v>2735</v>
      </c>
      <c r="W719" t="e">
        <f>INDEX(#REF!,MATCH($E719,#REF!,0))</f>
        <v>#REF!</v>
      </c>
      <c r="X719" t="e">
        <f>INDEX(#REF!,MATCH($E719,#REF!,0))</f>
        <v>#REF!</v>
      </c>
      <c r="Y719" t="e">
        <f>INDEX(#REF!,MATCH($E719,#REF!,0))</f>
        <v>#REF!</v>
      </c>
      <c r="Z719" t="e">
        <f>INDEX(#REF!,MATCH($E719,#REF!,0))</f>
        <v>#REF!</v>
      </c>
      <c r="AA719" t="e">
        <f>INDEX(#REF!,MATCH($E719,#REF!,0))</f>
        <v>#REF!</v>
      </c>
      <c r="AB719" t="e">
        <f>INDEX(#REF!,MATCH($E719,#REF!,0))</f>
        <v>#REF!</v>
      </c>
      <c r="AC719" t="e">
        <f>INDEX(#REF!,MATCH($E719,#REF!,0))</f>
        <v>#REF!</v>
      </c>
      <c r="AD719" t="e">
        <f>INDEX(#REF!,MATCH($E719,#REF!,0))</f>
        <v>#REF!</v>
      </c>
      <c r="AE719" t="e">
        <f t="shared" si="29"/>
        <v>#REF!</v>
      </c>
    </row>
    <row r="720" spans="2:31" x14ac:dyDescent="0.25">
      <c r="B720" s="45" t="s">
        <v>2863</v>
      </c>
      <c r="C720" s="45" t="s">
        <v>2937</v>
      </c>
      <c r="D720" s="89"/>
      <c r="E720" s="89">
        <v>180058</v>
      </c>
      <c r="F720" s="89">
        <v>1222</v>
      </c>
      <c r="G720" s="90">
        <v>7</v>
      </c>
      <c r="H720" s="90">
        <v>4</v>
      </c>
      <c r="I720" s="90" t="s">
        <v>18</v>
      </c>
      <c r="J720" s="90">
        <v>1</v>
      </c>
      <c r="K720" s="90">
        <v>0</v>
      </c>
      <c r="L720" s="91"/>
      <c r="M720" s="92" t="s">
        <v>2635</v>
      </c>
      <c r="N720" s="93" t="s">
        <v>2580</v>
      </c>
      <c r="P720" s="21" t="s">
        <v>2999</v>
      </c>
      <c r="Q720" s="12" t="s">
        <v>2811</v>
      </c>
      <c r="R720">
        <f t="shared" si="32"/>
        <v>1</v>
      </c>
      <c r="U720" s="37"/>
      <c r="V720" t="s">
        <v>2736</v>
      </c>
      <c r="W720" t="e">
        <f>INDEX(#REF!,MATCH($E720,#REF!,0))</f>
        <v>#REF!</v>
      </c>
      <c r="X720" t="e">
        <f>INDEX(#REF!,MATCH($E720,#REF!,0))</f>
        <v>#REF!</v>
      </c>
      <c r="Y720" t="e">
        <f>INDEX(#REF!,MATCH($E720,#REF!,0))</f>
        <v>#REF!</v>
      </c>
      <c r="Z720" t="e">
        <f>INDEX(#REF!,MATCH($E720,#REF!,0))</f>
        <v>#REF!</v>
      </c>
      <c r="AA720" t="e">
        <f>INDEX(#REF!,MATCH($E720,#REF!,0))</f>
        <v>#REF!</v>
      </c>
      <c r="AB720" t="e">
        <f>INDEX(#REF!,MATCH($E720,#REF!,0))</f>
        <v>#REF!</v>
      </c>
      <c r="AC720" t="e">
        <f>INDEX(#REF!,MATCH($E720,#REF!,0))</f>
        <v>#REF!</v>
      </c>
      <c r="AD720" t="e">
        <f>INDEX(#REF!,MATCH($E720,#REF!,0))</f>
        <v>#REF!</v>
      </c>
      <c r="AE720" t="e">
        <f t="shared" si="29"/>
        <v>#REF!</v>
      </c>
    </row>
    <row r="721" spans="2:31" x14ac:dyDescent="0.25">
      <c r="B721" s="45" t="s">
        <v>2864</v>
      </c>
      <c r="C721" s="45" t="s">
        <v>2938</v>
      </c>
      <c r="D721" s="89"/>
      <c r="E721" s="89">
        <v>180059</v>
      </c>
      <c r="F721" s="89">
        <v>1222</v>
      </c>
      <c r="G721" s="90">
        <v>8</v>
      </c>
      <c r="H721" s="90">
        <v>4</v>
      </c>
      <c r="I721" s="90" t="s">
        <v>18</v>
      </c>
      <c r="J721" s="90">
        <v>1</v>
      </c>
      <c r="K721" s="90">
        <v>0</v>
      </c>
      <c r="L721" s="91"/>
      <c r="M721" s="92" t="s">
        <v>2636</v>
      </c>
      <c r="N721" s="93" t="s">
        <v>2581</v>
      </c>
      <c r="P721" s="21" t="s">
        <v>2999</v>
      </c>
      <c r="Q721" s="12" t="s">
        <v>2811</v>
      </c>
      <c r="R721">
        <f t="shared" si="32"/>
        <v>1</v>
      </c>
      <c r="U721" s="37"/>
      <c r="V721" t="s">
        <v>2737</v>
      </c>
      <c r="W721" t="e">
        <f>INDEX(#REF!,MATCH($E721,#REF!,0))</f>
        <v>#REF!</v>
      </c>
      <c r="X721" t="e">
        <f>INDEX(#REF!,MATCH($E721,#REF!,0))</f>
        <v>#REF!</v>
      </c>
      <c r="Y721" t="e">
        <f>INDEX(#REF!,MATCH($E721,#REF!,0))</f>
        <v>#REF!</v>
      </c>
      <c r="Z721" t="e">
        <f>INDEX(#REF!,MATCH($E721,#REF!,0))</f>
        <v>#REF!</v>
      </c>
      <c r="AA721" t="e">
        <f>INDEX(#REF!,MATCH($E721,#REF!,0))</f>
        <v>#REF!</v>
      </c>
      <c r="AB721" t="e">
        <f>INDEX(#REF!,MATCH($E721,#REF!,0))</f>
        <v>#REF!</v>
      </c>
      <c r="AC721" t="e">
        <f>INDEX(#REF!,MATCH($E721,#REF!,0))</f>
        <v>#REF!</v>
      </c>
      <c r="AD721" t="e">
        <f>INDEX(#REF!,MATCH($E721,#REF!,0))</f>
        <v>#REF!</v>
      </c>
      <c r="AE721" t="e">
        <f t="shared" si="29"/>
        <v>#REF!</v>
      </c>
    </row>
    <row r="722" spans="2:31" x14ac:dyDescent="0.25">
      <c r="B722" s="45" t="s">
        <v>2865</v>
      </c>
      <c r="C722" s="45" t="s">
        <v>2939</v>
      </c>
      <c r="D722" s="89"/>
      <c r="E722" s="89">
        <v>180060</v>
      </c>
      <c r="F722" s="89">
        <v>1222</v>
      </c>
      <c r="G722" s="90">
        <v>9</v>
      </c>
      <c r="H722" s="90">
        <v>4</v>
      </c>
      <c r="I722" s="90" t="s">
        <v>18</v>
      </c>
      <c r="J722" s="90">
        <v>1</v>
      </c>
      <c r="K722" s="90">
        <v>0</v>
      </c>
      <c r="L722" s="91"/>
      <c r="M722" s="92" t="s">
        <v>2637</v>
      </c>
      <c r="N722" s="93" t="s">
        <v>2582</v>
      </c>
      <c r="P722" s="21" t="s">
        <v>2999</v>
      </c>
      <c r="Q722" s="12" t="s">
        <v>2811</v>
      </c>
      <c r="R722">
        <f t="shared" si="32"/>
        <v>1</v>
      </c>
      <c r="U722" s="37"/>
      <c r="V722" t="s">
        <v>2738</v>
      </c>
      <c r="W722" t="e">
        <f>INDEX(#REF!,MATCH($E722,#REF!,0))</f>
        <v>#REF!</v>
      </c>
      <c r="X722" t="e">
        <f>INDEX(#REF!,MATCH($E722,#REF!,0))</f>
        <v>#REF!</v>
      </c>
      <c r="Y722" t="e">
        <f>INDEX(#REF!,MATCH($E722,#REF!,0))</f>
        <v>#REF!</v>
      </c>
      <c r="Z722" t="e">
        <f>INDEX(#REF!,MATCH($E722,#REF!,0))</f>
        <v>#REF!</v>
      </c>
      <c r="AA722" t="e">
        <f>INDEX(#REF!,MATCH($E722,#REF!,0))</f>
        <v>#REF!</v>
      </c>
      <c r="AB722" t="e">
        <f>INDEX(#REF!,MATCH($E722,#REF!,0))</f>
        <v>#REF!</v>
      </c>
      <c r="AC722" t="e">
        <f>INDEX(#REF!,MATCH($E722,#REF!,0))</f>
        <v>#REF!</v>
      </c>
      <c r="AD722" t="e">
        <f>INDEX(#REF!,MATCH($E722,#REF!,0))</f>
        <v>#REF!</v>
      </c>
      <c r="AE722" t="e">
        <f t="shared" si="29"/>
        <v>#REF!</v>
      </c>
    </row>
    <row r="723" spans="2:31" x14ac:dyDescent="0.25">
      <c r="B723" s="45" t="s">
        <v>2868</v>
      </c>
      <c r="C723" s="45" t="s">
        <v>2942</v>
      </c>
      <c r="D723" s="89"/>
      <c r="E723" s="89">
        <v>180061</v>
      </c>
      <c r="F723" s="89">
        <v>1222</v>
      </c>
      <c r="G723" s="90">
        <v>10</v>
      </c>
      <c r="H723" s="90">
        <v>4</v>
      </c>
      <c r="I723" s="90" t="s">
        <v>184</v>
      </c>
      <c r="J723" s="90">
        <v>1</v>
      </c>
      <c r="K723" s="90">
        <v>0</v>
      </c>
      <c r="L723" s="91"/>
      <c r="M723" s="92" t="s">
        <v>2638</v>
      </c>
      <c r="N723" s="93" t="s">
        <v>2583</v>
      </c>
      <c r="P723" s="21" t="s">
        <v>3128</v>
      </c>
      <c r="Q723" s="12" t="s">
        <v>2811</v>
      </c>
      <c r="R723">
        <f t="shared" si="32"/>
        <v>1</v>
      </c>
      <c r="U723" s="37"/>
      <c r="V723" t="s">
        <v>2739</v>
      </c>
      <c r="W723" t="e">
        <f>INDEX(#REF!,MATCH($E723,#REF!,0))</f>
        <v>#REF!</v>
      </c>
      <c r="X723" t="e">
        <f>INDEX(#REF!,MATCH($E723,#REF!,0))</f>
        <v>#REF!</v>
      </c>
      <c r="Y723" t="e">
        <f>INDEX(#REF!,MATCH($E723,#REF!,0))</f>
        <v>#REF!</v>
      </c>
      <c r="Z723" t="e">
        <f>INDEX(#REF!,MATCH($E723,#REF!,0))</f>
        <v>#REF!</v>
      </c>
      <c r="AA723" t="e">
        <f>INDEX(#REF!,MATCH($E723,#REF!,0))</f>
        <v>#REF!</v>
      </c>
      <c r="AB723" t="e">
        <f>INDEX(#REF!,MATCH($E723,#REF!,0))</f>
        <v>#REF!</v>
      </c>
      <c r="AC723" t="e">
        <f>INDEX(#REF!,MATCH($E723,#REF!,0))</f>
        <v>#REF!</v>
      </c>
      <c r="AD723" t="e">
        <f>INDEX(#REF!,MATCH($E723,#REF!,0))</f>
        <v>#REF!</v>
      </c>
      <c r="AE723" t="e">
        <f t="shared" si="29"/>
        <v>#REF!</v>
      </c>
    </row>
    <row r="724" spans="2:31" x14ac:dyDescent="0.25">
      <c r="B724" s="45" t="s">
        <v>3019</v>
      </c>
      <c r="C724" s="45" t="s">
        <v>2943</v>
      </c>
      <c r="D724" s="89"/>
      <c r="E724" s="89">
        <v>180062</v>
      </c>
      <c r="F724" s="89">
        <v>1222</v>
      </c>
      <c r="G724" s="90">
        <v>11</v>
      </c>
      <c r="H724" s="90">
        <v>4</v>
      </c>
      <c r="I724" s="90" t="s">
        <v>184</v>
      </c>
      <c r="J724" s="90">
        <v>1</v>
      </c>
      <c r="K724" s="90">
        <v>0</v>
      </c>
      <c r="L724" s="91"/>
      <c r="M724" s="92" t="s">
        <v>2639</v>
      </c>
      <c r="N724" s="93" t="s">
        <v>2584</v>
      </c>
      <c r="P724" s="21" t="s">
        <v>3128</v>
      </c>
      <c r="Q724" s="12" t="s">
        <v>2811</v>
      </c>
      <c r="R724">
        <f t="shared" si="32"/>
        <v>1</v>
      </c>
      <c r="U724" s="37"/>
      <c r="V724" t="s">
        <v>2740</v>
      </c>
      <c r="W724" t="e">
        <f>INDEX(#REF!,MATCH($E724,#REF!,0))</f>
        <v>#REF!</v>
      </c>
      <c r="X724" t="e">
        <f>INDEX(#REF!,MATCH($E724,#REF!,0))</f>
        <v>#REF!</v>
      </c>
      <c r="Y724" t="e">
        <f>INDEX(#REF!,MATCH($E724,#REF!,0))</f>
        <v>#REF!</v>
      </c>
      <c r="Z724" t="e">
        <f>INDEX(#REF!,MATCH($E724,#REF!,0))</f>
        <v>#REF!</v>
      </c>
      <c r="AA724" t="e">
        <f>INDEX(#REF!,MATCH($E724,#REF!,0))</f>
        <v>#REF!</v>
      </c>
      <c r="AB724" t="e">
        <f>INDEX(#REF!,MATCH($E724,#REF!,0))</f>
        <v>#REF!</v>
      </c>
      <c r="AC724" t="e">
        <f>INDEX(#REF!,MATCH($E724,#REF!,0))</f>
        <v>#REF!</v>
      </c>
      <c r="AD724" t="e">
        <f>INDEX(#REF!,MATCH($E724,#REF!,0))</f>
        <v>#REF!</v>
      </c>
      <c r="AE724" t="e">
        <f t="shared" si="29"/>
        <v>#REF!</v>
      </c>
    </row>
    <row r="725" spans="2:31" x14ac:dyDescent="0.25">
      <c r="B725" s="45" t="s">
        <v>2866</v>
      </c>
      <c r="C725" s="45" t="s">
        <v>2940</v>
      </c>
      <c r="D725" s="89"/>
      <c r="E725" s="89">
        <v>180063</v>
      </c>
      <c r="F725" s="89">
        <v>1222</v>
      </c>
      <c r="G725" s="90">
        <v>12</v>
      </c>
      <c r="H725" s="90">
        <v>4</v>
      </c>
      <c r="I725" s="90" t="s">
        <v>184</v>
      </c>
      <c r="J725" s="90">
        <v>1</v>
      </c>
      <c r="K725" s="90">
        <v>0</v>
      </c>
      <c r="L725" s="91"/>
      <c r="M725" s="92" t="s">
        <v>2640</v>
      </c>
      <c r="N725" s="93" t="s">
        <v>3044</v>
      </c>
      <c r="P725" s="21" t="s">
        <v>3128</v>
      </c>
      <c r="Q725" s="12" t="s">
        <v>2811</v>
      </c>
      <c r="R725">
        <f t="shared" si="32"/>
        <v>1</v>
      </c>
      <c r="U725" s="37"/>
      <c r="V725" t="s">
        <v>2741</v>
      </c>
      <c r="W725" t="e">
        <f>INDEX(#REF!,MATCH($E725,#REF!,0))</f>
        <v>#REF!</v>
      </c>
      <c r="X725" t="e">
        <f>INDEX(#REF!,MATCH($E725,#REF!,0))</f>
        <v>#REF!</v>
      </c>
      <c r="Y725" t="e">
        <f>INDEX(#REF!,MATCH($E725,#REF!,0))</f>
        <v>#REF!</v>
      </c>
      <c r="Z725" t="e">
        <f>INDEX(#REF!,MATCH($E725,#REF!,0))</f>
        <v>#REF!</v>
      </c>
      <c r="AA725" t="e">
        <f>INDEX(#REF!,MATCH($E725,#REF!,0))</f>
        <v>#REF!</v>
      </c>
      <c r="AB725" t="e">
        <f>INDEX(#REF!,MATCH($E725,#REF!,0))</f>
        <v>#REF!</v>
      </c>
      <c r="AC725" t="e">
        <f>INDEX(#REF!,MATCH($E725,#REF!,0))</f>
        <v>#REF!</v>
      </c>
      <c r="AD725" t="e">
        <f>INDEX(#REF!,MATCH($E725,#REF!,0))</f>
        <v>#REF!</v>
      </c>
      <c r="AE725" t="e">
        <f t="shared" si="29"/>
        <v>#REF!</v>
      </c>
    </row>
    <row r="726" spans="2:31" x14ac:dyDescent="0.25">
      <c r="B726" s="45" t="s">
        <v>2867</v>
      </c>
      <c r="C726" s="45" t="s">
        <v>2941</v>
      </c>
      <c r="D726" s="89"/>
      <c r="E726" s="89">
        <v>180064</v>
      </c>
      <c r="F726" s="89">
        <v>1222</v>
      </c>
      <c r="G726" s="90">
        <v>13</v>
      </c>
      <c r="H726" s="90">
        <v>4</v>
      </c>
      <c r="I726" s="90" t="s">
        <v>184</v>
      </c>
      <c r="J726" s="90">
        <v>1</v>
      </c>
      <c r="K726" s="90">
        <v>0</v>
      </c>
      <c r="L726" s="91"/>
      <c r="M726" s="92" t="s">
        <v>2641</v>
      </c>
      <c r="N726" s="93" t="s">
        <v>3045</v>
      </c>
      <c r="P726" s="21" t="s">
        <v>3128</v>
      </c>
      <c r="Q726" s="12" t="s">
        <v>2811</v>
      </c>
      <c r="R726">
        <f t="shared" si="32"/>
        <v>1</v>
      </c>
      <c r="U726" s="37"/>
      <c r="V726" t="s">
        <v>2742</v>
      </c>
      <c r="W726" t="e">
        <f>INDEX(#REF!,MATCH($E726,#REF!,0))</f>
        <v>#REF!</v>
      </c>
      <c r="X726" t="e">
        <f>INDEX(#REF!,MATCH($E726,#REF!,0))</f>
        <v>#REF!</v>
      </c>
      <c r="Y726" t="e">
        <f>INDEX(#REF!,MATCH($E726,#REF!,0))</f>
        <v>#REF!</v>
      </c>
      <c r="Z726" t="e">
        <f>INDEX(#REF!,MATCH($E726,#REF!,0))</f>
        <v>#REF!</v>
      </c>
      <c r="AA726" t="e">
        <f>INDEX(#REF!,MATCH($E726,#REF!,0))</f>
        <v>#REF!</v>
      </c>
      <c r="AB726" t="e">
        <f>INDEX(#REF!,MATCH($E726,#REF!,0))</f>
        <v>#REF!</v>
      </c>
      <c r="AC726" t="e">
        <f>INDEX(#REF!,MATCH($E726,#REF!,0))</f>
        <v>#REF!</v>
      </c>
      <c r="AD726" t="e">
        <f>INDEX(#REF!,MATCH($E726,#REF!,0))</f>
        <v>#REF!</v>
      </c>
      <c r="AE726" t="e">
        <f t="shared" ref="AE726:AE771" si="33">AND(X726=F726,G726=Y726,AC726=J726,AD726=H726)</f>
        <v>#REF!</v>
      </c>
    </row>
    <row r="727" spans="2:31" x14ac:dyDescent="0.25">
      <c r="B727" s="45" t="s">
        <v>2869</v>
      </c>
      <c r="C727" s="45" t="s">
        <v>2944</v>
      </c>
      <c r="D727" s="89"/>
      <c r="E727" s="89">
        <v>180065</v>
      </c>
      <c r="F727" s="89">
        <v>1222</v>
      </c>
      <c r="G727" s="90">
        <v>14</v>
      </c>
      <c r="H727" s="90">
        <v>4</v>
      </c>
      <c r="I727" s="90" t="s">
        <v>184</v>
      </c>
      <c r="J727" s="90">
        <v>1</v>
      </c>
      <c r="K727" s="90">
        <v>0</v>
      </c>
      <c r="L727" s="91"/>
      <c r="M727" s="92" t="s">
        <v>2642</v>
      </c>
      <c r="N727" s="93" t="s">
        <v>2585</v>
      </c>
      <c r="P727" s="21" t="s">
        <v>2999</v>
      </c>
      <c r="Q727" s="12" t="s">
        <v>2811</v>
      </c>
      <c r="R727">
        <f t="shared" si="32"/>
        <v>1</v>
      </c>
      <c r="U727" s="37"/>
      <c r="V727" t="s">
        <v>2743</v>
      </c>
      <c r="W727" t="e">
        <f>INDEX(#REF!,MATCH($E727,#REF!,0))</f>
        <v>#REF!</v>
      </c>
      <c r="X727" t="e">
        <f>INDEX(#REF!,MATCH($E727,#REF!,0))</f>
        <v>#REF!</v>
      </c>
      <c r="Y727" t="e">
        <f>INDEX(#REF!,MATCH($E727,#REF!,0))</f>
        <v>#REF!</v>
      </c>
      <c r="Z727" t="e">
        <f>INDEX(#REF!,MATCH($E727,#REF!,0))</f>
        <v>#REF!</v>
      </c>
      <c r="AA727" t="e">
        <f>INDEX(#REF!,MATCH($E727,#REF!,0))</f>
        <v>#REF!</v>
      </c>
      <c r="AB727" t="e">
        <f>INDEX(#REF!,MATCH($E727,#REF!,0))</f>
        <v>#REF!</v>
      </c>
      <c r="AC727" t="e">
        <f>INDEX(#REF!,MATCH($E727,#REF!,0))</f>
        <v>#REF!</v>
      </c>
      <c r="AD727" t="e">
        <f>INDEX(#REF!,MATCH($E727,#REF!,0))</f>
        <v>#REF!</v>
      </c>
      <c r="AE727" t="e">
        <f t="shared" si="33"/>
        <v>#REF!</v>
      </c>
    </row>
    <row r="728" spans="2:31" x14ac:dyDescent="0.25">
      <c r="B728" s="45" t="s">
        <v>2870</v>
      </c>
      <c r="C728" s="45" t="s">
        <v>2945</v>
      </c>
      <c r="D728" s="89"/>
      <c r="E728" s="89">
        <v>180066</v>
      </c>
      <c r="F728" s="89">
        <v>1222</v>
      </c>
      <c r="G728" s="90">
        <v>15</v>
      </c>
      <c r="H728" s="90">
        <v>4</v>
      </c>
      <c r="I728" s="90" t="s">
        <v>184</v>
      </c>
      <c r="J728" s="90">
        <v>1</v>
      </c>
      <c r="K728" s="90">
        <v>0</v>
      </c>
      <c r="L728" s="91"/>
      <c r="M728" s="92" t="s">
        <v>2643</v>
      </c>
      <c r="N728" s="93" t="s">
        <v>2586</v>
      </c>
      <c r="P728" s="21" t="s">
        <v>2999</v>
      </c>
      <c r="Q728" s="12" t="s">
        <v>2811</v>
      </c>
      <c r="R728">
        <f t="shared" si="32"/>
        <v>1</v>
      </c>
      <c r="U728" s="37"/>
      <c r="V728" t="s">
        <v>2744</v>
      </c>
      <c r="W728" t="e">
        <f>INDEX(#REF!,MATCH($E728,#REF!,0))</f>
        <v>#REF!</v>
      </c>
      <c r="X728" t="e">
        <f>INDEX(#REF!,MATCH($E728,#REF!,0))</f>
        <v>#REF!</v>
      </c>
      <c r="Y728" t="e">
        <f>INDEX(#REF!,MATCH($E728,#REF!,0))</f>
        <v>#REF!</v>
      </c>
      <c r="Z728" t="e">
        <f>INDEX(#REF!,MATCH($E728,#REF!,0))</f>
        <v>#REF!</v>
      </c>
      <c r="AA728" t="e">
        <f>INDEX(#REF!,MATCH($E728,#REF!,0))</f>
        <v>#REF!</v>
      </c>
      <c r="AB728" t="e">
        <f>INDEX(#REF!,MATCH($E728,#REF!,0))</f>
        <v>#REF!</v>
      </c>
      <c r="AC728" t="e">
        <f>INDEX(#REF!,MATCH($E728,#REF!,0))</f>
        <v>#REF!</v>
      </c>
      <c r="AD728" t="e">
        <f>INDEX(#REF!,MATCH($E728,#REF!,0))</f>
        <v>#REF!</v>
      </c>
      <c r="AE728" t="e">
        <f t="shared" si="33"/>
        <v>#REF!</v>
      </c>
    </row>
    <row r="729" spans="2:31" x14ac:dyDescent="0.25">
      <c r="B729" s="45" t="s">
        <v>2871</v>
      </c>
      <c r="C729" s="45" t="s">
        <v>2946</v>
      </c>
      <c r="D729" s="89"/>
      <c r="E729" s="89">
        <v>180067</v>
      </c>
      <c r="F729" s="89">
        <v>1222</v>
      </c>
      <c r="G729" s="90">
        <v>16</v>
      </c>
      <c r="H729" s="90">
        <v>4</v>
      </c>
      <c r="I729" s="90" t="s">
        <v>184</v>
      </c>
      <c r="J729" s="90">
        <v>1</v>
      </c>
      <c r="K729" s="90">
        <v>0</v>
      </c>
      <c r="L729" s="91"/>
      <c r="M729" s="92" t="s">
        <v>2644</v>
      </c>
      <c r="N729" s="93" t="s">
        <v>2587</v>
      </c>
      <c r="P729" s="21" t="s">
        <v>2999</v>
      </c>
      <c r="Q729" s="12" t="s">
        <v>2811</v>
      </c>
      <c r="R729">
        <f t="shared" si="32"/>
        <v>1</v>
      </c>
      <c r="U729" s="37"/>
      <c r="V729" t="s">
        <v>2745</v>
      </c>
      <c r="W729" t="e">
        <f>INDEX(#REF!,MATCH($E729,#REF!,0))</f>
        <v>#REF!</v>
      </c>
      <c r="X729" t="e">
        <f>INDEX(#REF!,MATCH($E729,#REF!,0))</f>
        <v>#REF!</v>
      </c>
      <c r="Y729" t="e">
        <f>INDEX(#REF!,MATCH($E729,#REF!,0))</f>
        <v>#REF!</v>
      </c>
      <c r="Z729" t="e">
        <f>INDEX(#REF!,MATCH($E729,#REF!,0))</f>
        <v>#REF!</v>
      </c>
      <c r="AA729" t="e">
        <f>INDEX(#REF!,MATCH($E729,#REF!,0))</f>
        <v>#REF!</v>
      </c>
      <c r="AB729" t="e">
        <f>INDEX(#REF!,MATCH($E729,#REF!,0))</f>
        <v>#REF!</v>
      </c>
      <c r="AC729" t="e">
        <f>INDEX(#REF!,MATCH($E729,#REF!,0))</f>
        <v>#REF!</v>
      </c>
      <c r="AD729" t="e">
        <f>INDEX(#REF!,MATCH($E729,#REF!,0))</f>
        <v>#REF!</v>
      </c>
      <c r="AE729" t="e">
        <f t="shared" si="33"/>
        <v>#REF!</v>
      </c>
    </row>
    <row r="730" spans="2:31" x14ac:dyDescent="0.25">
      <c r="B730" s="45" t="s">
        <v>2872</v>
      </c>
      <c r="C730" s="45" t="s">
        <v>2947</v>
      </c>
      <c r="D730" s="89"/>
      <c r="E730" s="89">
        <v>180068</v>
      </c>
      <c r="F730" s="89">
        <v>1222</v>
      </c>
      <c r="G730" s="90">
        <v>17</v>
      </c>
      <c r="H730" s="90">
        <v>4</v>
      </c>
      <c r="I730" s="90" t="s">
        <v>184</v>
      </c>
      <c r="J730" s="90">
        <v>1</v>
      </c>
      <c r="K730" s="90">
        <v>0</v>
      </c>
      <c r="L730" s="91"/>
      <c r="M730" s="92" t="s">
        <v>2645</v>
      </c>
      <c r="N730" s="93" t="s">
        <v>2588</v>
      </c>
      <c r="P730" s="21" t="s">
        <v>2999</v>
      </c>
      <c r="Q730" s="12" t="s">
        <v>2811</v>
      </c>
      <c r="R730">
        <f t="shared" si="32"/>
        <v>1</v>
      </c>
      <c r="U730" s="37"/>
      <c r="V730" t="s">
        <v>2746</v>
      </c>
      <c r="W730" t="e">
        <f>INDEX(#REF!,MATCH($E730,#REF!,0))</f>
        <v>#REF!</v>
      </c>
      <c r="X730" t="e">
        <f>INDEX(#REF!,MATCH($E730,#REF!,0))</f>
        <v>#REF!</v>
      </c>
      <c r="Y730" t="e">
        <f>INDEX(#REF!,MATCH($E730,#REF!,0))</f>
        <v>#REF!</v>
      </c>
      <c r="Z730" t="e">
        <f>INDEX(#REF!,MATCH($E730,#REF!,0))</f>
        <v>#REF!</v>
      </c>
      <c r="AA730" t="e">
        <f>INDEX(#REF!,MATCH($E730,#REF!,0))</f>
        <v>#REF!</v>
      </c>
      <c r="AB730" t="e">
        <f>INDEX(#REF!,MATCH($E730,#REF!,0))</f>
        <v>#REF!</v>
      </c>
      <c r="AC730" t="e">
        <f>INDEX(#REF!,MATCH($E730,#REF!,0))</f>
        <v>#REF!</v>
      </c>
      <c r="AD730" t="e">
        <f>INDEX(#REF!,MATCH($E730,#REF!,0))</f>
        <v>#REF!</v>
      </c>
      <c r="AE730" t="e">
        <f t="shared" si="33"/>
        <v>#REF!</v>
      </c>
    </row>
    <row r="731" spans="2:31" x14ac:dyDescent="0.25">
      <c r="B731" s="45" t="s">
        <v>2873</v>
      </c>
      <c r="C731" s="45" t="s">
        <v>2948</v>
      </c>
      <c r="D731" s="89"/>
      <c r="E731" s="89">
        <v>180069</v>
      </c>
      <c r="F731" s="89">
        <v>1222</v>
      </c>
      <c r="G731" s="90">
        <v>18</v>
      </c>
      <c r="H731" s="90">
        <v>4</v>
      </c>
      <c r="I731" s="90" t="s">
        <v>184</v>
      </c>
      <c r="J731" s="90">
        <v>1</v>
      </c>
      <c r="K731" s="90">
        <v>0</v>
      </c>
      <c r="L731" s="91"/>
      <c r="M731" s="92" t="s">
        <v>2646</v>
      </c>
      <c r="N731" s="93" t="s">
        <v>2589</v>
      </c>
      <c r="P731" s="21" t="s">
        <v>2999</v>
      </c>
      <c r="Q731" s="12" t="s">
        <v>2811</v>
      </c>
      <c r="R731">
        <f t="shared" si="32"/>
        <v>1</v>
      </c>
      <c r="U731" s="37"/>
      <c r="V731" t="s">
        <v>2747</v>
      </c>
      <c r="W731" t="e">
        <f>INDEX(#REF!,MATCH($E731,#REF!,0))</f>
        <v>#REF!</v>
      </c>
      <c r="X731" t="e">
        <f>INDEX(#REF!,MATCH($E731,#REF!,0))</f>
        <v>#REF!</v>
      </c>
      <c r="Y731" t="e">
        <f>INDEX(#REF!,MATCH($E731,#REF!,0))</f>
        <v>#REF!</v>
      </c>
      <c r="Z731" t="e">
        <f>INDEX(#REF!,MATCH($E731,#REF!,0))</f>
        <v>#REF!</v>
      </c>
      <c r="AA731" t="e">
        <f>INDEX(#REF!,MATCH($E731,#REF!,0))</f>
        <v>#REF!</v>
      </c>
      <c r="AB731" t="e">
        <f>INDEX(#REF!,MATCH($E731,#REF!,0))</f>
        <v>#REF!</v>
      </c>
      <c r="AC731" t="e">
        <f>INDEX(#REF!,MATCH($E731,#REF!,0))</f>
        <v>#REF!</v>
      </c>
      <c r="AD731" t="e">
        <f>INDEX(#REF!,MATCH($E731,#REF!,0))</f>
        <v>#REF!</v>
      </c>
      <c r="AE731" t="e">
        <f t="shared" si="33"/>
        <v>#REF!</v>
      </c>
    </row>
    <row r="732" spans="2:31" x14ac:dyDescent="0.25">
      <c r="B732" s="45" t="s">
        <v>2874</v>
      </c>
      <c r="C732" s="45" t="s">
        <v>2949</v>
      </c>
      <c r="D732" s="89"/>
      <c r="E732" s="89">
        <v>180070</v>
      </c>
      <c r="F732" s="89">
        <v>1222</v>
      </c>
      <c r="G732" s="90">
        <v>19</v>
      </c>
      <c r="H732" s="90">
        <v>4</v>
      </c>
      <c r="I732" s="90" t="s">
        <v>184</v>
      </c>
      <c r="J732" s="90">
        <v>1</v>
      </c>
      <c r="K732" s="90">
        <v>0</v>
      </c>
      <c r="L732" s="91"/>
      <c r="M732" s="92" t="s">
        <v>2647</v>
      </c>
      <c r="N732" s="93" t="s">
        <v>2590</v>
      </c>
      <c r="P732" s="21" t="s">
        <v>2999</v>
      </c>
      <c r="Q732" s="12" t="s">
        <v>2811</v>
      </c>
      <c r="R732">
        <f t="shared" si="32"/>
        <v>1</v>
      </c>
      <c r="U732" s="37"/>
      <c r="V732" t="s">
        <v>2748</v>
      </c>
      <c r="W732" t="e">
        <f>INDEX(#REF!,MATCH($E732,#REF!,0))</f>
        <v>#REF!</v>
      </c>
      <c r="X732" t="e">
        <f>INDEX(#REF!,MATCH($E732,#REF!,0))</f>
        <v>#REF!</v>
      </c>
      <c r="Y732" t="e">
        <f>INDEX(#REF!,MATCH($E732,#REF!,0))</f>
        <v>#REF!</v>
      </c>
      <c r="Z732" t="e">
        <f>INDEX(#REF!,MATCH($E732,#REF!,0))</f>
        <v>#REF!</v>
      </c>
      <c r="AA732" t="e">
        <f>INDEX(#REF!,MATCH($E732,#REF!,0))</f>
        <v>#REF!</v>
      </c>
      <c r="AB732" t="e">
        <f>INDEX(#REF!,MATCH($E732,#REF!,0))</f>
        <v>#REF!</v>
      </c>
      <c r="AC732" t="e">
        <f>INDEX(#REF!,MATCH($E732,#REF!,0))</f>
        <v>#REF!</v>
      </c>
      <c r="AD732" t="e">
        <f>INDEX(#REF!,MATCH($E732,#REF!,0))</f>
        <v>#REF!</v>
      </c>
      <c r="AE732" t="e">
        <f t="shared" si="33"/>
        <v>#REF!</v>
      </c>
    </row>
    <row r="733" spans="2:31" x14ac:dyDescent="0.25">
      <c r="B733" s="45" t="s">
        <v>2875</v>
      </c>
      <c r="C733" s="45" t="s">
        <v>2990</v>
      </c>
      <c r="D733" s="89"/>
      <c r="E733" s="89">
        <v>180072</v>
      </c>
      <c r="F733" s="89">
        <v>1222</v>
      </c>
      <c r="G733" s="90">
        <v>20</v>
      </c>
      <c r="H733" s="90">
        <v>4</v>
      </c>
      <c r="I733" s="90" t="s">
        <v>222</v>
      </c>
      <c r="J733" s="90">
        <v>1000</v>
      </c>
      <c r="K733" s="90">
        <v>0</v>
      </c>
      <c r="L733" s="91"/>
      <c r="M733" s="92" t="s">
        <v>2761</v>
      </c>
      <c r="N733" s="93" t="s">
        <v>2757</v>
      </c>
      <c r="P733" s="21" t="s">
        <v>2999</v>
      </c>
      <c r="Q733" s="12" t="s">
        <v>2811</v>
      </c>
      <c r="R733">
        <f t="shared" si="32"/>
        <v>1</v>
      </c>
      <c r="V733" s="56" t="s">
        <v>2753</v>
      </c>
      <c r="W733" t="e">
        <f>INDEX(#REF!,MATCH($E733,#REF!,0))</f>
        <v>#REF!</v>
      </c>
      <c r="X733" t="e">
        <f>INDEX(#REF!,MATCH($E733,#REF!,0))</f>
        <v>#REF!</v>
      </c>
      <c r="Y733" t="e">
        <f>INDEX(#REF!,MATCH($E733,#REF!,0))</f>
        <v>#REF!</v>
      </c>
      <c r="Z733" t="e">
        <f>INDEX(#REF!,MATCH($E733,#REF!,0))</f>
        <v>#REF!</v>
      </c>
      <c r="AA733" t="e">
        <f>INDEX(#REF!,MATCH($E733,#REF!,0))</f>
        <v>#REF!</v>
      </c>
      <c r="AB733" t="e">
        <f>INDEX(#REF!,MATCH($E733,#REF!,0))</f>
        <v>#REF!</v>
      </c>
      <c r="AC733" t="e">
        <f>INDEX(#REF!,MATCH($E733,#REF!,0))</f>
        <v>#REF!</v>
      </c>
      <c r="AD733" t="e">
        <f>INDEX(#REF!,MATCH($E733,#REF!,0))</f>
        <v>#REF!</v>
      </c>
      <c r="AE733" t="e">
        <f t="shared" si="33"/>
        <v>#REF!</v>
      </c>
    </row>
    <row r="734" spans="2:31" x14ac:dyDescent="0.25">
      <c r="B734" s="45" t="s">
        <v>3013</v>
      </c>
      <c r="C734" s="45" t="s">
        <v>3016</v>
      </c>
      <c r="D734" s="89"/>
      <c r="E734" s="89">
        <v>180073</v>
      </c>
      <c r="F734" s="89">
        <v>1222</v>
      </c>
      <c r="G734" s="90">
        <v>21</v>
      </c>
      <c r="H734" s="90">
        <v>4</v>
      </c>
      <c r="I734" s="90" t="s">
        <v>184</v>
      </c>
      <c r="J734" s="90">
        <v>1</v>
      </c>
      <c r="K734" s="90">
        <v>0</v>
      </c>
      <c r="L734" s="91"/>
      <c r="M734" s="92" t="s">
        <v>2762</v>
      </c>
      <c r="N734" s="93" t="s">
        <v>2758</v>
      </c>
      <c r="P734" s="21" t="s">
        <v>2999</v>
      </c>
      <c r="Q734" s="12" t="s">
        <v>2811</v>
      </c>
      <c r="R734">
        <f t="shared" si="32"/>
        <v>1</v>
      </c>
      <c r="V734" s="56" t="s">
        <v>2754</v>
      </c>
      <c r="W734" t="e">
        <f>INDEX(#REF!,MATCH($E734,#REF!,0))</f>
        <v>#REF!</v>
      </c>
      <c r="X734" t="e">
        <f>INDEX(#REF!,MATCH($E734,#REF!,0))</f>
        <v>#REF!</v>
      </c>
      <c r="Y734" t="e">
        <f>INDEX(#REF!,MATCH($E734,#REF!,0))</f>
        <v>#REF!</v>
      </c>
      <c r="Z734" t="e">
        <f>INDEX(#REF!,MATCH($E734,#REF!,0))</f>
        <v>#REF!</v>
      </c>
      <c r="AA734" t="e">
        <f>INDEX(#REF!,MATCH($E734,#REF!,0))</f>
        <v>#REF!</v>
      </c>
      <c r="AB734" t="e">
        <f>INDEX(#REF!,MATCH($E734,#REF!,0))</f>
        <v>#REF!</v>
      </c>
      <c r="AC734" t="e">
        <f>INDEX(#REF!,MATCH($E734,#REF!,0))</f>
        <v>#REF!</v>
      </c>
      <c r="AD734" t="e">
        <f>INDEX(#REF!,MATCH($E734,#REF!,0))</f>
        <v>#REF!</v>
      </c>
      <c r="AE734" t="e">
        <f t="shared" si="33"/>
        <v>#REF!</v>
      </c>
    </row>
    <row r="735" spans="2:31" x14ac:dyDescent="0.25">
      <c r="B735" s="45" t="s">
        <v>3014</v>
      </c>
      <c r="C735" s="45" t="s">
        <v>3017</v>
      </c>
      <c r="D735" s="89"/>
      <c r="E735" s="89">
        <v>180074</v>
      </c>
      <c r="F735" s="89">
        <v>1222</v>
      </c>
      <c r="G735" s="90">
        <v>22</v>
      </c>
      <c r="H735" s="90">
        <v>4</v>
      </c>
      <c r="I735" s="90" t="s">
        <v>184</v>
      </c>
      <c r="J735" s="90">
        <v>1</v>
      </c>
      <c r="K735" s="90">
        <v>0</v>
      </c>
      <c r="L735" s="91"/>
      <c r="M735" s="92" t="s">
        <v>2763</v>
      </c>
      <c r="N735" s="93" t="s">
        <v>2759</v>
      </c>
      <c r="P735" s="21" t="s">
        <v>2999</v>
      </c>
      <c r="Q735" s="12" t="s">
        <v>2811</v>
      </c>
      <c r="R735">
        <f t="shared" si="32"/>
        <v>1</v>
      </c>
      <c r="V735" s="56" t="s">
        <v>2755</v>
      </c>
      <c r="W735" t="e">
        <f>INDEX(#REF!,MATCH($E735,#REF!,0))</f>
        <v>#REF!</v>
      </c>
      <c r="X735" t="e">
        <f>INDEX(#REF!,MATCH($E735,#REF!,0))</f>
        <v>#REF!</v>
      </c>
      <c r="Y735" t="e">
        <f>INDEX(#REF!,MATCH($E735,#REF!,0))</f>
        <v>#REF!</v>
      </c>
      <c r="Z735" t="e">
        <f>INDEX(#REF!,MATCH($E735,#REF!,0))</f>
        <v>#REF!</v>
      </c>
      <c r="AA735" t="e">
        <f>INDEX(#REF!,MATCH($E735,#REF!,0))</f>
        <v>#REF!</v>
      </c>
      <c r="AB735" t="e">
        <f>INDEX(#REF!,MATCH($E735,#REF!,0))</f>
        <v>#REF!</v>
      </c>
      <c r="AC735" t="e">
        <f>INDEX(#REF!,MATCH($E735,#REF!,0))</f>
        <v>#REF!</v>
      </c>
      <c r="AD735" t="e">
        <f>INDEX(#REF!,MATCH($E735,#REF!,0))</f>
        <v>#REF!</v>
      </c>
      <c r="AE735" t="e">
        <f t="shared" si="33"/>
        <v>#REF!</v>
      </c>
    </row>
    <row r="736" spans="2:31" ht="30" x14ac:dyDescent="0.25">
      <c r="B736" s="45" t="s">
        <v>2951</v>
      </c>
      <c r="C736" s="45" t="s">
        <v>2950</v>
      </c>
      <c r="D736" s="89"/>
      <c r="E736" s="89">
        <v>180075</v>
      </c>
      <c r="F736" s="89">
        <v>1222</v>
      </c>
      <c r="G736" s="90">
        <v>23</v>
      </c>
      <c r="H736" s="90">
        <v>4</v>
      </c>
      <c r="I736" s="90" t="s">
        <v>26</v>
      </c>
      <c r="J736" s="90">
        <v>1</v>
      </c>
      <c r="K736" s="90">
        <v>0</v>
      </c>
      <c r="L736" s="91"/>
      <c r="M736" s="92" t="s">
        <v>2764</v>
      </c>
      <c r="N736" s="93" t="s">
        <v>2760</v>
      </c>
      <c r="P736" s="21" t="s">
        <v>2999</v>
      </c>
      <c r="Q736" s="12" t="s">
        <v>3329</v>
      </c>
      <c r="R736">
        <f t="shared" si="32"/>
        <v>1</v>
      </c>
      <c r="V736" s="56" t="s">
        <v>2756</v>
      </c>
      <c r="W736" t="e">
        <f>INDEX(#REF!,MATCH($E736,#REF!,0))</f>
        <v>#REF!</v>
      </c>
      <c r="X736" t="e">
        <f>INDEX(#REF!,MATCH($E736,#REF!,0))</f>
        <v>#REF!</v>
      </c>
      <c r="Y736" t="e">
        <f>INDEX(#REF!,MATCH($E736,#REF!,0))</f>
        <v>#REF!</v>
      </c>
      <c r="Z736" t="e">
        <f>INDEX(#REF!,MATCH($E736,#REF!,0))</f>
        <v>#REF!</v>
      </c>
      <c r="AA736" t="e">
        <f>INDEX(#REF!,MATCH($E736,#REF!,0))</f>
        <v>#REF!</v>
      </c>
      <c r="AB736" t="e">
        <f>INDEX(#REF!,MATCH($E736,#REF!,0))</f>
        <v>#REF!</v>
      </c>
      <c r="AC736" t="e">
        <f>INDEX(#REF!,MATCH($E736,#REF!,0))</f>
        <v>#REF!</v>
      </c>
      <c r="AD736" t="e">
        <f>INDEX(#REF!,MATCH($E736,#REF!,0))</f>
        <v>#REF!</v>
      </c>
      <c r="AE736" t="e">
        <f t="shared" si="33"/>
        <v>#REF!</v>
      </c>
    </row>
    <row r="737" spans="2:31" x14ac:dyDescent="0.25">
      <c r="B737" s="45" t="s">
        <v>3126</v>
      </c>
      <c r="C737" s="45" t="s">
        <v>3127</v>
      </c>
      <c r="D737" s="89"/>
      <c r="E737" s="89">
        <v>110003</v>
      </c>
      <c r="F737" s="89">
        <v>1000</v>
      </c>
      <c r="G737" s="90">
        <v>2</v>
      </c>
      <c r="H737" s="90">
        <v>2</v>
      </c>
      <c r="I737" s="90" t="s">
        <v>26</v>
      </c>
      <c r="J737" s="90">
        <v>1</v>
      </c>
      <c r="K737" s="90" t="s">
        <v>2509</v>
      </c>
      <c r="L737" s="91">
        <v>30</v>
      </c>
      <c r="M737" s="92"/>
      <c r="N737" s="93" t="s">
        <v>3141</v>
      </c>
      <c r="P737" s="21" t="s">
        <v>3128</v>
      </c>
      <c r="Q737" s="12" t="s">
        <v>3049</v>
      </c>
      <c r="R737">
        <f t="shared" si="32"/>
        <v>1</v>
      </c>
      <c r="S737" s="21"/>
      <c r="T737" s="21"/>
      <c r="W737" t="e">
        <f>INDEX(#REF!,MATCH($E737,#REF!,0))</f>
        <v>#REF!</v>
      </c>
      <c r="X737" t="e">
        <f>INDEX(#REF!,MATCH($E737,#REF!,0))</f>
        <v>#REF!</v>
      </c>
      <c r="Y737" t="e">
        <f>INDEX(#REF!,MATCH($E737,#REF!,0))</f>
        <v>#REF!</v>
      </c>
      <c r="Z737" t="e">
        <f>INDEX(#REF!,MATCH($E737,#REF!,0))</f>
        <v>#REF!</v>
      </c>
      <c r="AA737" t="e">
        <f>INDEX(#REF!,MATCH($E737,#REF!,0))</f>
        <v>#REF!</v>
      </c>
      <c r="AB737" t="e">
        <f>INDEX(#REF!,MATCH($E737,#REF!,0))</f>
        <v>#REF!</v>
      </c>
      <c r="AC737" t="e">
        <f>INDEX(#REF!,MATCH($E737,#REF!,0))</f>
        <v>#REF!</v>
      </c>
      <c r="AD737" t="e">
        <f>INDEX(#REF!,MATCH($E737,#REF!,0))</f>
        <v>#REF!</v>
      </c>
      <c r="AE737" t="e">
        <f t="shared" si="33"/>
        <v>#REF!</v>
      </c>
    </row>
    <row r="738" spans="2:31" x14ac:dyDescent="0.25">
      <c r="B738" s="45" t="s">
        <v>3167</v>
      </c>
      <c r="C738" s="45" t="s">
        <v>3148</v>
      </c>
      <c r="D738" s="89"/>
      <c r="E738" s="89">
        <v>110029</v>
      </c>
      <c r="F738" s="89">
        <v>1001</v>
      </c>
      <c r="G738" s="90">
        <v>3</v>
      </c>
      <c r="H738" s="90">
        <v>2</v>
      </c>
      <c r="I738" s="90" t="s">
        <v>26</v>
      </c>
      <c r="J738" s="90">
        <v>1</v>
      </c>
      <c r="K738" s="90" t="s">
        <v>2509</v>
      </c>
      <c r="L738" s="91">
        <v>15</v>
      </c>
      <c r="M738" s="92"/>
      <c r="N738" s="93" t="s">
        <v>3142</v>
      </c>
      <c r="P738" s="21" t="s">
        <v>3128</v>
      </c>
      <c r="Q738" s="12" t="s">
        <v>3053</v>
      </c>
      <c r="R738">
        <f t="shared" si="32"/>
        <v>1</v>
      </c>
      <c r="S738" s="21"/>
      <c r="T738" s="21"/>
      <c r="W738" t="e">
        <f>INDEX(#REF!,MATCH($E738,#REF!,0))</f>
        <v>#REF!</v>
      </c>
      <c r="X738" t="e">
        <f>INDEX(#REF!,MATCH($E738,#REF!,0))</f>
        <v>#REF!</v>
      </c>
      <c r="Y738" t="e">
        <f>INDEX(#REF!,MATCH($E738,#REF!,0))</f>
        <v>#REF!</v>
      </c>
      <c r="Z738" t="e">
        <f>INDEX(#REF!,MATCH($E738,#REF!,0))</f>
        <v>#REF!</v>
      </c>
      <c r="AA738" t="e">
        <f>INDEX(#REF!,MATCH($E738,#REF!,0))</f>
        <v>#REF!</v>
      </c>
      <c r="AB738" t="e">
        <f>INDEX(#REF!,MATCH($E738,#REF!,0))</f>
        <v>#REF!</v>
      </c>
      <c r="AC738" t="e">
        <f>INDEX(#REF!,MATCH($E738,#REF!,0))</f>
        <v>#REF!</v>
      </c>
      <c r="AD738" t="e">
        <f>INDEX(#REF!,MATCH($E738,#REF!,0))</f>
        <v>#REF!</v>
      </c>
      <c r="AE738" t="e">
        <f t="shared" si="33"/>
        <v>#REF!</v>
      </c>
    </row>
    <row r="739" spans="2:31" x14ac:dyDescent="0.25">
      <c r="B739" s="45" t="s">
        <v>3168</v>
      </c>
      <c r="C739" s="45" t="s">
        <v>3149</v>
      </c>
      <c r="D739" s="89"/>
      <c r="E739" s="89">
        <v>110030</v>
      </c>
      <c r="F739" s="89">
        <v>1001</v>
      </c>
      <c r="G739" s="90">
        <v>4</v>
      </c>
      <c r="H739" s="90">
        <v>2</v>
      </c>
      <c r="I739" s="90" t="s">
        <v>26</v>
      </c>
      <c r="J739" s="90">
        <v>1</v>
      </c>
      <c r="K739" s="90" t="s">
        <v>2509</v>
      </c>
      <c r="L739" s="91">
        <v>16</v>
      </c>
      <c r="M739" s="92"/>
      <c r="N739" s="93" t="s">
        <v>3143</v>
      </c>
      <c r="P739" s="21" t="s">
        <v>3128</v>
      </c>
      <c r="Q739" s="12" t="s">
        <v>3053</v>
      </c>
      <c r="R739">
        <f t="shared" si="32"/>
        <v>1</v>
      </c>
      <c r="S739" s="21"/>
      <c r="T739" s="21"/>
      <c r="W739" t="e">
        <f>INDEX(#REF!,MATCH($E739,#REF!,0))</f>
        <v>#REF!</v>
      </c>
      <c r="X739" t="e">
        <f>INDEX(#REF!,MATCH($E739,#REF!,0))</f>
        <v>#REF!</v>
      </c>
      <c r="Y739" t="e">
        <f>INDEX(#REF!,MATCH($E739,#REF!,0))</f>
        <v>#REF!</v>
      </c>
      <c r="Z739" t="e">
        <f>INDEX(#REF!,MATCH($E739,#REF!,0))</f>
        <v>#REF!</v>
      </c>
      <c r="AA739" t="e">
        <f>INDEX(#REF!,MATCH($E739,#REF!,0))</f>
        <v>#REF!</v>
      </c>
      <c r="AB739" t="e">
        <f>INDEX(#REF!,MATCH($E739,#REF!,0))</f>
        <v>#REF!</v>
      </c>
      <c r="AC739" t="e">
        <f>INDEX(#REF!,MATCH($E739,#REF!,0))</f>
        <v>#REF!</v>
      </c>
      <c r="AD739" t="e">
        <f>INDEX(#REF!,MATCH($E739,#REF!,0))</f>
        <v>#REF!</v>
      </c>
      <c r="AE739" t="e">
        <f t="shared" si="33"/>
        <v>#REF!</v>
      </c>
    </row>
    <row r="740" spans="2:31" x14ac:dyDescent="0.25">
      <c r="B740" s="45" t="s">
        <v>3169</v>
      </c>
      <c r="C740" s="45" t="s">
        <v>3150</v>
      </c>
      <c r="D740" s="89"/>
      <c r="E740" s="89">
        <v>110039</v>
      </c>
      <c r="F740" s="89">
        <v>1001</v>
      </c>
      <c r="G740" s="90">
        <v>13</v>
      </c>
      <c r="H740" s="90">
        <v>2</v>
      </c>
      <c r="I740" s="90" t="s">
        <v>26</v>
      </c>
      <c r="J740" s="90">
        <v>1</v>
      </c>
      <c r="K740" s="90" t="s">
        <v>2509</v>
      </c>
      <c r="L740" s="91">
        <v>57</v>
      </c>
      <c r="M740" s="92"/>
      <c r="N740" s="93" t="s">
        <v>3144</v>
      </c>
      <c r="P740" s="21" t="s">
        <v>3128</v>
      </c>
      <c r="Q740" s="12" t="s">
        <v>3053</v>
      </c>
      <c r="R740">
        <f t="shared" si="32"/>
        <v>1</v>
      </c>
      <c r="S740" s="21"/>
      <c r="T740" s="21"/>
      <c r="W740" t="e">
        <f>INDEX(#REF!,MATCH($E740,#REF!,0))</f>
        <v>#REF!</v>
      </c>
      <c r="X740" t="e">
        <f>INDEX(#REF!,MATCH($E740,#REF!,0))</f>
        <v>#REF!</v>
      </c>
      <c r="Y740" t="e">
        <f>INDEX(#REF!,MATCH($E740,#REF!,0))</f>
        <v>#REF!</v>
      </c>
      <c r="Z740" t="e">
        <f>INDEX(#REF!,MATCH($E740,#REF!,0))</f>
        <v>#REF!</v>
      </c>
      <c r="AA740" t="e">
        <f>INDEX(#REF!,MATCH($E740,#REF!,0))</f>
        <v>#REF!</v>
      </c>
      <c r="AB740" t="e">
        <f>INDEX(#REF!,MATCH($E740,#REF!,0))</f>
        <v>#REF!</v>
      </c>
      <c r="AC740" t="e">
        <f>INDEX(#REF!,MATCH($E740,#REF!,0))</f>
        <v>#REF!</v>
      </c>
      <c r="AD740" t="e">
        <f>INDEX(#REF!,MATCH($E740,#REF!,0))</f>
        <v>#REF!</v>
      </c>
      <c r="AE740" t="e">
        <f t="shared" si="33"/>
        <v>#REF!</v>
      </c>
    </row>
    <row r="741" spans="2:31" x14ac:dyDescent="0.25">
      <c r="B741" s="45" t="s">
        <v>3170</v>
      </c>
      <c r="C741" s="45" t="s">
        <v>3151</v>
      </c>
      <c r="D741" s="89"/>
      <c r="E741" s="89">
        <v>110040</v>
      </c>
      <c r="F741" s="89">
        <v>1001</v>
      </c>
      <c r="G741" s="90">
        <v>14</v>
      </c>
      <c r="H741" s="90">
        <v>2</v>
      </c>
      <c r="I741" s="90" t="s">
        <v>26</v>
      </c>
      <c r="J741" s="90">
        <v>1</v>
      </c>
      <c r="K741" s="90" t="s">
        <v>2509</v>
      </c>
      <c r="L741" s="91">
        <v>58</v>
      </c>
      <c r="M741" s="92"/>
      <c r="N741" s="93" t="s">
        <v>3145</v>
      </c>
      <c r="P741" s="21" t="s">
        <v>3128</v>
      </c>
      <c r="Q741" s="12" t="s">
        <v>3053</v>
      </c>
      <c r="R741">
        <f t="shared" si="32"/>
        <v>1</v>
      </c>
      <c r="S741" s="21"/>
      <c r="T741" s="21"/>
      <c r="W741" t="e">
        <f>INDEX(#REF!,MATCH($E741,#REF!,0))</f>
        <v>#REF!</v>
      </c>
      <c r="X741" t="e">
        <f>INDEX(#REF!,MATCH($E741,#REF!,0))</f>
        <v>#REF!</v>
      </c>
      <c r="Y741" t="e">
        <f>INDEX(#REF!,MATCH($E741,#REF!,0))</f>
        <v>#REF!</v>
      </c>
      <c r="Z741" t="e">
        <f>INDEX(#REF!,MATCH($E741,#REF!,0))</f>
        <v>#REF!</v>
      </c>
      <c r="AA741" t="e">
        <f>INDEX(#REF!,MATCH($E741,#REF!,0))</f>
        <v>#REF!</v>
      </c>
      <c r="AB741" t="e">
        <f>INDEX(#REF!,MATCH($E741,#REF!,0))</f>
        <v>#REF!</v>
      </c>
      <c r="AC741" t="e">
        <f>INDEX(#REF!,MATCH($E741,#REF!,0))</f>
        <v>#REF!</v>
      </c>
      <c r="AD741" t="e">
        <f>INDEX(#REF!,MATCH($E741,#REF!,0))</f>
        <v>#REF!</v>
      </c>
      <c r="AE741" t="e">
        <f t="shared" si="33"/>
        <v>#REF!</v>
      </c>
    </row>
    <row r="742" spans="2:31" x14ac:dyDescent="0.25">
      <c r="B742" s="45" t="s">
        <v>3171</v>
      </c>
      <c r="C742" s="45" t="s">
        <v>3152</v>
      </c>
      <c r="D742" s="89"/>
      <c r="E742" s="89">
        <v>110047</v>
      </c>
      <c r="F742" s="89">
        <v>1001</v>
      </c>
      <c r="G742" s="90">
        <v>21</v>
      </c>
      <c r="H742" s="90">
        <v>2</v>
      </c>
      <c r="I742" s="90" t="s">
        <v>26</v>
      </c>
      <c r="J742" s="90">
        <v>1</v>
      </c>
      <c r="K742" s="90" t="s">
        <v>2509</v>
      </c>
      <c r="L742" s="91">
        <v>65</v>
      </c>
      <c r="M742" s="92"/>
      <c r="N742" s="93" t="s">
        <v>3146</v>
      </c>
      <c r="P742" s="21" t="s">
        <v>3128</v>
      </c>
      <c r="Q742" s="12" t="s">
        <v>3053</v>
      </c>
      <c r="R742">
        <f t="shared" si="32"/>
        <v>1</v>
      </c>
      <c r="S742" s="21"/>
      <c r="T742" s="21"/>
      <c r="W742" t="e">
        <f>INDEX(#REF!,MATCH($E742,#REF!,0))</f>
        <v>#REF!</v>
      </c>
      <c r="X742" t="e">
        <f>INDEX(#REF!,MATCH($E742,#REF!,0))</f>
        <v>#REF!</v>
      </c>
      <c r="Y742" t="e">
        <f>INDEX(#REF!,MATCH($E742,#REF!,0))</f>
        <v>#REF!</v>
      </c>
      <c r="Z742" t="e">
        <f>INDEX(#REF!,MATCH($E742,#REF!,0))</f>
        <v>#REF!</v>
      </c>
      <c r="AA742" t="e">
        <f>INDEX(#REF!,MATCH($E742,#REF!,0))</f>
        <v>#REF!</v>
      </c>
      <c r="AB742" t="e">
        <f>INDEX(#REF!,MATCH($E742,#REF!,0))</f>
        <v>#REF!</v>
      </c>
      <c r="AC742" t="e">
        <f>INDEX(#REF!,MATCH($E742,#REF!,0))</f>
        <v>#REF!</v>
      </c>
      <c r="AD742" t="e">
        <f>INDEX(#REF!,MATCH($E742,#REF!,0))</f>
        <v>#REF!</v>
      </c>
      <c r="AE742" t="e">
        <f t="shared" si="33"/>
        <v>#REF!</v>
      </c>
    </row>
    <row r="743" spans="2:31" x14ac:dyDescent="0.25">
      <c r="B743" s="45" t="s">
        <v>3046</v>
      </c>
      <c r="C743" s="45" t="s">
        <v>3047</v>
      </c>
      <c r="D743" s="89"/>
      <c r="E743" s="89">
        <v>110048</v>
      </c>
      <c r="F743" s="89">
        <v>1001</v>
      </c>
      <c r="G743" s="90">
        <v>22</v>
      </c>
      <c r="H743" s="90">
        <v>2</v>
      </c>
      <c r="I743" s="90" t="s">
        <v>26</v>
      </c>
      <c r="J743" s="90">
        <v>1</v>
      </c>
      <c r="K743" s="90" t="s">
        <v>2509</v>
      </c>
      <c r="L743" s="91">
        <v>66</v>
      </c>
      <c r="M743" s="92"/>
      <c r="N743" s="93" t="s">
        <v>3048</v>
      </c>
      <c r="P743" s="21" t="s">
        <v>3128</v>
      </c>
      <c r="Q743" s="12" t="s">
        <v>3053</v>
      </c>
      <c r="R743">
        <f t="shared" si="32"/>
        <v>1</v>
      </c>
      <c r="S743" s="21"/>
      <c r="T743" s="21"/>
      <c r="W743" t="e">
        <f>INDEX(#REF!,MATCH($E743,#REF!,0))</f>
        <v>#REF!</v>
      </c>
      <c r="X743" t="e">
        <f>INDEX(#REF!,MATCH($E743,#REF!,0))</f>
        <v>#REF!</v>
      </c>
      <c r="Y743" t="e">
        <f>INDEX(#REF!,MATCH($E743,#REF!,0))</f>
        <v>#REF!</v>
      </c>
      <c r="Z743" t="e">
        <f>INDEX(#REF!,MATCH($E743,#REF!,0))</f>
        <v>#REF!</v>
      </c>
      <c r="AA743" t="e">
        <f>INDEX(#REF!,MATCH($E743,#REF!,0))</f>
        <v>#REF!</v>
      </c>
      <c r="AB743" t="e">
        <f>INDEX(#REF!,MATCH($E743,#REF!,0))</f>
        <v>#REF!</v>
      </c>
      <c r="AC743" t="e">
        <f>INDEX(#REF!,MATCH($E743,#REF!,0))</f>
        <v>#REF!</v>
      </c>
      <c r="AD743" t="e">
        <f>INDEX(#REF!,MATCH($E743,#REF!,0))</f>
        <v>#REF!</v>
      </c>
      <c r="AE743" t="e">
        <f t="shared" si="33"/>
        <v>#REF!</v>
      </c>
    </row>
    <row r="744" spans="2:31" x14ac:dyDescent="0.25">
      <c r="B744" s="45" t="s">
        <v>3050</v>
      </c>
      <c r="C744" s="45" t="s">
        <v>3051</v>
      </c>
      <c r="D744" s="89"/>
      <c r="E744" s="89">
        <v>110050</v>
      </c>
      <c r="F744" s="89">
        <v>1001</v>
      </c>
      <c r="G744" s="90">
        <v>24</v>
      </c>
      <c r="H744" s="90">
        <v>2</v>
      </c>
      <c r="I744" s="90" t="s">
        <v>26</v>
      </c>
      <c r="J744" s="90">
        <v>1</v>
      </c>
      <c r="K744" s="90" t="s">
        <v>2509</v>
      </c>
      <c r="L744" s="91">
        <v>448</v>
      </c>
      <c r="M744" s="92"/>
      <c r="N744" s="93" t="s">
        <v>3052</v>
      </c>
      <c r="P744" s="21" t="s">
        <v>3128</v>
      </c>
      <c r="Q744" s="12" t="s">
        <v>3053</v>
      </c>
      <c r="R744">
        <f t="shared" si="32"/>
        <v>1</v>
      </c>
      <c r="S744" s="21"/>
      <c r="T744" s="21"/>
      <c r="W744" t="e">
        <f>INDEX(#REF!,MATCH($E744,#REF!,0))</f>
        <v>#REF!</v>
      </c>
      <c r="X744" t="e">
        <f>INDEX(#REF!,MATCH($E744,#REF!,0))</f>
        <v>#REF!</v>
      </c>
      <c r="Y744" t="e">
        <f>INDEX(#REF!,MATCH($E744,#REF!,0))</f>
        <v>#REF!</v>
      </c>
      <c r="Z744" t="e">
        <f>INDEX(#REF!,MATCH($E744,#REF!,0))</f>
        <v>#REF!</v>
      </c>
      <c r="AA744" t="e">
        <f>INDEX(#REF!,MATCH($E744,#REF!,0))</f>
        <v>#REF!</v>
      </c>
      <c r="AB744" t="e">
        <f>INDEX(#REF!,MATCH($E744,#REF!,0))</f>
        <v>#REF!</v>
      </c>
      <c r="AC744" t="e">
        <f>INDEX(#REF!,MATCH($E744,#REF!,0))</f>
        <v>#REF!</v>
      </c>
      <c r="AD744" t="e">
        <f>INDEX(#REF!,MATCH($E744,#REF!,0))</f>
        <v>#REF!</v>
      </c>
      <c r="AE744" t="e">
        <f t="shared" si="33"/>
        <v>#REF!</v>
      </c>
    </row>
    <row r="745" spans="2:31" x14ac:dyDescent="0.25">
      <c r="B745" s="45" t="s">
        <v>3054</v>
      </c>
      <c r="C745" s="45" t="s">
        <v>3055</v>
      </c>
      <c r="D745" s="89"/>
      <c r="E745" s="89">
        <v>110054</v>
      </c>
      <c r="F745" s="89">
        <v>1002</v>
      </c>
      <c r="G745" s="90">
        <v>3</v>
      </c>
      <c r="H745" s="90">
        <v>2</v>
      </c>
      <c r="I745" s="90" t="s">
        <v>26</v>
      </c>
      <c r="J745" s="90">
        <v>1</v>
      </c>
      <c r="K745" s="90" t="s">
        <v>2509</v>
      </c>
      <c r="L745" s="91">
        <v>25</v>
      </c>
      <c r="M745" s="92"/>
      <c r="N745" s="93" t="s">
        <v>3056</v>
      </c>
      <c r="P745" s="21" t="s">
        <v>3128</v>
      </c>
      <c r="Q745" s="12" t="s">
        <v>3053</v>
      </c>
      <c r="R745">
        <f t="shared" si="32"/>
        <v>1</v>
      </c>
      <c r="S745" s="21"/>
      <c r="T745" s="21"/>
      <c r="W745" t="e">
        <f>INDEX(#REF!,MATCH($E745,#REF!,0))</f>
        <v>#REF!</v>
      </c>
      <c r="X745" t="e">
        <f>INDEX(#REF!,MATCH($E745,#REF!,0))</f>
        <v>#REF!</v>
      </c>
      <c r="Y745" t="e">
        <f>INDEX(#REF!,MATCH($E745,#REF!,0))</f>
        <v>#REF!</v>
      </c>
      <c r="Z745" t="e">
        <f>INDEX(#REF!,MATCH($E745,#REF!,0))</f>
        <v>#REF!</v>
      </c>
      <c r="AA745" t="e">
        <f>INDEX(#REF!,MATCH($E745,#REF!,0))</f>
        <v>#REF!</v>
      </c>
      <c r="AB745" t="e">
        <f>INDEX(#REF!,MATCH($E745,#REF!,0))</f>
        <v>#REF!</v>
      </c>
      <c r="AC745" t="e">
        <f>INDEX(#REF!,MATCH($E745,#REF!,0))</f>
        <v>#REF!</v>
      </c>
      <c r="AD745" t="e">
        <f>INDEX(#REF!,MATCH($E745,#REF!,0))</f>
        <v>#REF!</v>
      </c>
      <c r="AE745" t="e">
        <f t="shared" si="33"/>
        <v>#REF!</v>
      </c>
    </row>
    <row r="746" spans="2:31" x14ac:dyDescent="0.25">
      <c r="B746" s="45" t="s">
        <v>3057</v>
      </c>
      <c r="C746" s="45" t="s">
        <v>3058</v>
      </c>
      <c r="D746" s="89"/>
      <c r="E746" s="89">
        <v>110055</v>
      </c>
      <c r="F746" s="89">
        <v>1002</v>
      </c>
      <c r="G746" s="90">
        <v>4</v>
      </c>
      <c r="H746" s="90">
        <v>2</v>
      </c>
      <c r="I746" s="90" t="s">
        <v>26</v>
      </c>
      <c r="J746" s="90">
        <v>1</v>
      </c>
      <c r="K746" s="90" t="s">
        <v>2509</v>
      </c>
      <c r="L746" s="91">
        <v>23</v>
      </c>
      <c r="M746" s="92"/>
      <c r="N746" s="93" t="s">
        <v>3059</v>
      </c>
      <c r="P746" s="21" t="s">
        <v>3128</v>
      </c>
      <c r="Q746" s="12" t="s">
        <v>3053</v>
      </c>
      <c r="R746">
        <f t="shared" si="32"/>
        <v>1</v>
      </c>
      <c r="S746" s="21"/>
      <c r="T746" s="21"/>
      <c r="W746" t="e">
        <f>INDEX(#REF!,MATCH($E746,#REF!,0))</f>
        <v>#REF!</v>
      </c>
      <c r="X746" t="e">
        <f>INDEX(#REF!,MATCH($E746,#REF!,0))</f>
        <v>#REF!</v>
      </c>
      <c r="Y746" t="e">
        <f>INDEX(#REF!,MATCH($E746,#REF!,0))</f>
        <v>#REF!</v>
      </c>
      <c r="Z746" t="e">
        <f>INDEX(#REF!,MATCH($E746,#REF!,0))</f>
        <v>#REF!</v>
      </c>
      <c r="AA746" t="e">
        <f>INDEX(#REF!,MATCH($E746,#REF!,0))</f>
        <v>#REF!</v>
      </c>
      <c r="AB746" t="e">
        <f>INDEX(#REF!,MATCH($E746,#REF!,0))</f>
        <v>#REF!</v>
      </c>
      <c r="AC746" t="e">
        <f>INDEX(#REF!,MATCH($E746,#REF!,0))</f>
        <v>#REF!</v>
      </c>
      <c r="AD746" t="e">
        <f>INDEX(#REF!,MATCH($E746,#REF!,0))</f>
        <v>#REF!</v>
      </c>
      <c r="AE746" t="e">
        <f t="shared" si="33"/>
        <v>#REF!</v>
      </c>
    </row>
    <row r="747" spans="2:31" x14ac:dyDescent="0.25">
      <c r="B747" s="45" t="s">
        <v>3060</v>
      </c>
      <c r="C747" s="45" t="s">
        <v>3061</v>
      </c>
      <c r="D747" s="89"/>
      <c r="E747" s="89">
        <v>110056</v>
      </c>
      <c r="F747" s="89">
        <v>1002</v>
      </c>
      <c r="G747" s="90">
        <v>5</v>
      </c>
      <c r="H747" s="90">
        <v>2</v>
      </c>
      <c r="I747" s="90" t="s">
        <v>26</v>
      </c>
      <c r="J747" s="90">
        <v>1</v>
      </c>
      <c r="K747" s="90" t="s">
        <v>2509</v>
      </c>
      <c r="L747" s="91">
        <v>27</v>
      </c>
      <c r="M747" s="92"/>
      <c r="N747" s="93" t="s">
        <v>3062</v>
      </c>
      <c r="P747" s="21" t="s">
        <v>3128</v>
      </c>
      <c r="Q747" s="12" t="s">
        <v>3053</v>
      </c>
      <c r="R747">
        <f t="shared" ref="R747:R771" si="34">COUNTIF(C:C,C747)</f>
        <v>1</v>
      </c>
      <c r="S747" s="21"/>
      <c r="T747" s="21"/>
      <c r="W747" t="e">
        <f>INDEX(#REF!,MATCH($E747,#REF!,0))</f>
        <v>#REF!</v>
      </c>
      <c r="X747" t="e">
        <f>INDEX(#REF!,MATCH($E747,#REF!,0))</f>
        <v>#REF!</v>
      </c>
      <c r="Y747" t="e">
        <f>INDEX(#REF!,MATCH($E747,#REF!,0))</f>
        <v>#REF!</v>
      </c>
      <c r="Z747" t="e">
        <f>INDEX(#REF!,MATCH($E747,#REF!,0))</f>
        <v>#REF!</v>
      </c>
      <c r="AA747" t="e">
        <f>INDEX(#REF!,MATCH($E747,#REF!,0))</f>
        <v>#REF!</v>
      </c>
      <c r="AB747" t="e">
        <f>INDEX(#REF!,MATCH($E747,#REF!,0))</f>
        <v>#REF!</v>
      </c>
      <c r="AC747" t="e">
        <f>INDEX(#REF!,MATCH($E747,#REF!,0))</f>
        <v>#REF!</v>
      </c>
      <c r="AD747" t="e">
        <f>INDEX(#REF!,MATCH($E747,#REF!,0))</f>
        <v>#REF!</v>
      </c>
      <c r="AE747" t="e">
        <f t="shared" si="33"/>
        <v>#REF!</v>
      </c>
    </row>
    <row r="748" spans="2:31" x14ac:dyDescent="0.25">
      <c r="B748" s="45" t="s">
        <v>3063</v>
      </c>
      <c r="C748" s="45" t="s">
        <v>3064</v>
      </c>
      <c r="D748" s="89"/>
      <c r="E748" s="89">
        <v>110058</v>
      </c>
      <c r="F748" s="89">
        <v>1002</v>
      </c>
      <c r="G748" s="90">
        <v>7</v>
      </c>
      <c r="H748" s="90">
        <v>2</v>
      </c>
      <c r="I748" s="90" t="s">
        <v>26</v>
      </c>
      <c r="J748" s="90">
        <v>1</v>
      </c>
      <c r="K748" s="90" t="s">
        <v>2509</v>
      </c>
      <c r="L748" s="91">
        <v>31</v>
      </c>
      <c r="M748" s="92"/>
      <c r="N748" s="93" t="s">
        <v>3155</v>
      </c>
      <c r="P748" s="21" t="s">
        <v>3128</v>
      </c>
      <c r="Q748" s="12" t="s">
        <v>3156</v>
      </c>
      <c r="R748">
        <f t="shared" si="34"/>
        <v>1</v>
      </c>
      <c r="S748" s="21"/>
      <c r="T748" s="21"/>
      <c r="W748" t="e">
        <f>INDEX(#REF!,MATCH($E748,#REF!,0))</f>
        <v>#REF!</v>
      </c>
      <c r="X748" t="e">
        <f>INDEX(#REF!,MATCH($E748,#REF!,0))</f>
        <v>#REF!</v>
      </c>
      <c r="Y748" t="e">
        <f>INDEX(#REF!,MATCH($E748,#REF!,0))</f>
        <v>#REF!</v>
      </c>
      <c r="Z748" t="e">
        <f>INDEX(#REF!,MATCH($E748,#REF!,0))</f>
        <v>#REF!</v>
      </c>
      <c r="AA748" t="e">
        <f>INDEX(#REF!,MATCH($E748,#REF!,0))</f>
        <v>#REF!</v>
      </c>
      <c r="AB748" t="e">
        <f>INDEX(#REF!,MATCH($E748,#REF!,0))</f>
        <v>#REF!</v>
      </c>
      <c r="AC748" t="e">
        <f>INDEX(#REF!,MATCH($E748,#REF!,0))</f>
        <v>#REF!</v>
      </c>
      <c r="AD748" t="e">
        <f>INDEX(#REF!,MATCH($E748,#REF!,0))</f>
        <v>#REF!</v>
      </c>
      <c r="AE748" t="e">
        <f t="shared" si="33"/>
        <v>#REF!</v>
      </c>
    </row>
    <row r="749" spans="2:31" x14ac:dyDescent="0.25">
      <c r="B749" s="45" t="s">
        <v>3065</v>
      </c>
      <c r="C749" s="45" t="s">
        <v>3066</v>
      </c>
      <c r="D749" s="89"/>
      <c r="E749" s="89">
        <v>110070</v>
      </c>
      <c r="F749" s="89">
        <v>1002</v>
      </c>
      <c r="G749" s="90">
        <v>19</v>
      </c>
      <c r="H749" s="90">
        <v>2</v>
      </c>
      <c r="I749" s="90" t="s">
        <v>26</v>
      </c>
      <c r="J749" s="90">
        <v>1</v>
      </c>
      <c r="K749" s="90" t="s">
        <v>2509</v>
      </c>
      <c r="L749" s="91">
        <v>32</v>
      </c>
      <c r="M749" s="92"/>
      <c r="N749" s="93" t="s">
        <v>3067</v>
      </c>
      <c r="P749" s="21" t="s">
        <v>3128</v>
      </c>
      <c r="Q749" s="12" t="s">
        <v>3053</v>
      </c>
      <c r="R749">
        <f t="shared" si="34"/>
        <v>1</v>
      </c>
      <c r="S749" s="21"/>
      <c r="T749" s="21"/>
      <c r="W749" t="e">
        <f>INDEX(#REF!,MATCH($E749,#REF!,0))</f>
        <v>#REF!</v>
      </c>
      <c r="X749" t="e">
        <f>INDEX(#REF!,MATCH($E749,#REF!,0))</f>
        <v>#REF!</v>
      </c>
      <c r="Y749" t="e">
        <f>INDEX(#REF!,MATCH($E749,#REF!,0))</f>
        <v>#REF!</v>
      </c>
      <c r="Z749" t="e">
        <f>INDEX(#REF!,MATCH($E749,#REF!,0))</f>
        <v>#REF!</v>
      </c>
      <c r="AA749" t="e">
        <f>INDEX(#REF!,MATCH($E749,#REF!,0))</f>
        <v>#REF!</v>
      </c>
      <c r="AB749" t="e">
        <f>INDEX(#REF!,MATCH($E749,#REF!,0))</f>
        <v>#REF!</v>
      </c>
      <c r="AC749" t="e">
        <f>INDEX(#REF!,MATCH($E749,#REF!,0))</f>
        <v>#REF!</v>
      </c>
      <c r="AD749" t="e">
        <f>INDEX(#REF!,MATCH($E749,#REF!,0))</f>
        <v>#REF!</v>
      </c>
      <c r="AE749" t="e">
        <f t="shared" si="33"/>
        <v>#REF!</v>
      </c>
    </row>
    <row r="750" spans="2:31" x14ac:dyDescent="0.25">
      <c r="B750" s="45" t="s">
        <v>3172</v>
      </c>
      <c r="C750" s="45" t="s">
        <v>3153</v>
      </c>
      <c r="D750" s="89"/>
      <c r="E750" s="89">
        <v>110118</v>
      </c>
      <c r="F750" s="89">
        <v>1004</v>
      </c>
      <c r="G750" s="90">
        <v>17</v>
      </c>
      <c r="H750" s="90">
        <v>2</v>
      </c>
      <c r="I750" s="90" t="s">
        <v>26</v>
      </c>
      <c r="J750" s="90">
        <v>1</v>
      </c>
      <c r="K750" s="90" t="s">
        <v>2509</v>
      </c>
      <c r="L750" s="91">
        <v>266</v>
      </c>
      <c r="M750" s="92"/>
      <c r="N750" s="93" t="s">
        <v>1949</v>
      </c>
      <c r="P750" s="21" t="s">
        <v>3128</v>
      </c>
      <c r="Q750" s="12" t="s">
        <v>3053</v>
      </c>
      <c r="R750">
        <f t="shared" si="34"/>
        <v>1</v>
      </c>
      <c r="S750" s="21"/>
      <c r="T750" s="21"/>
      <c r="W750" t="e">
        <f>INDEX(#REF!,MATCH($E750,#REF!,0))</f>
        <v>#REF!</v>
      </c>
      <c r="X750" t="e">
        <f>INDEX(#REF!,MATCH($E750,#REF!,0))</f>
        <v>#REF!</v>
      </c>
      <c r="Y750" t="e">
        <f>INDEX(#REF!,MATCH($E750,#REF!,0))</f>
        <v>#REF!</v>
      </c>
      <c r="Z750" t="e">
        <f>INDEX(#REF!,MATCH($E750,#REF!,0))</f>
        <v>#REF!</v>
      </c>
      <c r="AA750" t="e">
        <f>INDEX(#REF!,MATCH($E750,#REF!,0))</f>
        <v>#REF!</v>
      </c>
      <c r="AB750" t="e">
        <f>INDEX(#REF!,MATCH($E750,#REF!,0))</f>
        <v>#REF!</v>
      </c>
      <c r="AC750" t="e">
        <f>INDEX(#REF!,MATCH($E750,#REF!,0))</f>
        <v>#REF!</v>
      </c>
      <c r="AD750" t="e">
        <f>INDEX(#REF!,MATCH($E750,#REF!,0))</f>
        <v>#REF!</v>
      </c>
      <c r="AE750" t="e">
        <f t="shared" si="33"/>
        <v>#REF!</v>
      </c>
    </row>
    <row r="751" spans="2:31" x14ac:dyDescent="0.25">
      <c r="B751" s="45" t="s">
        <v>3173</v>
      </c>
      <c r="C751" s="45" t="s">
        <v>3154</v>
      </c>
      <c r="D751" s="89"/>
      <c r="E751" s="89">
        <v>110118</v>
      </c>
      <c r="F751" s="89">
        <v>1004</v>
      </c>
      <c r="G751" s="90">
        <v>17</v>
      </c>
      <c r="H751" s="90">
        <v>2</v>
      </c>
      <c r="I751" s="90" t="s">
        <v>26</v>
      </c>
      <c r="J751" s="90">
        <v>1</v>
      </c>
      <c r="K751" s="90" t="s">
        <v>2509</v>
      </c>
      <c r="L751" s="91">
        <v>836</v>
      </c>
      <c r="M751" s="92"/>
      <c r="N751" s="93" t="s">
        <v>1949</v>
      </c>
      <c r="P751" s="21" t="s">
        <v>3128</v>
      </c>
      <c r="Q751" s="12" t="s">
        <v>3053</v>
      </c>
      <c r="R751">
        <f t="shared" si="34"/>
        <v>1</v>
      </c>
      <c r="S751" s="21"/>
      <c r="T751" s="21"/>
      <c r="W751" t="e">
        <f>INDEX(#REF!,MATCH($E751,#REF!,0))</f>
        <v>#REF!</v>
      </c>
      <c r="X751" t="e">
        <f>INDEX(#REF!,MATCH($E751,#REF!,0))</f>
        <v>#REF!</v>
      </c>
      <c r="Y751" t="e">
        <f>INDEX(#REF!,MATCH($E751,#REF!,0))</f>
        <v>#REF!</v>
      </c>
      <c r="Z751" t="e">
        <f>INDEX(#REF!,MATCH($E751,#REF!,0))</f>
        <v>#REF!</v>
      </c>
      <c r="AA751" t="e">
        <f>INDEX(#REF!,MATCH($E751,#REF!,0))</f>
        <v>#REF!</v>
      </c>
      <c r="AB751" t="e">
        <f>INDEX(#REF!,MATCH($E751,#REF!,0))</f>
        <v>#REF!</v>
      </c>
      <c r="AC751" t="e">
        <f>INDEX(#REF!,MATCH($E751,#REF!,0))</f>
        <v>#REF!</v>
      </c>
      <c r="AD751" t="e">
        <f>INDEX(#REF!,MATCH($E751,#REF!,0))</f>
        <v>#REF!</v>
      </c>
      <c r="AE751" t="e">
        <f t="shared" si="33"/>
        <v>#REF!</v>
      </c>
    </row>
    <row r="752" spans="2:31" x14ac:dyDescent="0.25">
      <c r="B752" s="45" t="s">
        <v>3068</v>
      </c>
      <c r="C752" s="45" t="s">
        <v>3069</v>
      </c>
      <c r="D752" s="89"/>
      <c r="E752" s="89">
        <v>110122</v>
      </c>
      <c r="F752" s="89">
        <v>1004</v>
      </c>
      <c r="G752" s="90">
        <v>21</v>
      </c>
      <c r="H752" s="90">
        <v>2</v>
      </c>
      <c r="I752" s="90" t="s">
        <v>26</v>
      </c>
      <c r="J752" s="90">
        <v>1</v>
      </c>
      <c r="K752" s="90" t="s">
        <v>2509</v>
      </c>
      <c r="L752" s="91">
        <v>118</v>
      </c>
      <c r="M752" s="92"/>
      <c r="N752" s="93" t="s">
        <v>3070</v>
      </c>
      <c r="P752" s="21" t="s">
        <v>3128</v>
      </c>
      <c r="Q752" s="12" t="s">
        <v>3053</v>
      </c>
      <c r="R752">
        <f t="shared" si="34"/>
        <v>1</v>
      </c>
      <c r="S752" s="21"/>
      <c r="T752" s="21"/>
      <c r="W752" t="e">
        <f>INDEX(#REF!,MATCH($E752,#REF!,0))</f>
        <v>#REF!</v>
      </c>
      <c r="X752" t="e">
        <f>INDEX(#REF!,MATCH($E752,#REF!,0))</f>
        <v>#REF!</v>
      </c>
      <c r="Y752" t="e">
        <f>INDEX(#REF!,MATCH($E752,#REF!,0))</f>
        <v>#REF!</v>
      </c>
      <c r="Z752" t="e">
        <f>INDEX(#REF!,MATCH($E752,#REF!,0))</f>
        <v>#REF!</v>
      </c>
      <c r="AA752" t="e">
        <f>INDEX(#REF!,MATCH($E752,#REF!,0))</f>
        <v>#REF!</v>
      </c>
      <c r="AB752" t="e">
        <f>INDEX(#REF!,MATCH($E752,#REF!,0))</f>
        <v>#REF!</v>
      </c>
      <c r="AC752" t="e">
        <f>INDEX(#REF!,MATCH($E752,#REF!,0))</f>
        <v>#REF!</v>
      </c>
      <c r="AD752" t="e">
        <f>INDEX(#REF!,MATCH($E752,#REF!,0))</f>
        <v>#REF!</v>
      </c>
      <c r="AE752" t="e">
        <f t="shared" si="33"/>
        <v>#REF!</v>
      </c>
    </row>
    <row r="753" spans="2:31" x14ac:dyDescent="0.25">
      <c r="B753" s="45" t="s">
        <v>3071</v>
      </c>
      <c r="C753" s="45" t="s">
        <v>3072</v>
      </c>
      <c r="D753" s="89"/>
      <c r="E753" s="89">
        <v>110123</v>
      </c>
      <c r="F753" s="89">
        <v>1004</v>
      </c>
      <c r="G753" s="90">
        <v>22</v>
      </c>
      <c r="H753" s="90">
        <v>2</v>
      </c>
      <c r="I753" s="90" t="s">
        <v>26</v>
      </c>
      <c r="J753" s="90">
        <v>1</v>
      </c>
      <c r="K753" s="90" t="s">
        <v>2509</v>
      </c>
      <c r="L753" s="91">
        <v>120</v>
      </c>
      <c r="M753" s="92"/>
      <c r="N753" s="93" t="s">
        <v>3073</v>
      </c>
      <c r="P753" s="21" t="s">
        <v>3128</v>
      </c>
      <c r="Q753" s="12" t="s">
        <v>3053</v>
      </c>
      <c r="R753">
        <f t="shared" si="34"/>
        <v>1</v>
      </c>
      <c r="S753" s="21"/>
      <c r="T753" s="21"/>
      <c r="W753" t="e">
        <f>INDEX(#REF!,MATCH($E753,#REF!,0))</f>
        <v>#REF!</v>
      </c>
      <c r="X753" t="e">
        <f>INDEX(#REF!,MATCH($E753,#REF!,0))</f>
        <v>#REF!</v>
      </c>
      <c r="Y753" t="e">
        <f>INDEX(#REF!,MATCH($E753,#REF!,0))</f>
        <v>#REF!</v>
      </c>
      <c r="Z753" t="e">
        <f>INDEX(#REF!,MATCH($E753,#REF!,0))</f>
        <v>#REF!</v>
      </c>
      <c r="AA753" t="e">
        <f>INDEX(#REF!,MATCH($E753,#REF!,0))</f>
        <v>#REF!</v>
      </c>
      <c r="AB753" t="e">
        <f>INDEX(#REF!,MATCH($E753,#REF!,0))</f>
        <v>#REF!</v>
      </c>
      <c r="AC753" t="e">
        <f>INDEX(#REF!,MATCH($E753,#REF!,0))</f>
        <v>#REF!</v>
      </c>
      <c r="AD753" t="e">
        <f>INDEX(#REF!,MATCH($E753,#REF!,0))</f>
        <v>#REF!</v>
      </c>
      <c r="AE753" t="e">
        <f t="shared" si="33"/>
        <v>#REF!</v>
      </c>
    </row>
    <row r="754" spans="2:31" x14ac:dyDescent="0.25">
      <c r="B754" s="45" t="s">
        <v>3074</v>
      </c>
      <c r="C754" s="45" t="s">
        <v>3075</v>
      </c>
      <c r="D754" s="89"/>
      <c r="E754" s="89">
        <v>110129</v>
      </c>
      <c r="F754" s="89">
        <v>1005</v>
      </c>
      <c r="G754" s="90">
        <v>3</v>
      </c>
      <c r="H754" s="90">
        <v>2</v>
      </c>
      <c r="I754" s="90" t="s">
        <v>26</v>
      </c>
      <c r="J754" s="90">
        <v>1</v>
      </c>
      <c r="K754" s="90" t="s">
        <v>2509</v>
      </c>
      <c r="L754" s="91">
        <v>67</v>
      </c>
      <c r="M754" s="92"/>
      <c r="N754" s="93" t="s">
        <v>3076</v>
      </c>
      <c r="P754" s="21" t="s">
        <v>3128</v>
      </c>
      <c r="Q754" s="12" t="s">
        <v>3053</v>
      </c>
      <c r="R754">
        <f t="shared" si="34"/>
        <v>1</v>
      </c>
      <c r="S754" s="21"/>
      <c r="T754" s="21"/>
      <c r="W754" t="e">
        <f>INDEX(#REF!,MATCH($E754,#REF!,0))</f>
        <v>#REF!</v>
      </c>
      <c r="X754" t="e">
        <f>INDEX(#REF!,MATCH($E754,#REF!,0))</f>
        <v>#REF!</v>
      </c>
      <c r="Y754" t="e">
        <f>INDEX(#REF!,MATCH($E754,#REF!,0))</f>
        <v>#REF!</v>
      </c>
      <c r="Z754" t="e">
        <f>INDEX(#REF!,MATCH($E754,#REF!,0))</f>
        <v>#REF!</v>
      </c>
      <c r="AA754" t="e">
        <f>INDEX(#REF!,MATCH($E754,#REF!,0))</f>
        <v>#REF!</v>
      </c>
      <c r="AB754" t="e">
        <f>INDEX(#REF!,MATCH($E754,#REF!,0))</f>
        <v>#REF!</v>
      </c>
      <c r="AC754" t="e">
        <f>INDEX(#REF!,MATCH($E754,#REF!,0))</f>
        <v>#REF!</v>
      </c>
      <c r="AD754" t="e">
        <f>INDEX(#REF!,MATCH($E754,#REF!,0))</f>
        <v>#REF!</v>
      </c>
      <c r="AE754" t="e">
        <f t="shared" si="33"/>
        <v>#REF!</v>
      </c>
    </row>
    <row r="755" spans="2:31" x14ac:dyDescent="0.25">
      <c r="B755" s="45" t="s">
        <v>3077</v>
      </c>
      <c r="C755" s="45" t="s">
        <v>3078</v>
      </c>
      <c r="D755" s="89"/>
      <c r="E755" s="89">
        <v>110130</v>
      </c>
      <c r="F755" s="89">
        <v>1005</v>
      </c>
      <c r="G755" s="90">
        <v>4</v>
      </c>
      <c r="H755" s="90">
        <v>2</v>
      </c>
      <c r="I755" s="90" t="s">
        <v>26</v>
      </c>
      <c r="J755" s="90">
        <v>1</v>
      </c>
      <c r="K755" s="90" t="s">
        <v>2509</v>
      </c>
      <c r="L755" s="91">
        <v>68</v>
      </c>
      <c r="M755" s="92"/>
      <c r="N755" s="93" t="s">
        <v>3079</v>
      </c>
      <c r="P755" s="21" t="s">
        <v>3128</v>
      </c>
      <c r="Q755" s="12" t="s">
        <v>3053</v>
      </c>
      <c r="R755">
        <f t="shared" si="34"/>
        <v>1</v>
      </c>
      <c r="S755" s="21"/>
      <c r="T755" s="21"/>
      <c r="W755" t="e">
        <f>INDEX(#REF!,MATCH($E755,#REF!,0))</f>
        <v>#REF!</v>
      </c>
      <c r="X755" t="e">
        <f>INDEX(#REF!,MATCH($E755,#REF!,0))</f>
        <v>#REF!</v>
      </c>
      <c r="Y755" t="e">
        <f>INDEX(#REF!,MATCH($E755,#REF!,0))</f>
        <v>#REF!</v>
      </c>
      <c r="Z755" t="e">
        <f>INDEX(#REF!,MATCH($E755,#REF!,0))</f>
        <v>#REF!</v>
      </c>
      <c r="AA755" t="e">
        <f>INDEX(#REF!,MATCH($E755,#REF!,0))</f>
        <v>#REF!</v>
      </c>
      <c r="AB755" t="e">
        <f>INDEX(#REF!,MATCH($E755,#REF!,0))</f>
        <v>#REF!</v>
      </c>
      <c r="AC755" t="e">
        <f>INDEX(#REF!,MATCH($E755,#REF!,0))</f>
        <v>#REF!</v>
      </c>
      <c r="AD755" t="e">
        <f>INDEX(#REF!,MATCH($E755,#REF!,0))</f>
        <v>#REF!</v>
      </c>
      <c r="AE755" t="e">
        <f t="shared" si="33"/>
        <v>#REF!</v>
      </c>
    </row>
    <row r="756" spans="2:31" x14ac:dyDescent="0.25">
      <c r="B756" s="45" t="s">
        <v>3080</v>
      </c>
      <c r="C756" s="45" t="s">
        <v>3081</v>
      </c>
      <c r="D756" s="89"/>
      <c r="E756" s="89">
        <v>110133</v>
      </c>
      <c r="F756" s="89">
        <v>1005</v>
      </c>
      <c r="G756" s="90">
        <v>7</v>
      </c>
      <c r="H756" s="90">
        <v>2</v>
      </c>
      <c r="I756" s="90" t="s">
        <v>26</v>
      </c>
      <c r="J756" s="90">
        <v>1</v>
      </c>
      <c r="K756" s="90" t="s">
        <v>2509</v>
      </c>
      <c r="L756" s="91">
        <v>5</v>
      </c>
      <c r="M756" s="92"/>
      <c r="N756" s="93" t="s">
        <v>3082</v>
      </c>
      <c r="P756" s="21" t="s">
        <v>3128</v>
      </c>
      <c r="Q756" s="12" t="s">
        <v>3053</v>
      </c>
      <c r="R756">
        <f t="shared" si="34"/>
        <v>1</v>
      </c>
      <c r="S756" s="21"/>
      <c r="T756" s="21"/>
      <c r="W756" t="e">
        <f>INDEX(#REF!,MATCH($E756,#REF!,0))</f>
        <v>#REF!</v>
      </c>
      <c r="X756" t="e">
        <f>INDEX(#REF!,MATCH($E756,#REF!,0))</f>
        <v>#REF!</v>
      </c>
      <c r="Y756" t="e">
        <f>INDEX(#REF!,MATCH($E756,#REF!,0))</f>
        <v>#REF!</v>
      </c>
      <c r="Z756" t="e">
        <f>INDEX(#REF!,MATCH($E756,#REF!,0))</f>
        <v>#REF!</v>
      </c>
      <c r="AA756" t="e">
        <f>INDEX(#REF!,MATCH($E756,#REF!,0))</f>
        <v>#REF!</v>
      </c>
      <c r="AB756" t="e">
        <f>INDEX(#REF!,MATCH($E756,#REF!,0))</f>
        <v>#REF!</v>
      </c>
      <c r="AC756" t="e">
        <f>INDEX(#REF!,MATCH($E756,#REF!,0))</f>
        <v>#REF!</v>
      </c>
      <c r="AD756" t="e">
        <f>INDEX(#REF!,MATCH($E756,#REF!,0))</f>
        <v>#REF!</v>
      </c>
      <c r="AE756" t="e">
        <f t="shared" si="33"/>
        <v>#REF!</v>
      </c>
    </row>
    <row r="757" spans="2:31" x14ac:dyDescent="0.25">
      <c r="B757" s="45" t="s">
        <v>3083</v>
      </c>
      <c r="C757" s="45" t="s">
        <v>3084</v>
      </c>
      <c r="D757" s="89"/>
      <c r="E757" s="89">
        <v>110143</v>
      </c>
      <c r="F757" s="89">
        <v>1005</v>
      </c>
      <c r="G757" s="90">
        <v>17</v>
      </c>
      <c r="H757" s="90">
        <v>2</v>
      </c>
      <c r="I757" s="90" t="s">
        <v>26</v>
      </c>
      <c r="J757" s="90">
        <v>1</v>
      </c>
      <c r="K757" s="90" t="s">
        <v>2509</v>
      </c>
      <c r="L757" s="91">
        <v>51</v>
      </c>
      <c r="M757" s="92"/>
      <c r="N757" s="93" t="s">
        <v>3085</v>
      </c>
      <c r="P757" s="21" t="s">
        <v>3128</v>
      </c>
      <c r="Q757" s="12" t="s">
        <v>3053</v>
      </c>
      <c r="R757">
        <f t="shared" si="34"/>
        <v>1</v>
      </c>
      <c r="S757" s="21"/>
      <c r="T757" s="21"/>
      <c r="W757" t="e">
        <f>INDEX(#REF!,MATCH($E757,#REF!,0))</f>
        <v>#REF!</v>
      </c>
      <c r="X757" t="e">
        <f>INDEX(#REF!,MATCH($E757,#REF!,0))</f>
        <v>#REF!</v>
      </c>
      <c r="Y757" t="e">
        <f>INDEX(#REF!,MATCH($E757,#REF!,0))</f>
        <v>#REF!</v>
      </c>
      <c r="Z757" t="e">
        <f>INDEX(#REF!,MATCH($E757,#REF!,0))</f>
        <v>#REF!</v>
      </c>
      <c r="AA757" t="e">
        <f>INDEX(#REF!,MATCH($E757,#REF!,0))</f>
        <v>#REF!</v>
      </c>
      <c r="AB757" t="e">
        <f>INDEX(#REF!,MATCH($E757,#REF!,0))</f>
        <v>#REF!</v>
      </c>
      <c r="AC757" t="e">
        <f>INDEX(#REF!,MATCH($E757,#REF!,0))</f>
        <v>#REF!</v>
      </c>
      <c r="AD757" t="e">
        <f>INDEX(#REF!,MATCH($E757,#REF!,0))</f>
        <v>#REF!</v>
      </c>
      <c r="AE757" t="e">
        <f t="shared" si="33"/>
        <v>#REF!</v>
      </c>
    </row>
    <row r="758" spans="2:31" x14ac:dyDescent="0.25">
      <c r="B758" s="45" t="s">
        <v>3086</v>
      </c>
      <c r="C758" s="45" t="s">
        <v>3087</v>
      </c>
      <c r="D758" s="89"/>
      <c r="E758" s="89">
        <v>110144</v>
      </c>
      <c r="F758" s="89">
        <v>1005</v>
      </c>
      <c r="G758" s="90">
        <v>18</v>
      </c>
      <c r="H758" s="90">
        <v>2</v>
      </c>
      <c r="I758" s="90" t="s">
        <v>26</v>
      </c>
      <c r="J758" s="90">
        <v>1</v>
      </c>
      <c r="K758" s="90" t="s">
        <v>2509</v>
      </c>
      <c r="L758" s="91">
        <v>52</v>
      </c>
      <c r="M758" s="92"/>
      <c r="N758" s="93" t="s">
        <v>3088</v>
      </c>
      <c r="P758" s="21" t="s">
        <v>3128</v>
      </c>
      <c r="Q758" s="12" t="s">
        <v>3053</v>
      </c>
      <c r="R758">
        <f t="shared" si="34"/>
        <v>1</v>
      </c>
      <c r="S758" s="21"/>
      <c r="T758" s="21"/>
      <c r="W758" t="e">
        <f>INDEX(#REF!,MATCH($E758,#REF!,0))</f>
        <v>#REF!</v>
      </c>
      <c r="X758" t="e">
        <f>INDEX(#REF!,MATCH($E758,#REF!,0))</f>
        <v>#REF!</v>
      </c>
      <c r="Y758" t="e">
        <f>INDEX(#REF!,MATCH($E758,#REF!,0))</f>
        <v>#REF!</v>
      </c>
      <c r="Z758" t="e">
        <f>INDEX(#REF!,MATCH($E758,#REF!,0))</f>
        <v>#REF!</v>
      </c>
      <c r="AA758" t="e">
        <f>INDEX(#REF!,MATCH($E758,#REF!,0))</f>
        <v>#REF!</v>
      </c>
      <c r="AB758" t="e">
        <f>INDEX(#REF!,MATCH($E758,#REF!,0))</f>
        <v>#REF!</v>
      </c>
      <c r="AC758" t="e">
        <f>INDEX(#REF!,MATCH($E758,#REF!,0))</f>
        <v>#REF!</v>
      </c>
      <c r="AD758" t="e">
        <f>INDEX(#REF!,MATCH($E758,#REF!,0))</f>
        <v>#REF!</v>
      </c>
      <c r="AE758" t="e">
        <f t="shared" si="33"/>
        <v>#REF!</v>
      </c>
    </row>
    <row r="759" spans="2:31" x14ac:dyDescent="0.25">
      <c r="B759" s="45" t="s">
        <v>3089</v>
      </c>
      <c r="C759" s="45" t="s">
        <v>3090</v>
      </c>
      <c r="D759" s="89"/>
      <c r="E759" s="89">
        <v>110147</v>
      </c>
      <c r="F759" s="89">
        <v>1005</v>
      </c>
      <c r="G759" s="90">
        <v>21</v>
      </c>
      <c r="H759" s="90">
        <v>2</v>
      </c>
      <c r="I759" s="90" t="s">
        <v>26</v>
      </c>
      <c r="J759" s="90">
        <v>1</v>
      </c>
      <c r="K759" s="90" t="s">
        <v>2509</v>
      </c>
      <c r="L759" s="91">
        <v>19</v>
      </c>
      <c r="M759" s="92"/>
      <c r="N759" s="93" t="s">
        <v>3091</v>
      </c>
      <c r="P759" s="21" t="s">
        <v>3128</v>
      </c>
      <c r="Q759" s="12" t="s">
        <v>3053</v>
      </c>
      <c r="R759">
        <f t="shared" si="34"/>
        <v>1</v>
      </c>
      <c r="S759" s="21"/>
      <c r="T759" s="21"/>
      <c r="W759" t="e">
        <f>INDEX(#REF!,MATCH($E759,#REF!,0))</f>
        <v>#REF!</v>
      </c>
      <c r="X759" t="e">
        <f>INDEX(#REF!,MATCH($E759,#REF!,0))</f>
        <v>#REF!</v>
      </c>
      <c r="Y759" t="e">
        <f>INDEX(#REF!,MATCH($E759,#REF!,0))</f>
        <v>#REF!</v>
      </c>
      <c r="Z759" t="e">
        <f>INDEX(#REF!,MATCH($E759,#REF!,0))</f>
        <v>#REF!</v>
      </c>
      <c r="AA759" t="e">
        <f>INDEX(#REF!,MATCH($E759,#REF!,0))</f>
        <v>#REF!</v>
      </c>
      <c r="AB759" t="e">
        <f>INDEX(#REF!,MATCH($E759,#REF!,0))</f>
        <v>#REF!</v>
      </c>
      <c r="AC759" t="e">
        <f>INDEX(#REF!,MATCH($E759,#REF!,0))</f>
        <v>#REF!</v>
      </c>
      <c r="AD759" t="e">
        <f>INDEX(#REF!,MATCH($E759,#REF!,0))</f>
        <v>#REF!</v>
      </c>
      <c r="AE759" t="e">
        <f t="shared" si="33"/>
        <v>#REF!</v>
      </c>
    </row>
    <row r="760" spans="2:31" x14ac:dyDescent="0.25">
      <c r="B760" s="45" t="s">
        <v>3092</v>
      </c>
      <c r="C760" s="45" t="s">
        <v>3093</v>
      </c>
      <c r="D760" s="89"/>
      <c r="E760" s="89">
        <v>110150</v>
      </c>
      <c r="F760" s="89">
        <v>1005</v>
      </c>
      <c r="G760" s="90">
        <v>24</v>
      </c>
      <c r="H760" s="90">
        <v>2</v>
      </c>
      <c r="I760" s="90" t="s">
        <v>26</v>
      </c>
      <c r="J760" s="90">
        <v>1</v>
      </c>
      <c r="K760" s="90" t="s">
        <v>2509</v>
      </c>
      <c r="L760" s="91">
        <v>21</v>
      </c>
      <c r="M760" s="92"/>
      <c r="N760" s="93" t="s">
        <v>3094</v>
      </c>
      <c r="P760" s="21" t="s">
        <v>3128</v>
      </c>
      <c r="Q760" s="12" t="s">
        <v>3053</v>
      </c>
      <c r="R760">
        <f t="shared" si="34"/>
        <v>1</v>
      </c>
      <c r="S760" s="21"/>
      <c r="T760" s="21"/>
      <c r="W760" t="e">
        <f>INDEX(#REF!,MATCH($E760,#REF!,0))</f>
        <v>#REF!</v>
      </c>
      <c r="X760" t="e">
        <f>INDEX(#REF!,MATCH($E760,#REF!,0))</f>
        <v>#REF!</v>
      </c>
      <c r="Y760" t="e">
        <f>INDEX(#REF!,MATCH($E760,#REF!,0))</f>
        <v>#REF!</v>
      </c>
      <c r="Z760" t="e">
        <f>INDEX(#REF!,MATCH($E760,#REF!,0))</f>
        <v>#REF!</v>
      </c>
      <c r="AA760" t="e">
        <f>INDEX(#REF!,MATCH($E760,#REF!,0))</f>
        <v>#REF!</v>
      </c>
      <c r="AB760" t="e">
        <f>INDEX(#REF!,MATCH($E760,#REF!,0))</f>
        <v>#REF!</v>
      </c>
      <c r="AC760" t="e">
        <f>INDEX(#REF!,MATCH($E760,#REF!,0))</f>
        <v>#REF!</v>
      </c>
      <c r="AD760" t="e">
        <f>INDEX(#REF!,MATCH($E760,#REF!,0))</f>
        <v>#REF!</v>
      </c>
      <c r="AE760" t="e">
        <f t="shared" si="33"/>
        <v>#REF!</v>
      </c>
    </row>
    <row r="761" spans="2:31" x14ac:dyDescent="0.25">
      <c r="B761" s="45" t="s">
        <v>3095</v>
      </c>
      <c r="C761" s="45" t="s">
        <v>3096</v>
      </c>
      <c r="D761" s="89"/>
      <c r="E761" s="89">
        <v>110168</v>
      </c>
      <c r="F761" s="89">
        <v>1006</v>
      </c>
      <c r="G761" s="90">
        <v>17</v>
      </c>
      <c r="H761" s="90">
        <v>2</v>
      </c>
      <c r="I761" s="90" t="s">
        <v>26</v>
      </c>
      <c r="J761" s="90">
        <v>1</v>
      </c>
      <c r="K761" s="90" t="s">
        <v>2509</v>
      </c>
      <c r="L761" s="91">
        <v>6</v>
      </c>
      <c r="M761" s="92"/>
      <c r="N761" s="93" t="s">
        <v>3097</v>
      </c>
      <c r="P761" s="21" t="s">
        <v>3128</v>
      </c>
      <c r="Q761" s="12" t="s">
        <v>3053</v>
      </c>
      <c r="R761">
        <f t="shared" si="34"/>
        <v>1</v>
      </c>
      <c r="S761" s="21"/>
      <c r="T761" s="21"/>
      <c r="W761" t="e">
        <f>INDEX(#REF!,MATCH($E761,#REF!,0))</f>
        <v>#REF!</v>
      </c>
      <c r="X761" t="e">
        <f>INDEX(#REF!,MATCH($E761,#REF!,0))</f>
        <v>#REF!</v>
      </c>
      <c r="Y761" t="e">
        <f>INDEX(#REF!,MATCH($E761,#REF!,0))</f>
        <v>#REF!</v>
      </c>
      <c r="Z761" t="e">
        <f>INDEX(#REF!,MATCH($E761,#REF!,0))</f>
        <v>#REF!</v>
      </c>
      <c r="AA761" t="e">
        <f>INDEX(#REF!,MATCH($E761,#REF!,0))</f>
        <v>#REF!</v>
      </c>
      <c r="AB761" t="e">
        <f>INDEX(#REF!,MATCH($E761,#REF!,0))</f>
        <v>#REF!</v>
      </c>
      <c r="AC761" t="e">
        <f>INDEX(#REF!,MATCH($E761,#REF!,0))</f>
        <v>#REF!</v>
      </c>
      <c r="AD761" t="e">
        <f>INDEX(#REF!,MATCH($E761,#REF!,0))</f>
        <v>#REF!</v>
      </c>
      <c r="AE761" t="e">
        <f t="shared" si="33"/>
        <v>#REF!</v>
      </c>
    </row>
    <row r="762" spans="2:31" x14ac:dyDescent="0.25">
      <c r="B762" s="45" t="s">
        <v>3098</v>
      </c>
      <c r="C762" s="45" t="s">
        <v>3099</v>
      </c>
      <c r="D762" s="89"/>
      <c r="E762" s="89">
        <v>110170</v>
      </c>
      <c r="F762" s="89">
        <v>1006</v>
      </c>
      <c r="G762" s="90">
        <v>19</v>
      </c>
      <c r="H762" s="90">
        <v>2</v>
      </c>
      <c r="I762" s="90" t="s">
        <v>26</v>
      </c>
      <c r="J762" s="90">
        <v>1</v>
      </c>
      <c r="K762" s="90" t="s">
        <v>2509</v>
      </c>
      <c r="L762" s="91">
        <v>122</v>
      </c>
      <c r="M762" s="92"/>
      <c r="N762" s="93" t="s">
        <v>3100</v>
      </c>
      <c r="P762" s="21" t="s">
        <v>3128</v>
      </c>
      <c r="Q762" s="12" t="s">
        <v>3053</v>
      </c>
      <c r="R762">
        <f t="shared" si="34"/>
        <v>1</v>
      </c>
      <c r="S762" s="21"/>
      <c r="T762" s="21"/>
      <c r="W762" t="e">
        <f>INDEX(#REF!,MATCH($E762,#REF!,0))</f>
        <v>#REF!</v>
      </c>
      <c r="X762" t="e">
        <f>INDEX(#REF!,MATCH($E762,#REF!,0))</f>
        <v>#REF!</v>
      </c>
      <c r="Y762" t="e">
        <f>INDEX(#REF!,MATCH($E762,#REF!,0))</f>
        <v>#REF!</v>
      </c>
      <c r="Z762" t="e">
        <f>INDEX(#REF!,MATCH($E762,#REF!,0))</f>
        <v>#REF!</v>
      </c>
      <c r="AA762" t="e">
        <f>INDEX(#REF!,MATCH($E762,#REF!,0))</f>
        <v>#REF!</v>
      </c>
      <c r="AB762" t="e">
        <f>INDEX(#REF!,MATCH($E762,#REF!,0))</f>
        <v>#REF!</v>
      </c>
      <c r="AC762" t="e">
        <f>INDEX(#REF!,MATCH($E762,#REF!,0))</f>
        <v>#REF!</v>
      </c>
      <c r="AD762" t="e">
        <f>INDEX(#REF!,MATCH($E762,#REF!,0))</f>
        <v>#REF!</v>
      </c>
      <c r="AE762" t="e">
        <f t="shared" si="33"/>
        <v>#REF!</v>
      </c>
    </row>
    <row r="763" spans="2:31" x14ac:dyDescent="0.25">
      <c r="B763" s="45" t="s">
        <v>3101</v>
      </c>
      <c r="C763" s="45" t="s">
        <v>3102</v>
      </c>
      <c r="D763" s="89"/>
      <c r="E763" s="89">
        <v>110177</v>
      </c>
      <c r="F763" s="89">
        <v>1007</v>
      </c>
      <c r="G763" s="90">
        <v>1</v>
      </c>
      <c r="H763" s="90">
        <v>2</v>
      </c>
      <c r="I763" s="90" t="s">
        <v>26</v>
      </c>
      <c r="J763" s="90">
        <v>1</v>
      </c>
      <c r="K763" s="90" t="s">
        <v>2509</v>
      </c>
      <c r="L763" s="91">
        <v>89</v>
      </c>
      <c r="M763" s="92"/>
      <c r="N763" s="93" t="s">
        <v>3147</v>
      </c>
      <c r="P763" s="21" t="s">
        <v>3128</v>
      </c>
      <c r="Q763" s="12" t="s">
        <v>3157</v>
      </c>
      <c r="R763">
        <f t="shared" si="34"/>
        <v>1</v>
      </c>
      <c r="W763" t="e">
        <f>INDEX(#REF!,MATCH($E763,#REF!,0))</f>
        <v>#REF!</v>
      </c>
      <c r="X763" t="e">
        <f>INDEX(#REF!,MATCH($E763,#REF!,0))</f>
        <v>#REF!</v>
      </c>
      <c r="Y763" t="e">
        <f>INDEX(#REF!,MATCH($E763,#REF!,0))</f>
        <v>#REF!</v>
      </c>
      <c r="Z763" t="e">
        <f>INDEX(#REF!,MATCH($E763,#REF!,0))</f>
        <v>#REF!</v>
      </c>
      <c r="AA763" t="e">
        <f>INDEX(#REF!,MATCH($E763,#REF!,0))</f>
        <v>#REF!</v>
      </c>
      <c r="AB763" t="e">
        <f>INDEX(#REF!,MATCH($E763,#REF!,0))</f>
        <v>#REF!</v>
      </c>
      <c r="AC763" t="e">
        <f>INDEX(#REF!,MATCH($E763,#REF!,0))</f>
        <v>#REF!</v>
      </c>
      <c r="AD763" t="e">
        <f>INDEX(#REF!,MATCH($E763,#REF!,0))</f>
        <v>#REF!</v>
      </c>
      <c r="AE763" t="e">
        <f t="shared" si="33"/>
        <v>#REF!</v>
      </c>
    </row>
    <row r="764" spans="2:31" x14ac:dyDescent="0.25">
      <c r="B764" s="45" t="s">
        <v>3103</v>
      </c>
      <c r="C764" s="45" t="s">
        <v>3166</v>
      </c>
      <c r="D764" s="89"/>
      <c r="E764" s="89">
        <v>110178</v>
      </c>
      <c r="F764" s="89">
        <v>1007</v>
      </c>
      <c r="G764" s="90">
        <v>2</v>
      </c>
      <c r="H764" s="90">
        <v>2</v>
      </c>
      <c r="I764" s="90" t="s">
        <v>26</v>
      </c>
      <c r="J764" s="90">
        <v>1</v>
      </c>
      <c r="K764" s="90" t="s">
        <v>2509</v>
      </c>
      <c r="L764" s="91" t="s">
        <v>2242</v>
      </c>
      <c r="M764" s="92"/>
      <c r="N764" s="93" t="s">
        <v>3104</v>
      </c>
      <c r="P764" s="21" t="s">
        <v>3128</v>
      </c>
      <c r="Q764" s="12" t="s">
        <v>3158</v>
      </c>
      <c r="R764">
        <f t="shared" si="34"/>
        <v>1</v>
      </c>
      <c r="W764" t="e">
        <f>INDEX(#REF!,MATCH($E764,#REF!,0))</f>
        <v>#REF!</v>
      </c>
      <c r="X764" t="e">
        <f>INDEX(#REF!,MATCH($E764,#REF!,0))</f>
        <v>#REF!</v>
      </c>
      <c r="Y764" t="e">
        <f>INDEX(#REF!,MATCH($E764,#REF!,0))</f>
        <v>#REF!</v>
      </c>
      <c r="Z764" t="e">
        <f>INDEX(#REF!,MATCH($E764,#REF!,0))</f>
        <v>#REF!</v>
      </c>
      <c r="AA764" t="e">
        <f>INDEX(#REF!,MATCH($E764,#REF!,0))</f>
        <v>#REF!</v>
      </c>
      <c r="AB764" t="e">
        <f>INDEX(#REF!,MATCH($E764,#REF!,0))</f>
        <v>#REF!</v>
      </c>
      <c r="AC764" t="e">
        <f>INDEX(#REF!,MATCH($E764,#REF!,0))</f>
        <v>#REF!</v>
      </c>
      <c r="AD764" t="e">
        <f>INDEX(#REF!,MATCH($E764,#REF!,0))</f>
        <v>#REF!</v>
      </c>
      <c r="AE764" t="e">
        <f t="shared" si="33"/>
        <v>#REF!</v>
      </c>
    </row>
    <row r="765" spans="2:31" x14ac:dyDescent="0.25">
      <c r="B765" s="45" t="s">
        <v>3105</v>
      </c>
      <c r="C765" s="45" t="s">
        <v>3106</v>
      </c>
      <c r="D765" s="89"/>
      <c r="E765" s="89">
        <v>110200</v>
      </c>
      <c r="F765" s="89">
        <v>1007</v>
      </c>
      <c r="G765" s="90">
        <v>24</v>
      </c>
      <c r="H765" s="90">
        <v>2</v>
      </c>
      <c r="I765" s="90" t="s">
        <v>26</v>
      </c>
      <c r="J765" s="90">
        <v>1</v>
      </c>
      <c r="K765" s="90" t="s">
        <v>2509</v>
      </c>
      <c r="L765" s="91">
        <v>4</v>
      </c>
      <c r="M765" s="92"/>
      <c r="N765" s="93" t="s">
        <v>3107</v>
      </c>
      <c r="P765" s="21" t="s">
        <v>3128</v>
      </c>
      <c r="Q765" s="12" t="s">
        <v>3159</v>
      </c>
      <c r="R765">
        <f t="shared" si="34"/>
        <v>1</v>
      </c>
      <c r="W765" t="e">
        <f>INDEX(#REF!,MATCH($E765,#REF!,0))</f>
        <v>#REF!</v>
      </c>
      <c r="X765" t="e">
        <f>INDEX(#REF!,MATCH($E765,#REF!,0))</f>
        <v>#REF!</v>
      </c>
      <c r="Y765" t="e">
        <f>INDEX(#REF!,MATCH($E765,#REF!,0))</f>
        <v>#REF!</v>
      </c>
      <c r="Z765" t="e">
        <f>INDEX(#REF!,MATCH($E765,#REF!,0))</f>
        <v>#REF!</v>
      </c>
      <c r="AA765" t="e">
        <f>INDEX(#REF!,MATCH($E765,#REF!,0))</f>
        <v>#REF!</v>
      </c>
      <c r="AB765" t="e">
        <f>INDEX(#REF!,MATCH($E765,#REF!,0))</f>
        <v>#REF!</v>
      </c>
      <c r="AC765" t="e">
        <f>INDEX(#REF!,MATCH($E765,#REF!,0))</f>
        <v>#REF!</v>
      </c>
      <c r="AD765" t="e">
        <f>INDEX(#REF!,MATCH($E765,#REF!,0))</f>
        <v>#REF!</v>
      </c>
      <c r="AE765" t="e">
        <f t="shared" si="33"/>
        <v>#REF!</v>
      </c>
    </row>
    <row r="766" spans="2:31" x14ac:dyDescent="0.25">
      <c r="B766" s="45" t="s">
        <v>3108</v>
      </c>
      <c r="C766" s="45" t="s">
        <v>3109</v>
      </c>
      <c r="D766" s="89"/>
      <c r="E766" s="89">
        <v>110270</v>
      </c>
      <c r="F766" s="89">
        <v>1010</v>
      </c>
      <c r="G766" s="90">
        <v>19</v>
      </c>
      <c r="H766" s="90">
        <v>2</v>
      </c>
      <c r="I766" s="90" t="s">
        <v>26</v>
      </c>
      <c r="J766" s="90">
        <v>1</v>
      </c>
      <c r="K766" s="90" t="s">
        <v>2509</v>
      </c>
      <c r="L766" s="91">
        <v>119</v>
      </c>
      <c r="M766" s="92"/>
      <c r="N766" s="93" t="s">
        <v>3110</v>
      </c>
      <c r="P766" s="21" t="s">
        <v>3128</v>
      </c>
      <c r="Q766" s="12" t="s">
        <v>3160</v>
      </c>
      <c r="R766">
        <f t="shared" si="34"/>
        <v>1</v>
      </c>
      <c r="W766" t="e">
        <f>INDEX(#REF!,MATCH($E766,#REF!,0))</f>
        <v>#REF!</v>
      </c>
      <c r="X766" t="e">
        <f>INDEX(#REF!,MATCH($E766,#REF!,0))</f>
        <v>#REF!</v>
      </c>
      <c r="Y766" t="e">
        <f>INDEX(#REF!,MATCH($E766,#REF!,0))</f>
        <v>#REF!</v>
      </c>
      <c r="Z766" t="e">
        <f>INDEX(#REF!,MATCH($E766,#REF!,0))</f>
        <v>#REF!</v>
      </c>
      <c r="AA766" t="e">
        <f>INDEX(#REF!,MATCH($E766,#REF!,0))</f>
        <v>#REF!</v>
      </c>
      <c r="AB766" t="e">
        <f>INDEX(#REF!,MATCH($E766,#REF!,0))</f>
        <v>#REF!</v>
      </c>
      <c r="AC766" t="e">
        <f>INDEX(#REF!,MATCH($E766,#REF!,0))</f>
        <v>#REF!</v>
      </c>
      <c r="AD766" t="e">
        <f>INDEX(#REF!,MATCH($E766,#REF!,0))</f>
        <v>#REF!</v>
      </c>
      <c r="AE766" t="e">
        <f t="shared" si="33"/>
        <v>#REF!</v>
      </c>
    </row>
    <row r="767" spans="2:31" x14ac:dyDescent="0.25">
      <c r="B767" s="45" t="s">
        <v>3111</v>
      </c>
      <c r="C767" s="45" t="s">
        <v>3112</v>
      </c>
      <c r="D767" s="89"/>
      <c r="E767" s="89">
        <v>110271</v>
      </c>
      <c r="F767" s="89">
        <v>1010</v>
      </c>
      <c r="G767" s="90">
        <v>20</v>
      </c>
      <c r="H767" s="90">
        <v>2</v>
      </c>
      <c r="I767" s="90" t="s">
        <v>26</v>
      </c>
      <c r="J767" s="90">
        <v>1</v>
      </c>
      <c r="K767" s="90" t="s">
        <v>2509</v>
      </c>
      <c r="L767" s="91">
        <v>121</v>
      </c>
      <c r="M767" s="92"/>
      <c r="N767" s="93" t="s">
        <v>3113</v>
      </c>
      <c r="P767" s="21" t="s">
        <v>3128</v>
      </c>
      <c r="Q767" s="12" t="s">
        <v>3161</v>
      </c>
      <c r="R767">
        <f t="shared" si="34"/>
        <v>1</v>
      </c>
      <c r="W767" t="e">
        <f>INDEX(#REF!,MATCH($E767,#REF!,0))</f>
        <v>#REF!</v>
      </c>
      <c r="X767" t="e">
        <f>INDEX(#REF!,MATCH($E767,#REF!,0))</f>
        <v>#REF!</v>
      </c>
      <c r="Y767" t="e">
        <f>INDEX(#REF!,MATCH($E767,#REF!,0))</f>
        <v>#REF!</v>
      </c>
      <c r="Z767" t="e">
        <f>INDEX(#REF!,MATCH($E767,#REF!,0))</f>
        <v>#REF!</v>
      </c>
      <c r="AA767" t="e">
        <f>INDEX(#REF!,MATCH($E767,#REF!,0))</f>
        <v>#REF!</v>
      </c>
      <c r="AB767" t="e">
        <f>INDEX(#REF!,MATCH($E767,#REF!,0))</f>
        <v>#REF!</v>
      </c>
      <c r="AC767" t="e">
        <f>INDEX(#REF!,MATCH($E767,#REF!,0))</f>
        <v>#REF!</v>
      </c>
      <c r="AD767" t="e">
        <f>INDEX(#REF!,MATCH($E767,#REF!,0))</f>
        <v>#REF!</v>
      </c>
      <c r="AE767" t="e">
        <f t="shared" si="33"/>
        <v>#REF!</v>
      </c>
    </row>
    <row r="768" spans="2:31" x14ac:dyDescent="0.25">
      <c r="B768" s="45" t="s">
        <v>3114</v>
      </c>
      <c r="C768" s="45" t="s">
        <v>3115</v>
      </c>
      <c r="D768" s="89"/>
      <c r="E768" s="89">
        <v>110296</v>
      </c>
      <c r="F768" s="89">
        <v>1011</v>
      </c>
      <c r="G768" s="90">
        <v>20</v>
      </c>
      <c r="H768" s="90">
        <v>2</v>
      </c>
      <c r="I768" s="90" t="s">
        <v>26</v>
      </c>
      <c r="J768" s="90">
        <v>1</v>
      </c>
      <c r="K768" s="90" t="s">
        <v>2509</v>
      </c>
      <c r="L768" s="91">
        <v>20</v>
      </c>
      <c r="M768" s="92"/>
      <c r="N768" s="93" t="s">
        <v>3116</v>
      </c>
      <c r="P768" s="21" t="s">
        <v>3128</v>
      </c>
      <c r="Q768" s="12" t="s">
        <v>3162</v>
      </c>
      <c r="R768">
        <f t="shared" si="34"/>
        <v>1</v>
      </c>
      <c r="W768" t="e">
        <f>INDEX(#REF!,MATCH($E768,#REF!,0))</f>
        <v>#REF!</v>
      </c>
      <c r="X768" t="e">
        <f>INDEX(#REF!,MATCH($E768,#REF!,0))</f>
        <v>#REF!</v>
      </c>
      <c r="Y768" t="e">
        <f>INDEX(#REF!,MATCH($E768,#REF!,0))</f>
        <v>#REF!</v>
      </c>
      <c r="Z768" t="e">
        <f>INDEX(#REF!,MATCH($E768,#REF!,0))</f>
        <v>#REF!</v>
      </c>
      <c r="AA768" t="e">
        <f>INDEX(#REF!,MATCH($E768,#REF!,0))</f>
        <v>#REF!</v>
      </c>
      <c r="AB768" t="e">
        <f>INDEX(#REF!,MATCH($E768,#REF!,0))</f>
        <v>#REF!</v>
      </c>
      <c r="AC768" t="e">
        <f>INDEX(#REF!,MATCH($E768,#REF!,0))</f>
        <v>#REF!</v>
      </c>
      <c r="AD768" t="e">
        <f>INDEX(#REF!,MATCH($E768,#REF!,0))</f>
        <v>#REF!</v>
      </c>
      <c r="AE768" t="e">
        <f t="shared" si="33"/>
        <v>#REF!</v>
      </c>
    </row>
    <row r="769" spans="2:31" x14ac:dyDescent="0.25">
      <c r="B769" s="45" t="s">
        <v>3117</v>
      </c>
      <c r="C769" s="45" t="s">
        <v>3118</v>
      </c>
      <c r="D769" s="89"/>
      <c r="E769" s="89">
        <v>110297</v>
      </c>
      <c r="F769" s="89">
        <v>1011</v>
      </c>
      <c r="G769" s="90">
        <v>21</v>
      </c>
      <c r="H769" s="90">
        <v>2</v>
      </c>
      <c r="I769" s="90" t="s">
        <v>26</v>
      </c>
      <c r="J769" s="90">
        <v>1</v>
      </c>
      <c r="K769" s="90" t="s">
        <v>2509</v>
      </c>
      <c r="L769" s="91">
        <v>22</v>
      </c>
      <c r="M769" s="92"/>
      <c r="N769" s="93" t="s">
        <v>3119</v>
      </c>
      <c r="P769" s="21" t="s">
        <v>3128</v>
      </c>
      <c r="Q769" s="12" t="s">
        <v>3163</v>
      </c>
      <c r="R769">
        <f t="shared" si="34"/>
        <v>1</v>
      </c>
      <c r="W769" t="e">
        <f>INDEX(#REF!,MATCH($E769,#REF!,0))</f>
        <v>#REF!</v>
      </c>
      <c r="X769" t="e">
        <f>INDEX(#REF!,MATCH($E769,#REF!,0))</f>
        <v>#REF!</v>
      </c>
      <c r="Y769" t="e">
        <f>INDEX(#REF!,MATCH($E769,#REF!,0))</f>
        <v>#REF!</v>
      </c>
      <c r="Z769" t="e">
        <f>INDEX(#REF!,MATCH($E769,#REF!,0))</f>
        <v>#REF!</v>
      </c>
      <c r="AA769" t="e">
        <f>INDEX(#REF!,MATCH($E769,#REF!,0))</f>
        <v>#REF!</v>
      </c>
      <c r="AB769" t="e">
        <f>INDEX(#REF!,MATCH($E769,#REF!,0))</f>
        <v>#REF!</v>
      </c>
      <c r="AC769" t="e">
        <f>INDEX(#REF!,MATCH($E769,#REF!,0))</f>
        <v>#REF!</v>
      </c>
      <c r="AD769" t="e">
        <f>INDEX(#REF!,MATCH($E769,#REF!,0))</f>
        <v>#REF!</v>
      </c>
      <c r="AE769" t="e">
        <f t="shared" si="33"/>
        <v>#REF!</v>
      </c>
    </row>
    <row r="770" spans="2:31" x14ac:dyDescent="0.25">
      <c r="B770" s="45" t="s">
        <v>3120</v>
      </c>
      <c r="C770" s="45" t="s">
        <v>3121</v>
      </c>
      <c r="D770" s="89"/>
      <c r="E770" s="89">
        <v>110299</v>
      </c>
      <c r="F770" s="89">
        <v>1011</v>
      </c>
      <c r="G770" s="90">
        <v>23</v>
      </c>
      <c r="H770" s="90">
        <v>2</v>
      </c>
      <c r="I770" s="90" t="s">
        <v>26</v>
      </c>
      <c r="J770" s="90">
        <v>1</v>
      </c>
      <c r="K770" s="90" t="s">
        <v>2509</v>
      </c>
      <c r="L770" s="91">
        <v>3</v>
      </c>
      <c r="M770" s="92"/>
      <c r="N770" s="93" t="s">
        <v>3122</v>
      </c>
      <c r="P770" s="21" t="s">
        <v>3128</v>
      </c>
      <c r="Q770" s="12" t="s">
        <v>3164</v>
      </c>
      <c r="R770">
        <f t="shared" si="34"/>
        <v>1</v>
      </c>
      <c r="W770" t="e">
        <f>INDEX(#REF!,MATCH($E770,#REF!,0))</f>
        <v>#REF!</v>
      </c>
      <c r="X770" t="e">
        <f>INDEX(#REF!,MATCH($E770,#REF!,0))</f>
        <v>#REF!</v>
      </c>
      <c r="Y770" t="e">
        <f>INDEX(#REF!,MATCH($E770,#REF!,0))</f>
        <v>#REF!</v>
      </c>
      <c r="Z770" t="e">
        <f>INDEX(#REF!,MATCH($E770,#REF!,0))</f>
        <v>#REF!</v>
      </c>
      <c r="AA770" t="e">
        <f>INDEX(#REF!,MATCH($E770,#REF!,0))</f>
        <v>#REF!</v>
      </c>
      <c r="AB770" t="e">
        <f>INDEX(#REF!,MATCH($E770,#REF!,0))</f>
        <v>#REF!</v>
      </c>
      <c r="AC770" t="e">
        <f>INDEX(#REF!,MATCH($E770,#REF!,0))</f>
        <v>#REF!</v>
      </c>
      <c r="AD770" t="e">
        <f>INDEX(#REF!,MATCH($E770,#REF!,0))</f>
        <v>#REF!</v>
      </c>
      <c r="AE770" t="e">
        <f t="shared" si="33"/>
        <v>#REF!</v>
      </c>
    </row>
    <row r="771" spans="2:31" x14ac:dyDescent="0.25">
      <c r="B771" s="83" t="s">
        <v>3123</v>
      </c>
      <c r="C771" s="83" t="s">
        <v>3124</v>
      </c>
      <c r="D771" s="89"/>
      <c r="E771" s="89">
        <v>110390</v>
      </c>
      <c r="F771" s="89">
        <v>1015</v>
      </c>
      <c r="G771" s="90">
        <v>14</v>
      </c>
      <c r="H771" s="90">
        <v>2</v>
      </c>
      <c r="I771" s="90" t="s">
        <v>26</v>
      </c>
      <c r="J771" s="90">
        <v>1</v>
      </c>
      <c r="K771" s="90" t="s">
        <v>2509</v>
      </c>
      <c r="L771" s="91">
        <v>390</v>
      </c>
      <c r="M771" s="92"/>
      <c r="N771" s="93" t="s">
        <v>3125</v>
      </c>
      <c r="P771" s="21" t="s">
        <v>3128</v>
      </c>
      <c r="Q771" s="12" t="s">
        <v>3165</v>
      </c>
      <c r="R771">
        <f t="shared" si="34"/>
        <v>1</v>
      </c>
      <c r="W771" t="e">
        <f>INDEX(#REF!,MATCH($E771,#REF!,0))</f>
        <v>#REF!</v>
      </c>
      <c r="X771" t="e">
        <f>INDEX(#REF!,MATCH($E771,#REF!,0))</f>
        <v>#REF!</v>
      </c>
      <c r="Y771" t="e">
        <f>INDEX(#REF!,MATCH($E771,#REF!,0))</f>
        <v>#REF!</v>
      </c>
      <c r="Z771" t="e">
        <f>INDEX(#REF!,MATCH($E771,#REF!,0))</f>
        <v>#REF!</v>
      </c>
      <c r="AA771" t="e">
        <f>INDEX(#REF!,MATCH($E771,#REF!,0))</f>
        <v>#REF!</v>
      </c>
      <c r="AB771" t="e">
        <f>INDEX(#REF!,MATCH($E771,#REF!,0))</f>
        <v>#REF!</v>
      </c>
      <c r="AC771" t="e">
        <f>INDEX(#REF!,MATCH($E771,#REF!,0))</f>
        <v>#REF!</v>
      </c>
      <c r="AD771" t="e">
        <f>INDEX(#REF!,MATCH($E771,#REF!,0))</f>
        <v>#REF!</v>
      </c>
      <c r="AE771" t="e">
        <f t="shared" si="33"/>
        <v>#REF!</v>
      </c>
    </row>
    <row r="772" spans="2:31" x14ac:dyDescent="0.25">
      <c r="B772" s="71" t="s">
        <v>3416</v>
      </c>
      <c r="C772" s="71" t="s">
        <v>3238</v>
      </c>
      <c r="D772" s="89" t="s">
        <v>3390</v>
      </c>
      <c r="E772" s="89">
        <v>110743</v>
      </c>
      <c r="F772" s="89">
        <v>1029</v>
      </c>
      <c r="G772" s="90">
        <v>17</v>
      </c>
      <c r="H772" s="90">
        <v>2</v>
      </c>
      <c r="I772" s="90" t="s">
        <v>147</v>
      </c>
      <c r="J772" s="90">
        <v>100000</v>
      </c>
      <c r="K772" s="90">
        <v>0</v>
      </c>
      <c r="L772" s="91"/>
      <c r="M772" s="92"/>
      <c r="N772" s="93"/>
      <c r="P772" s="72" t="s">
        <v>3400</v>
      </c>
      <c r="Q772" s="12" t="s">
        <v>3386</v>
      </c>
    </row>
    <row r="773" spans="2:31" x14ac:dyDescent="0.25">
      <c r="B773" s="71" t="s">
        <v>3237</v>
      </c>
      <c r="C773" s="71" t="s">
        <v>3236</v>
      </c>
      <c r="D773" s="89" t="s">
        <v>3391</v>
      </c>
      <c r="E773" s="89">
        <v>110761</v>
      </c>
      <c r="F773" s="89">
        <v>1030</v>
      </c>
      <c r="G773" s="90">
        <v>10</v>
      </c>
      <c r="H773" s="90">
        <v>2</v>
      </c>
      <c r="I773" s="90" t="s">
        <v>147</v>
      </c>
      <c r="J773" s="90">
        <v>100000</v>
      </c>
      <c r="K773" s="90">
        <v>0</v>
      </c>
      <c r="L773" s="91"/>
      <c r="M773" s="92"/>
      <c r="N773" s="93"/>
      <c r="P773" s="72" t="s">
        <v>3400</v>
      </c>
      <c r="Q773" s="12" t="s">
        <v>3386</v>
      </c>
    </row>
    <row r="774" spans="2:31" x14ac:dyDescent="0.25">
      <c r="B774" s="71" t="s">
        <v>3417</v>
      </c>
      <c r="C774" s="71" t="s">
        <v>3418</v>
      </c>
      <c r="D774" s="89" t="s">
        <v>3392</v>
      </c>
      <c r="E774" s="89">
        <v>110764</v>
      </c>
      <c r="F774" s="89">
        <v>1030</v>
      </c>
      <c r="G774" s="90">
        <v>13</v>
      </c>
      <c r="H774" s="90">
        <v>2</v>
      </c>
      <c r="I774" s="90" t="s">
        <v>147</v>
      </c>
      <c r="J774" s="90">
        <v>100000</v>
      </c>
      <c r="K774" s="90">
        <v>0</v>
      </c>
      <c r="L774" s="91"/>
      <c r="M774" s="92"/>
      <c r="N774" s="93"/>
      <c r="P774" s="72" t="s">
        <v>3400</v>
      </c>
      <c r="Q774" s="12" t="s">
        <v>3386</v>
      </c>
    </row>
    <row r="775" spans="2:31" x14ac:dyDescent="0.25">
      <c r="B775" s="71" t="s">
        <v>3419</v>
      </c>
      <c r="C775" s="71" t="s">
        <v>3420</v>
      </c>
      <c r="D775" s="89" t="s">
        <v>3393</v>
      </c>
      <c r="E775" s="89">
        <v>110765</v>
      </c>
      <c r="F775" s="89">
        <v>1030</v>
      </c>
      <c r="G775" s="90">
        <v>14</v>
      </c>
      <c r="H775" s="90">
        <v>2</v>
      </c>
      <c r="I775" s="90" t="s">
        <v>147</v>
      </c>
      <c r="J775" s="90">
        <v>100000</v>
      </c>
      <c r="K775" s="90">
        <v>0</v>
      </c>
      <c r="L775" s="91"/>
      <c r="M775" s="92"/>
      <c r="N775" s="93"/>
      <c r="P775" s="72" t="s">
        <v>3400</v>
      </c>
      <c r="Q775" s="12" t="s">
        <v>3386</v>
      </c>
    </row>
    <row r="776" spans="2:31" x14ac:dyDescent="0.25">
      <c r="B776" s="71" t="s">
        <v>3421</v>
      </c>
      <c r="C776" s="71" t="s">
        <v>3422</v>
      </c>
      <c r="D776" s="89" t="s">
        <v>3394</v>
      </c>
      <c r="E776" s="89">
        <v>110766</v>
      </c>
      <c r="F776" s="89">
        <v>1030</v>
      </c>
      <c r="G776" s="90">
        <v>15</v>
      </c>
      <c r="H776" s="90">
        <v>2</v>
      </c>
      <c r="I776" s="90" t="s">
        <v>210</v>
      </c>
      <c r="J776" s="90">
        <v>100</v>
      </c>
      <c r="K776" s="90">
        <v>0</v>
      </c>
      <c r="L776" s="91"/>
      <c r="M776" s="92"/>
      <c r="N776" s="93"/>
      <c r="P776" s="72" t="s">
        <v>3400</v>
      </c>
      <c r="Q776" s="12" t="s">
        <v>3386</v>
      </c>
    </row>
    <row r="777" spans="2:31" x14ac:dyDescent="0.25">
      <c r="B777" s="71" t="s">
        <v>3423</v>
      </c>
      <c r="C777" s="71" t="s">
        <v>3424</v>
      </c>
      <c r="D777" s="89" t="s">
        <v>3389</v>
      </c>
      <c r="E777" s="89">
        <v>110738</v>
      </c>
      <c r="F777" s="89">
        <v>1029</v>
      </c>
      <c r="G777" s="90">
        <v>12</v>
      </c>
      <c r="H777" s="90">
        <v>2</v>
      </c>
      <c r="I777" s="90" t="s">
        <v>26</v>
      </c>
      <c r="J777" s="90">
        <v>1</v>
      </c>
      <c r="K777" s="90">
        <v>0</v>
      </c>
      <c r="L777" s="91"/>
      <c r="M777" s="92"/>
      <c r="N777" s="93"/>
      <c r="P777" s="72" t="s">
        <v>3400</v>
      </c>
      <c r="Q777" s="12" t="s">
        <v>3396</v>
      </c>
    </row>
    <row r="778" spans="2:31" x14ac:dyDescent="0.25">
      <c r="B778" s="45" t="s">
        <v>3341</v>
      </c>
      <c r="C778" s="45" t="s">
        <v>3517</v>
      </c>
      <c r="D778" s="89" t="s">
        <v>3341</v>
      </c>
      <c r="E778" s="89">
        <v>112644</v>
      </c>
      <c r="F778" s="89">
        <v>1085</v>
      </c>
      <c r="G778" s="90">
        <v>9</v>
      </c>
      <c r="H778" s="90">
        <v>2</v>
      </c>
      <c r="I778" s="90" t="s">
        <v>3312</v>
      </c>
      <c r="J778" s="90">
        <v>1</v>
      </c>
      <c r="K778" s="90">
        <v>0</v>
      </c>
      <c r="L778" s="91"/>
      <c r="M778" s="92"/>
      <c r="N778" s="93"/>
      <c r="P778" s="72" t="s">
        <v>3400</v>
      </c>
      <c r="Q778" s="12" t="s">
        <v>3387</v>
      </c>
    </row>
    <row r="779" spans="2:31" x14ac:dyDescent="0.25">
      <c r="B779" s="45" t="s">
        <v>3342</v>
      </c>
      <c r="C779" s="45" t="s">
        <v>3518</v>
      </c>
      <c r="D779" s="89" t="s">
        <v>3342</v>
      </c>
      <c r="E779" s="89">
        <v>112643</v>
      </c>
      <c r="F779" s="89">
        <v>1085</v>
      </c>
      <c r="G779" s="90">
        <v>8</v>
      </c>
      <c r="H779" s="90">
        <v>2</v>
      </c>
      <c r="I779" s="90" t="s">
        <v>3312</v>
      </c>
      <c r="J779" s="90">
        <v>1</v>
      </c>
      <c r="K779" s="90">
        <v>0</v>
      </c>
      <c r="L779" s="91"/>
      <c r="M779" s="92"/>
      <c r="N779" s="93"/>
      <c r="P779" s="72" t="s">
        <v>3400</v>
      </c>
      <c r="Q779" s="12" t="s">
        <v>3387</v>
      </c>
    </row>
    <row r="780" spans="2:31" x14ac:dyDescent="0.25">
      <c r="B780" s="45" t="s">
        <v>3433</v>
      </c>
      <c r="C780" s="45" t="s">
        <v>3501</v>
      </c>
      <c r="D780" s="89" t="s">
        <v>3343</v>
      </c>
      <c r="E780" s="89">
        <v>110744</v>
      </c>
      <c r="F780" s="89">
        <v>1029</v>
      </c>
      <c r="G780" s="90">
        <v>18</v>
      </c>
      <c r="H780" s="90">
        <v>2</v>
      </c>
      <c r="I780" s="90" t="s">
        <v>210</v>
      </c>
      <c r="J780" s="90">
        <v>100</v>
      </c>
      <c r="K780" s="90">
        <v>0</v>
      </c>
      <c r="L780" s="91"/>
      <c r="M780" s="92"/>
      <c r="N780" s="93"/>
      <c r="P780" s="72" t="s">
        <v>3400</v>
      </c>
      <c r="Q780" s="12" t="s">
        <v>3387</v>
      </c>
    </row>
    <row r="781" spans="2:31" x14ac:dyDescent="0.25">
      <c r="B781" s="45" t="s">
        <v>3434</v>
      </c>
      <c r="C781" s="45" t="s">
        <v>3483</v>
      </c>
      <c r="D781" s="89" t="s">
        <v>3344</v>
      </c>
      <c r="E781" s="89">
        <v>110745</v>
      </c>
      <c r="F781" s="89">
        <v>1029</v>
      </c>
      <c r="G781" s="90">
        <v>19</v>
      </c>
      <c r="H781" s="90">
        <v>2</v>
      </c>
      <c r="I781" s="90" t="s">
        <v>210</v>
      </c>
      <c r="J781" s="90">
        <v>100</v>
      </c>
      <c r="K781" s="90">
        <v>0</v>
      </c>
      <c r="L781" s="91"/>
      <c r="M781" s="92"/>
      <c r="N781" s="93"/>
      <c r="P781" s="72" t="s">
        <v>3400</v>
      </c>
      <c r="Q781" s="12" t="s">
        <v>3387</v>
      </c>
    </row>
    <row r="782" spans="2:31" x14ac:dyDescent="0.25">
      <c r="B782" s="45" t="s">
        <v>3435</v>
      </c>
      <c r="C782" s="45" t="s">
        <v>3484</v>
      </c>
      <c r="D782" s="89" t="s">
        <v>3345</v>
      </c>
      <c r="E782" s="89">
        <v>110746</v>
      </c>
      <c r="F782" s="89">
        <v>1029</v>
      </c>
      <c r="G782" s="90">
        <v>20</v>
      </c>
      <c r="H782" s="90">
        <v>2</v>
      </c>
      <c r="I782" s="90" t="s">
        <v>210</v>
      </c>
      <c r="J782" s="90">
        <v>100</v>
      </c>
      <c r="K782" s="90">
        <v>0</v>
      </c>
      <c r="L782" s="91"/>
      <c r="M782" s="92"/>
      <c r="N782" s="93"/>
      <c r="P782" s="72" t="s">
        <v>3400</v>
      </c>
      <c r="Q782" s="12" t="s">
        <v>3387</v>
      </c>
    </row>
    <row r="783" spans="2:31" x14ac:dyDescent="0.25">
      <c r="B783" s="45" t="s">
        <v>3436</v>
      </c>
      <c r="C783" s="45" t="s">
        <v>3502</v>
      </c>
      <c r="D783" s="89" t="s">
        <v>3346</v>
      </c>
      <c r="E783" s="89">
        <v>110747</v>
      </c>
      <c r="F783" s="89">
        <v>1029</v>
      </c>
      <c r="G783" s="90">
        <v>21</v>
      </c>
      <c r="H783" s="90">
        <v>2</v>
      </c>
      <c r="I783" s="90" t="s">
        <v>210</v>
      </c>
      <c r="J783" s="90">
        <v>100</v>
      </c>
      <c r="K783" s="90">
        <v>0</v>
      </c>
      <c r="L783" s="91"/>
      <c r="M783" s="92"/>
      <c r="N783" s="93"/>
      <c r="P783" s="72" t="s">
        <v>3400</v>
      </c>
      <c r="Q783" s="12" t="s">
        <v>3387</v>
      </c>
    </row>
    <row r="784" spans="2:31" x14ac:dyDescent="0.25">
      <c r="B784" s="45" t="s">
        <v>3437</v>
      </c>
      <c r="C784" s="45" t="s">
        <v>3485</v>
      </c>
      <c r="D784" s="89" t="s">
        <v>3347</v>
      </c>
      <c r="E784" s="89">
        <v>110748</v>
      </c>
      <c r="F784" s="89">
        <v>1029</v>
      </c>
      <c r="G784" s="90">
        <v>22</v>
      </c>
      <c r="H784" s="90">
        <v>2</v>
      </c>
      <c r="I784" s="90" t="s">
        <v>210</v>
      </c>
      <c r="J784" s="90">
        <v>100</v>
      </c>
      <c r="K784" s="90">
        <v>0</v>
      </c>
      <c r="L784" s="91"/>
      <c r="M784" s="92"/>
      <c r="N784" s="93"/>
      <c r="P784" s="72" t="s">
        <v>3400</v>
      </c>
      <c r="Q784" s="12" t="s">
        <v>3387</v>
      </c>
    </row>
    <row r="785" spans="2:17" x14ac:dyDescent="0.25">
      <c r="B785" s="45" t="s">
        <v>3438</v>
      </c>
      <c r="C785" s="45" t="s">
        <v>3486</v>
      </c>
      <c r="D785" s="89" t="s">
        <v>3348</v>
      </c>
      <c r="E785" s="89">
        <v>110749</v>
      </c>
      <c r="F785" s="89">
        <v>1029</v>
      </c>
      <c r="G785" s="90">
        <v>23</v>
      </c>
      <c r="H785" s="90">
        <v>2</v>
      </c>
      <c r="I785" s="90" t="s">
        <v>210</v>
      </c>
      <c r="J785" s="90">
        <v>100</v>
      </c>
      <c r="K785" s="90">
        <v>0</v>
      </c>
      <c r="L785" s="91"/>
      <c r="M785" s="92"/>
      <c r="N785" s="93"/>
      <c r="P785" s="72" t="s">
        <v>3400</v>
      </c>
      <c r="Q785" s="12" t="s">
        <v>3387</v>
      </c>
    </row>
    <row r="786" spans="2:17" x14ac:dyDescent="0.25">
      <c r="B786" s="45" t="s">
        <v>3442</v>
      </c>
      <c r="C786" s="45" t="s">
        <v>3503</v>
      </c>
      <c r="D786" s="89" t="s">
        <v>3349</v>
      </c>
      <c r="E786" s="89">
        <v>110755</v>
      </c>
      <c r="F786" s="89">
        <v>1030</v>
      </c>
      <c r="G786" s="90">
        <v>4</v>
      </c>
      <c r="H786" s="90">
        <v>2</v>
      </c>
      <c r="I786" s="90" t="s">
        <v>210</v>
      </c>
      <c r="J786" s="90">
        <v>100</v>
      </c>
      <c r="K786" s="90">
        <v>0</v>
      </c>
      <c r="L786" s="91"/>
      <c r="M786" s="92"/>
      <c r="N786" s="93"/>
      <c r="P786" s="72" t="s">
        <v>3400</v>
      </c>
      <c r="Q786" s="12" t="s">
        <v>3387</v>
      </c>
    </row>
    <row r="787" spans="2:17" x14ac:dyDescent="0.25">
      <c r="B787" s="45" t="s">
        <v>3439</v>
      </c>
      <c r="C787" s="45" t="s">
        <v>3487</v>
      </c>
      <c r="D787" s="89" t="s">
        <v>3350</v>
      </c>
      <c r="E787" s="89">
        <v>110756</v>
      </c>
      <c r="F787" s="89">
        <v>1030</v>
      </c>
      <c r="G787" s="90">
        <v>5</v>
      </c>
      <c r="H787" s="90">
        <v>2</v>
      </c>
      <c r="I787" s="90" t="s">
        <v>210</v>
      </c>
      <c r="J787" s="90">
        <v>100</v>
      </c>
      <c r="K787" s="90">
        <v>0</v>
      </c>
      <c r="L787" s="91"/>
      <c r="M787" s="92"/>
      <c r="N787" s="93"/>
      <c r="P787" s="72" t="s">
        <v>3400</v>
      </c>
      <c r="Q787" s="12" t="s">
        <v>3387</v>
      </c>
    </row>
    <row r="788" spans="2:17" x14ac:dyDescent="0.25">
      <c r="B788" s="45" t="s">
        <v>3440</v>
      </c>
      <c r="C788" s="45" t="s">
        <v>3488</v>
      </c>
      <c r="D788" s="89" t="s">
        <v>3351</v>
      </c>
      <c r="E788" s="89">
        <v>110757</v>
      </c>
      <c r="F788" s="89">
        <v>1030</v>
      </c>
      <c r="G788" s="90">
        <v>6</v>
      </c>
      <c r="H788" s="90">
        <v>2</v>
      </c>
      <c r="I788" s="90" t="s">
        <v>210</v>
      </c>
      <c r="J788" s="90">
        <v>100</v>
      </c>
      <c r="K788" s="90">
        <v>0</v>
      </c>
      <c r="L788" s="91"/>
      <c r="M788" s="92"/>
      <c r="N788" s="93"/>
      <c r="P788" s="72" t="s">
        <v>3400</v>
      </c>
      <c r="Q788" s="12" t="s">
        <v>3387</v>
      </c>
    </row>
    <row r="789" spans="2:17" x14ac:dyDescent="0.25">
      <c r="B789" s="45" t="s">
        <v>3441</v>
      </c>
      <c r="C789" s="45" t="s">
        <v>3489</v>
      </c>
      <c r="D789" s="89" t="s">
        <v>3352</v>
      </c>
      <c r="E789" s="89">
        <v>110762</v>
      </c>
      <c r="F789" s="89">
        <v>1030</v>
      </c>
      <c r="G789" s="90">
        <v>11</v>
      </c>
      <c r="H789" s="90">
        <v>2</v>
      </c>
      <c r="I789" s="90" t="s">
        <v>210</v>
      </c>
      <c r="J789" s="90">
        <v>100</v>
      </c>
      <c r="K789" s="90">
        <v>0</v>
      </c>
      <c r="L789" s="91"/>
      <c r="M789" s="92"/>
      <c r="N789" s="93"/>
      <c r="P789" s="72" t="s">
        <v>3400</v>
      </c>
      <c r="Q789" s="12" t="s">
        <v>3387</v>
      </c>
    </row>
    <row r="790" spans="2:17" x14ac:dyDescent="0.25">
      <c r="B790" s="45" t="s">
        <v>3443</v>
      </c>
      <c r="C790" s="45" t="s">
        <v>3504</v>
      </c>
      <c r="D790" s="89" t="s">
        <v>3353</v>
      </c>
      <c r="E790" s="89">
        <v>112640</v>
      </c>
      <c r="F790" s="89">
        <v>1085</v>
      </c>
      <c r="G790" s="90">
        <v>5</v>
      </c>
      <c r="H790" s="90">
        <v>2</v>
      </c>
      <c r="I790" s="90" t="s">
        <v>210</v>
      </c>
      <c r="J790" s="90">
        <v>100</v>
      </c>
      <c r="K790" s="90">
        <v>0</v>
      </c>
      <c r="L790" s="91"/>
      <c r="M790" s="92"/>
      <c r="N790" s="93"/>
      <c r="P790" s="72" t="s">
        <v>3400</v>
      </c>
      <c r="Q790" s="12" t="s">
        <v>3387</v>
      </c>
    </row>
    <row r="791" spans="2:17" x14ac:dyDescent="0.25">
      <c r="B791" s="45" t="s">
        <v>3444</v>
      </c>
      <c r="C791" s="45" t="s">
        <v>3490</v>
      </c>
      <c r="D791" s="89" t="s">
        <v>3354</v>
      </c>
      <c r="E791" s="89">
        <v>112641</v>
      </c>
      <c r="F791" s="89">
        <v>1085</v>
      </c>
      <c r="G791" s="90">
        <v>6</v>
      </c>
      <c r="H791" s="90">
        <v>2</v>
      </c>
      <c r="I791" s="90" t="s">
        <v>210</v>
      </c>
      <c r="J791" s="90">
        <v>100</v>
      </c>
      <c r="K791" s="90">
        <v>0</v>
      </c>
      <c r="L791" s="91"/>
      <c r="M791" s="92"/>
      <c r="N791" s="93"/>
      <c r="P791" s="72" t="s">
        <v>3400</v>
      </c>
      <c r="Q791" s="12" t="s">
        <v>3387</v>
      </c>
    </row>
    <row r="792" spans="2:17" x14ac:dyDescent="0.25">
      <c r="B792" s="45" t="s">
        <v>3445</v>
      </c>
      <c r="C792" s="45" t="s">
        <v>3491</v>
      </c>
      <c r="D792" s="89" t="s">
        <v>3355</v>
      </c>
      <c r="E792" s="89">
        <v>112642</v>
      </c>
      <c r="F792" s="89">
        <v>1085</v>
      </c>
      <c r="G792" s="90">
        <v>7</v>
      </c>
      <c r="H792" s="90">
        <v>2</v>
      </c>
      <c r="I792" s="90" t="s">
        <v>210</v>
      </c>
      <c r="J792" s="90">
        <v>100</v>
      </c>
      <c r="K792" s="90">
        <v>0</v>
      </c>
      <c r="L792" s="91"/>
      <c r="M792" s="92"/>
      <c r="N792" s="93"/>
      <c r="P792" s="72" t="s">
        <v>3400</v>
      </c>
      <c r="Q792" s="12" t="s">
        <v>3387</v>
      </c>
    </row>
    <row r="793" spans="2:17" x14ac:dyDescent="0.25">
      <c r="B793" s="45" t="s">
        <v>3492</v>
      </c>
      <c r="C793" s="45" t="s">
        <v>3493</v>
      </c>
      <c r="D793" s="89" t="s">
        <v>3356</v>
      </c>
      <c r="E793" s="89">
        <v>112637</v>
      </c>
      <c r="F793" s="89">
        <v>1085</v>
      </c>
      <c r="G793" s="90">
        <v>2</v>
      </c>
      <c r="H793" s="90">
        <v>2</v>
      </c>
      <c r="I793" s="90" t="s">
        <v>147</v>
      </c>
      <c r="J793" s="90">
        <v>100000</v>
      </c>
      <c r="K793" s="90">
        <v>0</v>
      </c>
      <c r="L793" s="91"/>
      <c r="M793" s="92"/>
      <c r="N793" s="93"/>
      <c r="P793" s="72" t="s">
        <v>3400</v>
      </c>
      <c r="Q793" s="12" t="s">
        <v>3387</v>
      </c>
    </row>
    <row r="794" spans="2:17" x14ac:dyDescent="0.25">
      <c r="B794" s="45" t="s">
        <v>3446</v>
      </c>
      <c r="C794" s="45" t="s">
        <v>3505</v>
      </c>
      <c r="D794" s="89" t="s">
        <v>3357</v>
      </c>
      <c r="E794" s="89">
        <v>112638</v>
      </c>
      <c r="F794" s="89">
        <v>1085</v>
      </c>
      <c r="G794" s="90">
        <v>3</v>
      </c>
      <c r="H794" s="90">
        <v>2</v>
      </c>
      <c r="I794" s="90" t="s">
        <v>147</v>
      </c>
      <c r="J794" s="90">
        <v>100000</v>
      </c>
      <c r="K794" s="90">
        <v>0</v>
      </c>
      <c r="L794" s="91"/>
      <c r="M794" s="92"/>
      <c r="N794" s="93"/>
      <c r="P794" s="72" t="s">
        <v>3400</v>
      </c>
      <c r="Q794" s="12" t="s">
        <v>3387</v>
      </c>
    </row>
    <row r="795" spans="2:17" x14ac:dyDescent="0.25">
      <c r="B795" s="45" t="s">
        <v>3447</v>
      </c>
      <c r="C795" s="45" t="s">
        <v>3494</v>
      </c>
      <c r="D795" s="89" t="s">
        <v>3358</v>
      </c>
      <c r="E795" s="89">
        <v>112639</v>
      </c>
      <c r="F795" s="89">
        <v>1085</v>
      </c>
      <c r="G795" s="90">
        <v>4</v>
      </c>
      <c r="H795" s="90">
        <v>2</v>
      </c>
      <c r="I795" s="90" t="s">
        <v>147</v>
      </c>
      <c r="J795" s="90">
        <v>100000</v>
      </c>
      <c r="K795" s="90">
        <v>0</v>
      </c>
      <c r="L795" s="91"/>
      <c r="M795" s="92"/>
      <c r="N795" s="93"/>
      <c r="P795" s="72" t="s">
        <v>3400</v>
      </c>
      <c r="Q795" s="12" t="s">
        <v>3387</v>
      </c>
    </row>
    <row r="796" spans="2:17" x14ac:dyDescent="0.25">
      <c r="B796" s="85" t="s">
        <v>3474</v>
      </c>
      <c r="C796" s="85" t="s">
        <v>3477</v>
      </c>
      <c r="D796" s="89" t="s">
        <v>3359</v>
      </c>
      <c r="E796" s="89">
        <v>110179</v>
      </c>
      <c r="F796" s="89">
        <v>1007</v>
      </c>
      <c r="G796" s="90">
        <v>3</v>
      </c>
      <c r="H796" s="90">
        <v>2</v>
      </c>
      <c r="I796" s="90" t="s">
        <v>147</v>
      </c>
      <c r="J796" s="90">
        <v>100000</v>
      </c>
      <c r="K796" s="90">
        <v>0</v>
      </c>
      <c r="L796" s="91"/>
      <c r="M796" s="92"/>
      <c r="N796" s="93"/>
      <c r="P796" s="72" t="s">
        <v>3400</v>
      </c>
      <c r="Q796" s="12" t="s">
        <v>3387</v>
      </c>
    </row>
    <row r="797" spans="2:17" x14ac:dyDescent="0.25">
      <c r="B797" s="85" t="s">
        <v>3475</v>
      </c>
      <c r="C797" s="85" t="s">
        <v>3478</v>
      </c>
      <c r="D797" s="89" t="s">
        <v>3360</v>
      </c>
      <c r="E797" s="89">
        <v>110180</v>
      </c>
      <c r="F797" s="89">
        <v>1007</v>
      </c>
      <c r="G797" s="90">
        <v>4</v>
      </c>
      <c r="H797" s="90">
        <v>2</v>
      </c>
      <c r="I797" s="90" t="s">
        <v>147</v>
      </c>
      <c r="J797" s="90">
        <v>100000</v>
      </c>
      <c r="K797" s="90">
        <v>0</v>
      </c>
      <c r="L797" s="91"/>
      <c r="M797" s="92"/>
      <c r="N797" s="93"/>
      <c r="P797" s="72" t="s">
        <v>3400</v>
      </c>
      <c r="Q797" s="12" t="s">
        <v>3387</v>
      </c>
    </row>
    <row r="798" spans="2:17" x14ac:dyDescent="0.25">
      <c r="B798" s="85" t="s">
        <v>3476</v>
      </c>
      <c r="C798" s="85" t="s">
        <v>3479</v>
      </c>
      <c r="D798" s="89" t="s">
        <v>3361</v>
      </c>
      <c r="E798" s="89">
        <v>110181</v>
      </c>
      <c r="F798" s="89">
        <v>1007</v>
      </c>
      <c r="G798" s="90">
        <v>5</v>
      </c>
      <c r="H798" s="90">
        <v>2</v>
      </c>
      <c r="I798" s="90" t="s">
        <v>147</v>
      </c>
      <c r="J798" s="90">
        <v>100000</v>
      </c>
      <c r="K798" s="90">
        <v>0</v>
      </c>
      <c r="L798" s="91"/>
      <c r="M798" s="92"/>
      <c r="N798" s="93"/>
      <c r="P798" s="72" t="s">
        <v>3400</v>
      </c>
      <c r="Q798" s="12" t="s">
        <v>3387</v>
      </c>
    </row>
    <row r="799" spans="2:17" x14ac:dyDescent="0.25">
      <c r="B799" s="84" t="s">
        <v>3471</v>
      </c>
      <c r="C799" s="84" t="s">
        <v>3468</v>
      </c>
      <c r="D799" s="89" t="s">
        <v>3362</v>
      </c>
      <c r="E799" s="89">
        <v>110207</v>
      </c>
      <c r="F799" s="89">
        <v>1008</v>
      </c>
      <c r="G799" s="90">
        <v>6</v>
      </c>
      <c r="H799" s="90">
        <v>2</v>
      </c>
      <c r="I799" s="90" t="s">
        <v>147</v>
      </c>
      <c r="J799" s="90">
        <v>100000</v>
      </c>
      <c r="K799" s="90">
        <v>0</v>
      </c>
      <c r="L799" s="91"/>
      <c r="M799" s="92"/>
      <c r="N799" s="93"/>
      <c r="P799" s="72" t="s">
        <v>3400</v>
      </c>
      <c r="Q799" s="12" t="s">
        <v>3387</v>
      </c>
    </row>
    <row r="800" spans="2:17" x14ac:dyDescent="0.25">
      <c r="B800" s="84" t="s">
        <v>3472</v>
      </c>
      <c r="C800" s="84" t="s">
        <v>3469</v>
      </c>
      <c r="D800" s="89" t="s">
        <v>3363</v>
      </c>
      <c r="E800" s="89">
        <v>110208</v>
      </c>
      <c r="F800" s="89">
        <v>1008</v>
      </c>
      <c r="G800" s="90">
        <v>7</v>
      </c>
      <c r="H800" s="90">
        <v>2</v>
      </c>
      <c r="I800" s="90" t="s">
        <v>147</v>
      </c>
      <c r="J800" s="90">
        <v>100000</v>
      </c>
      <c r="K800" s="90">
        <v>0</v>
      </c>
      <c r="L800" s="91"/>
      <c r="M800" s="92"/>
      <c r="N800" s="93"/>
      <c r="P800" s="72" t="s">
        <v>3400</v>
      </c>
      <c r="Q800" s="12" t="s">
        <v>3387</v>
      </c>
    </row>
    <row r="801" spans="2:17" x14ac:dyDescent="0.25">
      <c r="B801" s="84" t="s">
        <v>3473</v>
      </c>
      <c r="C801" s="84" t="s">
        <v>3470</v>
      </c>
      <c r="D801" s="89" t="s">
        <v>3364</v>
      </c>
      <c r="E801" s="89">
        <v>110214</v>
      </c>
      <c r="F801" s="89">
        <v>1008</v>
      </c>
      <c r="G801" s="90">
        <v>13</v>
      </c>
      <c r="H801" s="90">
        <v>2</v>
      </c>
      <c r="I801" s="90" t="s">
        <v>147</v>
      </c>
      <c r="J801" s="90">
        <v>100000</v>
      </c>
      <c r="K801" s="90">
        <v>0</v>
      </c>
      <c r="L801" s="91"/>
      <c r="M801" s="92"/>
      <c r="N801" s="93"/>
      <c r="P801" s="72" t="s">
        <v>3400</v>
      </c>
      <c r="Q801" s="12" t="s">
        <v>3387</v>
      </c>
    </row>
    <row r="802" spans="2:17" x14ac:dyDescent="0.25">
      <c r="B802" s="85" t="s">
        <v>3460</v>
      </c>
      <c r="C802" s="85" t="s">
        <v>3480</v>
      </c>
      <c r="D802" s="89" t="s">
        <v>3365</v>
      </c>
      <c r="E802" s="89">
        <v>110752</v>
      </c>
      <c r="F802" s="89">
        <v>1030</v>
      </c>
      <c r="G802" s="90">
        <v>1</v>
      </c>
      <c r="H802" s="90">
        <v>2</v>
      </c>
      <c r="I802" s="90" t="s">
        <v>154</v>
      </c>
      <c r="J802" s="90">
        <v>100</v>
      </c>
      <c r="K802" s="90">
        <v>0</v>
      </c>
      <c r="L802" s="91"/>
      <c r="M802" s="92"/>
      <c r="N802" s="93"/>
      <c r="P802" s="72" t="s">
        <v>3400</v>
      </c>
      <c r="Q802" s="12" t="s">
        <v>3387</v>
      </c>
    </row>
    <row r="803" spans="2:17" x14ac:dyDescent="0.25">
      <c r="B803" s="85" t="s">
        <v>3461</v>
      </c>
      <c r="C803" s="85" t="s">
        <v>3481</v>
      </c>
      <c r="D803" s="89" t="s">
        <v>3366</v>
      </c>
      <c r="E803" s="89">
        <v>110753</v>
      </c>
      <c r="F803" s="89">
        <v>1030</v>
      </c>
      <c r="G803" s="90">
        <v>2</v>
      </c>
      <c r="H803" s="90">
        <v>2</v>
      </c>
      <c r="I803" s="90" t="s">
        <v>154</v>
      </c>
      <c r="J803" s="90">
        <v>100</v>
      </c>
      <c r="K803" s="90">
        <v>0</v>
      </c>
      <c r="L803" s="91"/>
      <c r="M803" s="92"/>
      <c r="N803" s="93"/>
      <c r="P803" s="72" t="s">
        <v>3400</v>
      </c>
      <c r="Q803" s="12" t="s">
        <v>3387</v>
      </c>
    </row>
    <row r="804" spans="2:17" x14ac:dyDescent="0.25">
      <c r="B804" s="85" t="s">
        <v>3462</v>
      </c>
      <c r="C804" s="85" t="s">
        <v>3482</v>
      </c>
      <c r="D804" s="89" t="s">
        <v>3367</v>
      </c>
      <c r="E804" s="89">
        <v>110754</v>
      </c>
      <c r="F804" s="89">
        <v>1030</v>
      </c>
      <c r="G804" s="90">
        <v>3</v>
      </c>
      <c r="H804" s="90">
        <v>2</v>
      </c>
      <c r="I804" s="90" t="s">
        <v>154</v>
      </c>
      <c r="J804" s="90">
        <v>100</v>
      </c>
      <c r="K804" s="90">
        <v>0</v>
      </c>
      <c r="L804" s="91"/>
      <c r="M804" s="92"/>
      <c r="N804" s="93"/>
      <c r="P804" s="72" t="s">
        <v>3400</v>
      </c>
      <c r="Q804" s="12" t="s">
        <v>3387</v>
      </c>
    </row>
    <row r="805" spans="2:17" x14ac:dyDescent="0.25">
      <c r="B805" s="45" t="s">
        <v>3458</v>
      </c>
      <c r="C805" s="45" t="s">
        <v>3506</v>
      </c>
      <c r="D805" s="89" t="s">
        <v>3368</v>
      </c>
      <c r="E805" s="89">
        <v>110750</v>
      </c>
      <c r="F805" s="89">
        <v>1029</v>
      </c>
      <c r="G805" s="90">
        <v>24</v>
      </c>
      <c r="H805" s="90">
        <v>2</v>
      </c>
      <c r="I805" s="90" t="s">
        <v>147</v>
      </c>
      <c r="J805" s="90">
        <v>100000</v>
      </c>
      <c r="K805" s="90">
        <v>0</v>
      </c>
      <c r="L805" s="91"/>
      <c r="M805" s="92"/>
      <c r="N805" s="93"/>
      <c r="P805" s="72" t="s">
        <v>3400</v>
      </c>
      <c r="Q805" s="12" t="s">
        <v>3387</v>
      </c>
    </row>
    <row r="806" spans="2:17" x14ac:dyDescent="0.25">
      <c r="B806" s="45" t="s">
        <v>3459</v>
      </c>
      <c r="C806" s="45" t="s">
        <v>3495</v>
      </c>
      <c r="D806" s="89" t="s">
        <v>3369</v>
      </c>
      <c r="E806" s="89">
        <v>110751</v>
      </c>
      <c r="F806" s="89">
        <v>1030</v>
      </c>
      <c r="G806" s="90">
        <v>0</v>
      </c>
      <c r="H806" s="90">
        <v>2</v>
      </c>
      <c r="I806" s="90" t="s">
        <v>147</v>
      </c>
      <c r="J806" s="90">
        <v>100000</v>
      </c>
      <c r="K806" s="90">
        <v>0</v>
      </c>
      <c r="L806" s="91"/>
      <c r="M806" s="92"/>
      <c r="N806" s="93"/>
      <c r="P806" s="72" t="s">
        <v>3400</v>
      </c>
      <c r="Q806" s="12" t="s">
        <v>3387</v>
      </c>
    </row>
    <row r="807" spans="2:17" x14ac:dyDescent="0.25">
      <c r="B807" s="45" t="s">
        <v>3456</v>
      </c>
      <c r="C807" s="45" t="s">
        <v>3507</v>
      </c>
      <c r="D807" s="89" t="s">
        <v>3370</v>
      </c>
      <c r="E807" s="89">
        <v>110758</v>
      </c>
      <c r="F807" s="89">
        <v>1030</v>
      </c>
      <c r="G807" s="90">
        <v>7</v>
      </c>
      <c r="H807" s="90">
        <v>2</v>
      </c>
      <c r="I807" s="90" t="s">
        <v>147</v>
      </c>
      <c r="J807" s="90">
        <v>100000</v>
      </c>
      <c r="K807" s="90">
        <v>0</v>
      </c>
      <c r="L807" s="91"/>
      <c r="M807" s="92"/>
      <c r="N807" s="93"/>
      <c r="P807" s="72" t="s">
        <v>3400</v>
      </c>
      <c r="Q807" s="12" t="s">
        <v>3387</v>
      </c>
    </row>
    <row r="808" spans="2:17" x14ac:dyDescent="0.25">
      <c r="B808" s="45" t="s">
        <v>3457</v>
      </c>
      <c r="C808" s="45" t="s">
        <v>3496</v>
      </c>
      <c r="D808" s="89" t="s">
        <v>3371</v>
      </c>
      <c r="E808" s="89">
        <v>110759</v>
      </c>
      <c r="F808" s="89">
        <v>1030</v>
      </c>
      <c r="G808" s="90">
        <v>8</v>
      </c>
      <c r="H808" s="90">
        <v>2</v>
      </c>
      <c r="I808" s="90" t="s">
        <v>147</v>
      </c>
      <c r="J808" s="90">
        <v>100000</v>
      </c>
      <c r="K808" s="90">
        <v>0</v>
      </c>
      <c r="L808" s="91"/>
      <c r="M808" s="92"/>
      <c r="N808" s="93"/>
      <c r="P808" s="72" t="s">
        <v>3400</v>
      </c>
      <c r="Q808" s="12" t="s">
        <v>3387</v>
      </c>
    </row>
    <row r="809" spans="2:17" x14ac:dyDescent="0.25">
      <c r="B809" s="45" t="s">
        <v>3454</v>
      </c>
      <c r="C809" s="45" t="s">
        <v>3511</v>
      </c>
      <c r="D809" s="89" t="s">
        <v>3372</v>
      </c>
      <c r="E809" s="89">
        <v>110773</v>
      </c>
      <c r="F809" s="89">
        <v>1030</v>
      </c>
      <c r="G809" s="90">
        <v>22</v>
      </c>
      <c r="H809" s="90">
        <v>2</v>
      </c>
      <c r="I809" s="90" t="s">
        <v>154</v>
      </c>
      <c r="J809" s="90">
        <v>100</v>
      </c>
      <c r="K809" s="90">
        <v>0</v>
      </c>
      <c r="L809" s="91"/>
      <c r="M809" s="92"/>
      <c r="N809" s="93"/>
      <c r="P809" s="72" t="s">
        <v>3400</v>
      </c>
      <c r="Q809" s="12" t="s">
        <v>3387</v>
      </c>
    </row>
    <row r="810" spans="2:17" x14ac:dyDescent="0.25">
      <c r="B810" s="45" t="s">
        <v>3455</v>
      </c>
      <c r="C810" s="45" t="s">
        <v>3500</v>
      </c>
      <c r="D810" s="89" t="s">
        <v>3373</v>
      </c>
      <c r="E810" s="89">
        <v>110774</v>
      </c>
      <c r="F810" s="89">
        <v>1030</v>
      </c>
      <c r="G810" s="90">
        <v>23</v>
      </c>
      <c r="H810" s="90">
        <v>2</v>
      </c>
      <c r="I810" s="90" t="s">
        <v>154</v>
      </c>
      <c r="J810" s="90">
        <v>100</v>
      </c>
      <c r="K810" s="90">
        <v>0</v>
      </c>
      <c r="L810" s="91"/>
      <c r="M810" s="92"/>
      <c r="N810" s="93"/>
      <c r="P810" s="72" t="s">
        <v>3400</v>
      </c>
      <c r="Q810" s="12" t="s">
        <v>3387</v>
      </c>
    </row>
    <row r="811" spans="2:17" x14ac:dyDescent="0.25">
      <c r="B811" s="45" t="s">
        <v>3452</v>
      </c>
      <c r="C811" s="45" t="s">
        <v>3510</v>
      </c>
      <c r="D811" s="89" t="s">
        <v>3374</v>
      </c>
      <c r="E811" s="89">
        <v>110771</v>
      </c>
      <c r="F811" s="89">
        <v>1030</v>
      </c>
      <c r="G811" s="90">
        <v>20</v>
      </c>
      <c r="H811" s="90">
        <v>2</v>
      </c>
      <c r="I811" s="90" t="s">
        <v>154</v>
      </c>
      <c r="J811" s="90">
        <v>100</v>
      </c>
      <c r="K811" s="90">
        <v>0</v>
      </c>
      <c r="L811" s="91"/>
      <c r="M811" s="92"/>
      <c r="N811" s="93"/>
      <c r="P811" s="72" t="s">
        <v>3400</v>
      </c>
      <c r="Q811" s="12" t="s">
        <v>3387</v>
      </c>
    </row>
    <row r="812" spans="2:17" x14ac:dyDescent="0.25">
      <c r="B812" s="45" t="s">
        <v>3453</v>
      </c>
      <c r="C812" s="45" t="s">
        <v>3499</v>
      </c>
      <c r="D812" s="89" t="s">
        <v>3375</v>
      </c>
      <c r="E812" s="89">
        <v>110772</v>
      </c>
      <c r="F812" s="89">
        <v>1030</v>
      </c>
      <c r="G812" s="90">
        <v>21</v>
      </c>
      <c r="H812" s="90">
        <v>2</v>
      </c>
      <c r="I812" s="90" t="s">
        <v>154</v>
      </c>
      <c r="J812" s="90">
        <v>100</v>
      </c>
      <c r="K812" s="90">
        <v>0</v>
      </c>
      <c r="L812" s="91"/>
      <c r="M812" s="92"/>
      <c r="N812" s="93"/>
      <c r="P812" s="72" t="s">
        <v>3400</v>
      </c>
      <c r="Q812" s="12" t="s">
        <v>3387</v>
      </c>
    </row>
    <row r="813" spans="2:17" x14ac:dyDescent="0.25">
      <c r="B813" s="45" t="s">
        <v>3450</v>
      </c>
      <c r="C813" s="45" t="s">
        <v>3509</v>
      </c>
      <c r="D813" s="89" t="s">
        <v>3376</v>
      </c>
      <c r="E813" s="89">
        <v>110769</v>
      </c>
      <c r="F813" s="89">
        <v>1030</v>
      </c>
      <c r="G813" s="90">
        <v>18</v>
      </c>
      <c r="H813" s="90">
        <v>2</v>
      </c>
      <c r="I813" s="90" t="s">
        <v>154</v>
      </c>
      <c r="J813" s="90">
        <v>100</v>
      </c>
      <c r="K813" s="90">
        <v>0</v>
      </c>
      <c r="L813" s="91"/>
      <c r="M813" s="92"/>
      <c r="N813" s="93"/>
      <c r="P813" s="72" t="s">
        <v>3400</v>
      </c>
      <c r="Q813" s="12" t="s">
        <v>3387</v>
      </c>
    </row>
    <row r="814" spans="2:17" x14ac:dyDescent="0.25">
      <c r="B814" s="45" t="s">
        <v>3451</v>
      </c>
      <c r="C814" s="45" t="s">
        <v>3498</v>
      </c>
      <c r="D814" s="89" t="s">
        <v>3377</v>
      </c>
      <c r="E814" s="89">
        <v>110770</v>
      </c>
      <c r="F814" s="89">
        <v>1030</v>
      </c>
      <c r="G814" s="90">
        <v>19</v>
      </c>
      <c r="H814" s="90">
        <v>2</v>
      </c>
      <c r="I814" s="90" t="s">
        <v>154</v>
      </c>
      <c r="J814" s="90">
        <v>100</v>
      </c>
      <c r="K814" s="90">
        <v>0</v>
      </c>
      <c r="L814" s="91"/>
      <c r="M814" s="92"/>
      <c r="N814" s="93"/>
      <c r="P814" s="72" t="s">
        <v>3400</v>
      </c>
      <c r="Q814" s="12" t="s">
        <v>3387</v>
      </c>
    </row>
    <row r="815" spans="2:17" x14ac:dyDescent="0.25">
      <c r="B815" s="45" t="s">
        <v>3448</v>
      </c>
      <c r="C815" s="45" t="s">
        <v>3508</v>
      </c>
      <c r="D815" s="89" t="s">
        <v>3378</v>
      </c>
      <c r="E815" s="89">
        <v>110767</v>
      </c>
      <c r="F815" s="89">
        <v>1030</v>
      </c>
      <c r="G815" s="90">
        <v>16</v>
      </c>
      <c r="H815" s="90">
        <v>2</v>
      </c>
      <c r="I815" s="90" t="s">
        <v>154</v>
      </c>
      <c r="J815" s="90">
        <v>100</v>
      </c>
      <c r="K815" s="90">
        <v>0</v>
      </c>
      <c r="L815" s="91"/>
      <c r="M815" s="92"/>
      <c r="N815" s="93"/>
      <c r="P815" s="72" t="s">
        <v>3400</v>
      </c>
      <c r="Q815" s="12" t="s">
        <v>3387</v>
      </c>
    </row>
    <row r="816" spans="2:17" x14ac:dyDescent="0.25">
      <c r="B816" s="45" t="s">
        <v>3449</v>
      </c>
      <c r="C816" s="45" t="s">
        <v>3497</v>
      </c>
      <c r="D816" s="89" t="s">
        <v>3379</v>
      </c>
      <c r="E816" s="89">
        <v>110768</v>
      </c>
      <c r="F816" s="89">
        <v>1030</v>
      </c>
      <c r="G816" s="90">
        <v>17</v>
      </c>
      <c r="H816" s="90">
        <v>2</v>
      </c>
      <c r="I816" s="90" t="s">
        <v>154</v>
      </c>
      <c r="J816" s="90">
        <v>100</v>
      </c>
      <c r="K816" s="90">
        <v>0</v>
      </c>
      <c r="L816" s="91"/>
      <c r="M816" s="92"/>
      <c r="N816" s="93"/>
      <c r="P816" s="72" t="s">
        <v>3400</v>
      </c>
      <c r="Q816" s="12" t="s">
        <v>3387</v>
      </c>
    </row>
    <row r="817" spans="2:20" x14ac:dyDescent="0.25">
      <c r="B817" s="45" t="s">
        <v>3467</v>
      </c>
      <c r="C817" s="45" t="s">
        <v>3512</v>
      </c>
      <c r="D817" s="89" t="s">
        <v>3380</v>
      </c>
      <c r="E817" s="89">
        <v>110292</v>
      </c>
      <c r="F817" s="89">
        <v>1011</v>
      </c>
      <c r="G817" s="90">
        <v>16</v>
      </c>
      <c r="H817" s="90">
        <v>2</v>
      </c>
      <c r="I817" s="90" t="s">
        <v>3312</v>
      </c>
      <c r="J817" s="90">
        <v>1</v>
      </c>
      <c r="K817" s="90">
        <v>0</v>
      </c>
      <c r="L817" s="91"/>
      <c r="M817" s="92"/>
      <c r="N817" s="93"/>
      <c r="P817" s="72" t="s">
        <v>3400</v>
      </c>
      <c r="Q817" s="12" t="s">
        <v>3387</v>
      </c>
    </row>
    <row r="818" spans="2:20" x14ac:dyDescent="0.25">
      <c r="B818" s="45" t="s">
        <v>3464</v>
      </c>
      <c r="C818" s="45" t="s">
        <v>3513</v>
      </c>
      <c r="D818" s="89" t="s">
        <v>3381</v>
      </c>
      <c r="E818" s="89">
        <v>112646</v>
      </c>
      <c r="F818" s="89">
        <v>1104</v>
      </c>
      <c r="G818" s="90">
        <v>15</v>
      </c>
      <c r="H818" s="90">
        <v>2</v>
      </c>
      <c r="I818" s="90" t="s">
        <v>375</v>
      </c>
      <c r="J818" s="90">
        <v>1000</v>
      </c>
      <c r="K818" s="90">
        <v>0</v>
      </c>
      <c r="L818" s="91"/>
      <c r="M818" s="92"/>
      <c r="N818" s="93"/>
      <c r="P818" s="72" t="s">
        <v>3400</v>
      </c>
      <c r="Q818" s="12" t="s">
        <v>3387</v>
      </c>
    </row>
    <row r="819" spans="2:20" x14ac:dyDescent="0.25">
      <c r="B819" s="45" t="s">
        <v>3465</v>
      </c>
      <c r="C819" s="45" t="s">
        <v>3514</v>
      </c>
      <c r="D819" s="89" t="s">
        <v>3382</v>
      </c>
      <c r="E819" s="89">
        <v>112647</v>
      </c>
      <c r="F819" s="89">
        <v>1104</v>
      </c>
      <c r="G819" s="90">
        <v>16</v>
      </c>
      <c r="H819" s="90">
        <v>2</v>
      </c>
      <c r="I819" s="90" t="s">
        <v>375</v>
      </c>
      <c r="J819" s="90">
        <v>1000</v>
      </c>
      <c r="K819" s="90">
        <v>0</v>
      </c>
      <c r="L819" s="91"/>
      <c r="M819" s="92"/>
      <c r="N819" s="93"/>
      <c r="P819" s="72" t="s">
        <v>3400</v>
      </c>
      <c r="Q819" s="12" t="s">
        <v>3387</v>
      </c>
    </row>
    <row r="820" spans="2:20" x14ac:dyDescent="0.25">
      <c r="B820" s="45" t="s">
        <v>3466</v>
      </c>
      <c r="C820" s="45" t="s">
        <v>3515</v>
      </c>
      <c r="D820" s="89" t="s">
        <v>3383</v>
      </c>
      <c r="E820" s="89">
        <v>112648</v>
      </c>
      <c r="F820" s="89">
        <v>1104</v>
      </c>
      <c r="G820" s="90">
        <v>17</v>
      </c>
      <c r="H820" s="90">
        <v>2</v>
      </c>
      <c r="I820" s="90" t="s">
        <v>375</v>
      </c>
      <c r="J820" s="90">
        <v>1000</v>
      </c>
      <c r="K820" s="90">
        <v>0</v>
      </c>
      <c r="L820" s="91"/>
      <c r="M820" s="92"/>
      <c r="N820" s="93"/>
      <c r="P820" s="72" t="s">
        <v>3400</v>
      </c>
      <c r="Q820" s="12" t="s">
        <v>3387</v>
      </c>
    </row>
    <row r="821" spans="2:20" x14ac:dyDescent="0.25">
      <c r="B821" s="45" t="s">
        <v>3463</v>
      </c>
      <c r="C821" s="45" t="s">
        <v>3516</v>
      </c>
      <c r="D821" s="89" t="s">
        <v>3384</v>
      </c>
      <c r="E821" s="89">
        <v>112645</v>
      </c>
      <c r="F821" s="89">
        <v>1085</v>
      </c>
      <c r="G821" s="90">
        <v>10</v>
      </c>
      <c r="H821" s="90">
        <v>2</v>
      </c>
      <c r="I821" s="90" t="s">
        <v>3312</v>
      </c>
      <c r="J821" s="90">
        <v>1</v>
      </c>
      <c r="K821" s="90">
        <v>0</v>
      </c>
      <c r="L821" s="91"/>
      <c r="M821" s="92"/>
      <c r="N821" s="93"/>
      <c r="P821" s="72" t="s">
        <v>3400</v>
      </c>
      <c r="Q821" s="12" t="s">
        <v>3387</v>
      </c>
    </row>
    <row r="822" spans="2:20" x14ac:dyDescent="0.25">
      <c r="B822" s="89" t="s">
        <v>3552</v>
      </c>
      <c r="C822" s="89" t="s">
        <v>3551</v>
      </c>
      <c r="D822" s="89" t="s">
        <v>3553</v>
      </c>
      <c r="E822" s="89">
        <v>110293</v>
      </c>
      <c r="F822" s="89">
        <v>1011</v>
      </c>
      <c r="G822" s="90">
        <v>17</v>
      </c>
      <c r="H822" s="90">
        <v>2</v>
      </c>
      <c r="I822" s="90" t="s">
        <v>26</v>
      </c>
      <c r="J822" s="90">
        <v>1</v>
      </c>
      <c r="K822" s="90">
        <v>0</v>
      </c>
      <c r="L822" s="91"/>
      <c r="M822" s="92"/>
      <c r="N822" s="93"/>
      <c r="O822" s="94"/>
      <c r="P822" s="90" t="s">
        <v>3525</v>
      </c>
      <c r="Q822" s="95" t="s">
        <v>3526</v>
      </c>
      <c r="S822" s="21"/>
      <c r="T822" s="21"/>
    </row>
    <row r="823" spans="2:20" x14ac:dyDescent="0.25">
      <c r="B823" s="98" t="s">
        <v>3560</v>
      </c>
      <c r="C823" s="98" t="s">
        <v>3561</v>
      </c>
      <c r="D823" s="98" t="s">
        <v>3560</v>
      </c>
      <c r="E823" s="98">
        <v>110294</v>
      </c>
      <c r="F823" s="98">
        <v>1011</v>
      </c>
      <c r="G823" s="99">
        <v>18</v>
      </c>
      <c r="H823" s="99">
        <v>2</v>
      </c>
      <c r="I823" s="99" t="s">
        <v>26</v>
      </c>
      <c r="J823" s="99">
        <v>1</v>
      </c>
      <c r="K823" s="99" t="s">
        <v>2509</v>
      </c>
      <c r="L823" s="100">
        <v>85</v>
      </c>
      <c r="M823" s="101"/>
      <c r="N823" s="102"/>
      <c r="O823" s="94"/>
      <c r="P823" s="90" t="s">
        <v>3525</v>
      </c>
      <c r="Q823" s="95" t="s">
        <v>3526</v>
      </c>
      <c r="S823" s="21"/>
      <c r="T823" s="21"/>
    </row>
    <row r="824" spans="2:20" x14ac:dyDescent="0.25">
      <c r="B824" s="98" t="s">
        <v>3562</v>
      </c>
      <c r="C824" s="98" t="s">
        <v>3563</v>
      </c>
      <c r="D824" s="98" t="s">
        <v>3562</v>
      </c>
      <c r="E824" s="98">
        <v>110295</v>
      </c>
      <c r="F824" s="98">
        <v>1011</v>
      </c>
      <c r="G824" s="99">
        <v>19</v>
      </c>
      <c r="H824" s="99">
        <v>2</v>
      </c>
      <c r="I824" s="99" t="s">
        <v>26</v>
      </c>
      <c r="J824" s="99">
        <v>1</v>
      </c>
      <c r="K824" s="99" t="s">
        <v>2509</v>
      </c>
      <c r="L824" s="100">
        <v>86</v>
      </c>
      <c r="M824" s="101"/>
      <c r="N824" s="102"/>
      <c r="O824" s="94"/>
      <c r="P824" s="90" t="s">
        <v>3525</v>
      </c>
      <c r="Q824" s="95" t="s">
        <v>3526</v>
      </c>
      <c r="S824" s="21"/>
      <c r="T824" s="21"/>
    </row>
  </sheetData>
  <autoFilter ref="A3:AM822" xr:uid="{00000000-0009-0000-0000-000001000000}"/>
  <phoneticPr fontId="49" type="noConversion"/>
  <conditionalFormatting sqref="P1:P286">
    <cfRule type="cellIs" dxfId="5" priority="5" operator="equal">
      <formula>"-"</formula>
    </cfRule>
  </conditionalFormatting>
  <conditionalFormatting sqref="P292:P590">
    <cfRule type="cellIs" dxfId="4" priority="1" operator="equal">
      <formula>"-"</formula>
    </cfRule>
  </conditionalFormatting>
  <conditionalFormatting sqref="P593:P771">
    <cfRule type="cellIs" dxfId="3" priority="13" operator="equal">
      <formula>"-"</formula>
    </cfRule>
  </conditionalFormatting>
  <conditionalFormatting sqref="P822:P1048576">
    <cfRule type="cellIs" dxfId="2" priority="2" operator="equal">
      <formula>"-"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 filterMode="1">
    <tabColor theme="4"/>
  </sheetPr>
  <dimension ref="B1:T74"/>
  <sheetViews>
    <sheetView workbookViewId="0">
      <pane ySplit="2" topLeftCell="A3" activePane="bottomLeft" state="frozen"/>
      <selection pane="bottomLeft" activeCell="C80" sqref="C80"/>
    </sheetView>
  </sheetViews>
  <sheetFormatPr baseColWidth="10" defaultRowHeight="15" x14ac:dyDescent="0.25"/>
  <cols>
    <col min="2" max="2" width="28" bestFit="1" customWidth="1"/>
    <col min="3" max="3" width="21" bestFit="1" customWidth="1"/>
    <col min="4" max="4" width="21" customWidth="1"/>
    <col min="5" max="5" width="27.42578125" bestFit="1" customWidth="1"/>
    <col min="6" max="6" width="10.7109375" style="49" bestFit="1" customWidth="1"/>
    <col min="7" max="7" width="32.42578125" bestFit="1" customWidth="1"/>
    <col min="8" max="8" width="20.42578125" bestFit="1" customWidth="1"/>
    <col min="9" max="9" width="11" bestFit="1" customWidth="1"/>
    <col min="10" max="10" width="11.42578125" style="49"/>
    <col min="11" max="11" width="41.85546875" bestFit="1" customWidth="1"/>
    <col min="12" max="12" width="20.42578125" bestFit="1" customWidth="1"/>
    <col min="13" max="13" width="7" bestFit="1" customWidth="1"/>
    <col min="14" max="14" width="20.42578125" bestFit="1" customWidth="1"/>
    <col min="15" max="15" width="17.85546875" bestFit="1" customWidth="1"/>
    <col min="16" max="20" width="7" customWidth="1"/>
  </cols>
  <sheetData>
    <row r="1" spans="2:20" x14ac:dyDescent="0.25">
      <c r="B1" s="66" t="s">
        <v>3174</v>
      </c>
      <c r="C1" s="66"/>
      <c r="D1" s="66" t="s">
        <v>3286</v>
      </c>
      <c r="E1" s="66" t="s">
        <v>3180</v>
      </c>
      <c r="F1" s="67" t="s">
        <v>3176</v>
      </c>
      <c r="G1" s="66"/>
      <c r="H1" s="66"/>
      <c r="I1" s="66"/>
      <c r="J1" s="67" t="s">
        <v>3179</v>
      </c>
      <c r="K1" s="66"/>
      <c r="L1" s="66"/>
      <c r="M1" s="66"/>
      <c r="N1" s="66" t="s">
        <v>3266</v>
      </c>
      <c r="O1" s="66"/>
      <c r="P1" s="66"/>
      <c r="Q1" s="66"/>
      <c r="R1" s="66"/>
      <c r="S1" s="66"/>
      <c r="T1" s="66"/>
    </row>
    <row r="2" spans="2:20" hidden="1" x14ac:dyDescent="0.25">
      <c r="B2" s="66" t="s">
        <v>5</v>
      </c>
      <c r="C2" s="66" t="s">
        <v>3175</v>
      </c>
      <c r="D2" s="66"/>
      <c r="E2" s="66" t="s">
        <v>3181</v>
      </c>
      <c r="F2" s="67" t="s">
        <v>3177</v>
      </c>
      <c r="G2" s="66" t="s">
        <v>5</v>
      </c>
      <c r="H2" s="66" t="s">
        <v>3175</v>
      </c>
      <c r="I2" s="66" t="s">
        <v>3178</v>
      </c>
      <c r="J2" s="67" t="s">
        <v>3177</v>
      </c>
      <c r="K2" s="66" t="s">
        <v>5</v>
      </c>
      <c r="L2" s="66" t="s">
        <v>3175</v>
      </c>
      <c r="M2" s="66" t="s">
        <v>3178</v>
      </c>
      <c r="N2" s="66" t="s">
        <v>3267</v>
      </c>
      <c r="O2" s="66"/>
      <c r="P2" s="66" t="s">
        <v>3268</v>
      </c>
      <c r="Q2" s="66"/>
      <c r="R2" s="66"/>
      <c r="S2" s="66"/>
      <c r="T2" s="66"/>
    </row>
    <row r="3" spans="2:20" x14ac:dyDescent="0.25">
      <c r="B3" t="e">
        <f>VLOOKUP(C3,#REF!,2,FALSE)</f>
        <v>#REF!</v>
      </c>
      <c r="C3" t="str">
        <f t="shared" ref="C3:C15" si="0">LEFT(H3,20)&amp;"2"</f>
        <v>0012.024400.010.000.2</v>
      </c>
      <c r="D3" t="s">
        <v>3242</v>
      </c>
      <c r="E3" t="s">
        <v>3200</v>
      </c>
      <c r="F3" s="49" t="s">
        <v>3196</v>
      </c>
      <c r="G3" t="s">
        <v>2214</v>
      </c>
      <c r="H3" t="s">
        <v>1000</v>
      </c>
      <c r="I3">
        <v>110664</v>
      </c>
      <c r="J3" s="49" t="s">
        <v>2678</v>
      </c>
      <c r="K3" s="44" t="s">
        <v>2813</v>
      </c>
      <c r="L3" s="44" t="s">
        <v>2952</v>
      </c>
      <c r="M3" s="44">
        <v>180001</v>
      </c>
      <c r="N3" s="44" t="s">
        <v>3218</v>
      </c>
      <c r="O3" s="44" t="s">
        <v>3219</v>
      </c>
      <c r="P3" s="44">
        <v>1</v>
      </c>
      <c r="Q3" s="44"/>
      <c r="R3" s="44"/>
      <c r="S3" s="44"/>
      <c r="T3" s="44"/>
    </row>
    <row r="4" spans="2:20" x14ac:dyDescent="0.25">
      <c r="B4" t="e">
        <f>VLOOKUP(C4,#REF!,2,FALSE)</f>
        <v>#REF!</v>
      </c>
      <c r="C4" t="str">
        <f t="shared" si="0"/>
        <v>0012.024100.010.000.2</v>
      </c>
      <c r="D4" t="s">
        <v>3243</v>
      </c>
      <c r="E4" t="s">
        <v>3200</v>
      </c>
      <c r="F4" s="49" t="s">
        <v>3196</v>
      </c>
      <c r="G4" t="s">
        <v>2216</v>
      </c>
      <c r="H4" t="s">
        <v>987</v>
      </c>
      <c r="I4">
        <v>110665</v>
      </c>
      <c r="J4" s="49" t="s">
        <v>2678</v>
      </c>
      <c r="K4" s="44" t="s">
        <v>2814</v>
      </c>
      <c r="L4" s="44" t="s">
        <v>3033</v>
      </c>
      <c r="M4" s="44">
        <v>180002</v>
      </c>
      <c r="N4" s="44" t="s">
        <v>3218</v>
      </c>
      <c r="O4" s="44" t="s">
        <v>3219</v>
      </c>
      <c r="P4" s="44">
        <v>12</v>
      </c>
      <c r="Q4" s="44"/>
      <c r="R4" s="44"/>
      <c r="S4" s="44"/>
      <c r="T4" s="44"/>
    </row>
    <row r="5" spans="2:20" x14ac:dyDescent="0.25">
      <c r="B5" t="e">
        <f>VLOOKUP(C5,#REF!,2,FALSE)</f>
        <v>#REF!</v>
      </c>
      <c r="C5" t="str">
        <f t="shared" si="0"/>
        <v>0012.024100.154.000.2</v>
      </c>
      <c r="D5" t="s">
        <v>3244</v>
      </c>
      <c r="E5" t="s">
        <v>3200</v>
      </c>
      <c r="F5" s="49" t="s">
        <v>3196</v>
      </c>
      <c r="G5" t="s">
        <v>2206</v>
      </c>
      <c r="H5" t="s">
        <v>999</v>
      </c>
      <c r="I5">
        <v>110662</v>
      </c>
      <c r="J5" s="49" t="s">
        <v>2678</v>
      </c>
      <c r="K5" s="44" t="s">
        <v>2815</v>
      </c>
      <c r="L5" s="44" t="s">
        <v>3034</v>
      </c>
      <c r="M5" s="44">
        <v>180003</v>
      </c>
      <c r="N5" s="44" t="s">
        <v>3218</v>
      </c>
      <c r="O5" s="44" t="s">
        <v>3219</v>
      </c>
      <c r="P5" s="44">
        <v>12</v>
      </c>
      <c r="Q5" s="44"/>
      <c r="R5" s="44"/>
      <c r="S5" s="44"/>
      <c r="T5" s="44"/>
    </row>
    <row r="6" spans="2:20" x14ac:dyDescent="0.25">
      <c r="B6" t="e">
        <f>VLOOKUP(C6,#REF!,2,FALSE)</f>
        <v>#REF!</v>
      </c>
      <c r="C6" t="str">
        <f t="shared" si="0"/>
        <v>0012.006200.010.000.2</v>
      </c>
      <c r="D6" t="s">
        <v>3245</v>
      </c>
      <c r="E6" t="s">
        <v>3200</v>
      </c>
      <c r="F6" s="49" t="s">
        <v>3196</v>
      </c>
      <c r="G6" t="s">
        <v>1110</v>
      </c>
      <c r="H6" t="s">
        <v>981</v>
      </c>
      <c r="I6">
        <v>110654</v>
      </c>
      <c r="J6" s="49" t="s">
        <v>2678</v>
      </c>
      <c r="K6" s="44" t="s">
        <v>2816</v>
      </c>
      <c r="L6" s="44" t="s">
        <v>2953</v>
      </c>
      <c r="M6" s="44">
        <v>180004</v>
      </c>
      <c r="N6" s="44" t="s">
        <v>3220</v>
      </c>
      <c r="O6" s="44" t="s">
        <v>3221</v>
      </c>
      <c r="P6" s="44">
        <v>2</v>
      </c>
      <c r="Q6" s="44"/>
      <c r="R6" s="44"/>
      <c r="S6" s="44"/>
      <c r="T6" s="44"/>
    </row>
    <row r="7" spans="2:20" x14ac:dyDescent="0.25">
      <c r="B7" t="e">
        <f>VLOOKUP(C7,#REF!,2,FALSE)</f>
        <v>#REF!</v>
      </c>
      <c r="C7" t="str">
        <f t="shared" si="0"/>
        <v>0012.006201.010.000.2</v>
      </c>
      <c r="D7" t="s">
        <v>3246</v>
      </c>
      <c r="E7" t="s">
        <v>3200</v>
      </c>
      <c r="F7" s="49" t="s">
        <v>3196</v>
      </c>
      <c r="G7" t="s">
        <v>1112</v>
      </c>
      <c r="H7" t="s">
        <v>984</v>
      </c>
      <c r="I7">
        <v>110656</v>
      </c>
      <c r="J7" s="49" t="s">
        <v>2678</v>
      </c>
      <c r="K7" s="44" t="s">
        <v>2817</v>
      </c>
      <c r="L7" s="44" t="s">
        <v>2954</v>
      </c>
      <c r="M7" s="44">
        <v>180005</v>
      </c>
      <c r="N7" s="44" t="s">
        <v>3220</v>
      </c>
      <c r="O7" s="44" t="s">
        <v>3221</v>
      </c>
      <c r="P7" s="44">
        <v>3</v>
      </c>
      <c r="Q7" s="44"/>
      <c r="R7" s="44"/>
      <c r="S7" s="44"/>
      <c r="T7" s="44"/>
    </row>
    <row r="8" spans="2:20" x14ac:dyDescent="0.25">
      <c r="B8" t="e">
        <f>VLOOKUP(C8,#REF!,2,FALSE)</f>
        <v>#REF!</v>
      </c>
      <c r="C8" t="str">
        <f t="shared" si="0"/>
        <v>0012.006200.154.000.2</v>
      </c>
      <c r="D8" t="s">
        <v>3247</v>
      </c>
      <c r="E8" t="s">
        <v>3200</v>
      </c>
      <c r="F8" s="49" t="s">
        <v>3196</v>
      </c>
      <c r="G8" t="s">
        <v>1113</v>
      </c>
      <c r="H8" t="s">
        <v>982</v>
      </c>
      <c r="I8">
        <v>110657</v>
      </c>
      <c r="J8" s="49" t="s">
        <v>2678</v>
      </c>
      <c r="K8" s="44" t="s">
        <v>2818</v>
      </c>
      <c r="L8" s="44" t="s">
        <v>2955</v>
      </c>
      <c r="M8" s="44">
        <v>180006</v>
      </c>
      <c r="N8" s="44" t="s">
        <v>3220</v>
      </c>
      <c r="O8" s="44" t="s">
        <v>3221</v>
      </c>
      <c r="P8" s="69" t="s">
        <v>3294</v>
      </c>
      <c r="Q8" s="44"/>
      <c r="R8" s="44"/>
      <c r="S8" s="44"/>
      <c r="T8" s="44"/>
    </row>
    <row r="9" spans="2:20" x14ac:dyDescent="0.25">
      <c r="B9" t="e">
        <f>VLOOKUP(C9,#REF!,2,FALSE)</f>
        <v>#REF!</v>
      </c>
      <c r="C9" t="str">
        <f t="shared" si="0"/>
        <v>0012.006200.164.000.2</v>
      </c>
      <c r="D9" t="s">
        <v>3248</v>
      </c>
      <c r="E9" t="s">
        <v>3200</v>
      </c>
      <c r="F9" s="49" t="s">
        <v>3196</v>
      </c>
      <c r="G9" t="s">
        <v>1114</v>
      </c>
      <c r="H9" t="s">
        <v>983</v>
      </c>
      <c r="I9">
        <v>110658</v>
      </c>
      <c r="J9" s="49" t="s">
        <v>2678</v>
      </c>
      <c r="K9" s="44" t="s">
        <v>2819</v>
      </c>
      <c r="L9" s="44" t="s">
        <v>2956</v>
      </c>
      <c r="M9" s="44">
        <v>180007</v>
      </c>
      <c r="N9" s="44" t="s">
        <v>3220</v>
      </c>
      <c r="O9" s="44" t="s">
        <v>3221</v>
      </c>
      <c r="P9" s="69" t="s">
        <v>3294</v>
      </c>
      <c r="Q9" s="44"/>
      <c r="R9" s="44"/>
      <c r="S9" s="44"/>
      <c r="T9" s="44"/>
    </row>
    <row r="10" spans="2:20" x14ac:dyDescent="0.25">
      <c r="B10" t="e">
        <f>VLOOKUP(C10,#REF!,2,FALSE)</f>
        <v>#REF!</v>
      </c>
      <c r="C10" t="str">
        <f t="shared" si="0"/>
        <v>0012.006502.010.000.2</v>
      </c>
      <c r="D10" t="s">
        <v>3249</v>
      </c>
      <c r="E10" t="s">
        <v>3200</v>
      </c>
      <c r="F10" s="49" t="s">
        <v>3196</v>
      </c>
      <c r="G10" t="s">
        <v>2452</v>
      </c>
      <c r="H10" t="s">
        <v>2479</v>
      </c>
      <c r="I10">
        <v>110695</v>
      </c>
      <c r="J10" s="49" t="s">
        <v>2678</v>
      </c>
      <c r="K10" s="44" t="s">
        <v>2820</v>
      </c>
      <c r="L10" s="44" t="s">
        <v>2957</v>
      </c>
      <c r="M10" s="44">
        <v>180008</v>
      </c>
      <c r="N10" s="44" t="s">
        <v>3220</v>
      </c>
      <c r="O10" s="44" t="s">
        <v>3221</v>
      </c>
      <c r="P10" s="44">
        <v>7</v>
      </c>
      <c r="Q10" s="44"/>
      <c r="R10" s="44"/>
      <c r="S10" s="44"/>
      <c r="T10" s="44"/>
    </row>
    <row r="11" spans="2:20" x14ac:dyDescent="0.25">
      <c r="B11" t="e">
        <f>VLOOKUP(C11,#REF!,2,FALSE)</f>
        <v>#REF!</v>
      </c>
      <c r="C11" t="str">
        <f t="shared" si="0"/>
        <v>0012.006502.154.000.2</v>
      </c>
      <c r="D11" t="s">
        <v>3250</v>
      </c>
      <c r="E11" t="s">
        <v>3200</v>
      </c>
      <c r="F11" s="49" t="s">
        <v>3196</v>
      </c>
      <c r="G11" t="s">
        <v>2453</v>
      </c>
      <c r="H11" t="s">
        <v>2477</v>
      </c>
      <c r="I11">
        <v>110696</v>
      </c>
      <c r="J11" s="49" t="s">
        <v>2678</v>
      </c>
      <c r="K11" s="44" t="s">
        <v>2821</v>
      </c>
      <c r="L11" s="44" t="s">
        <v>2958</v>
      </c>
      <c r="M11" s="44">
        <v>180009</v>
      </c>
      <c r="N11" s="44" t="s">
        <v>3220</v>
      </c>
      <c r="O11" s="44" t="s">
        <v>3221</v>
      </c>
      <c r="P11" s="44">
        <v>7</v>
      </c>
      <c r="Q11" s="44"/>
      <c r="R11" s="44"/>
      <c r="S11" s="44"/>
      <c r="T11" s="44"/>
    </row>
    <row r="12" spans="2:20" x14ac:dyDescent="0.25">
      <c r="B12" t="e">
        <f>VLOOKUP(C12,#REF!,2,FALSE)</f>
        <v>#REF!</v>
      </c>
      <c r="C12" t="str">
        <f t="shared" si="0"/>
        <v>0012.006502.164.000.2</v>
      </c>
      <c r="D12" t="s">
        <v>3251</v>
      </c>
      <c r="E12" t="s">
        <v>3200</v>
      </c>
      <c r="F12" s="49" t="s">
        <v>3196</v>
      </c>
      <c r="G12" t="s">
        <v>2454</v>
      </c>
      <c r="H12" t="s">
        <v>2475</v>
      </c>
      <c r="I12">
        <v>110697</v>
      </c>
      <c r="J12" s="49" t="s">
        <v>2678</v>
      </c>
      <c r="K12" s="44" t="s">
        <v>2822</v>
      </c>
      <c r="L12" s="44" t="s">
        <v>2959</v>
      </c>
      <c r="M12" s="44">
        <v>180010</v>
      </c>
      <c r="N12" s="44" t="s">
        <v>3220</v>
      </c>
      <c r="O12" s="44" t="s">
        <v>3221</v>
      </c>
      <c r="P12" s="44">
        <v>7</v>
      </c>
      <c r="Q12" s="44"/>
      <c r="R12" s="44"/>
      <c r="S12" s="44"/>
      <c r="T12" s="44"/>
    </row>
    <row r="13" spans="2:20" x14ac:dyDescent="0.25">
      <c r="B13" t="e">
        <f>VLOOKUP(C13,#REF!,2,FALSE)</f>
        <v>#REF!</v>
      </c>
      <c r="C13" t="str">
        <f t="shared" si="0"/>
        <v>0012.006500.010.000.2</v>
      </c>
      <c r="D13" t="s">
        <v>3252</v>
      </c>
      <c r="E13" t="s">
        <v>3200</v>
      </c>
      <c r="F13" s="49" t="s">
        <v>3196</v>
      </c>
      <c r="G13" t="s">
        <v>1117</v>
      </c>
      <c r="H13" t="s">
        <v>998</v>
      </c>
      <c r="I13">
        <v>110661</v>
      </c>
      <c r="J13" s="49" t="s">
        <v>2678</v>
      </c>
      <c r="K13" s="44" t="s">
        <v>2823</v>
      </c>
      <c r="L13" s="44" t="s">
        <v>2960</v>
      </c>
      <c r="M13" s="44">
        <v>180011</v>
      </c>
      <c r="N13" s="44" t="s">
        <v>3220</v>
      </c>
      <c r="O13" s="44" t="s">
        <v>3221</v>
      </c>
      <c r="P13" s="44">
        <v>7</v>
      </c>
      <c r="Q13" s="44"/>
      <c r="R13" s="44"/>
      <c r="S13" s="44"/>
      <c r="T13" s="44"/>
    </row>
    <row r="14" spans="2:20" x14ac:dyDescent="0.25">
      <c r="B14" t="e">
        <f>VLOOKUP(C14,#REF!,2,FALSE)</f>
        <v>#REF!</v>
      </c>
      <c r="C14" t="str">
        <f t="shared" si="0"/>
        <v>0012.006500.154.000.2</v>
      </c>
      <c r="D14" t="s">
        <v>3253</v>
      </c>
      <c r="E14" t="s">
        <v>3200</v>
      </c>
      <c r="F14" s="49" t="s">
        <v>3196</v>
      </c>
      <c r="G14" t="s">
        <v>1115</v>
      </c>
      <c r="H14" t="s">
        <v>997</v>
      </c>
      <c r="I14">
        <v>110659</v>
      </c>
      <c r="J14" s="49" t="s">
        <v>2678</v>
      </c>
      <c r="K14" s="44" t="s">
        <v>2824</v>
      </c>
      <c r="L14" s="44" t="s">
        <v>2961</v>
      </c>
      <c r="M14" s="44">
        <v>180012</v>
      </c>
      <c r="N14" s="44" t="s">
        <v>3220</v>
      </c>
      <c r="O14" s="44" t="s">
        <v>3221</v>
      </c>
      <c r="P14" s="44">
        <v>7</v>
      </c>
      <c r="Q14" s="44"/>
      <c r="R14" s="44"/>
      <c r="S14" s="44"/>
      <c r="T14" s="44"/>
    </row>
    <row r="15" spans="2:20" x14ac:dyDescent="0.25">
      <c r="B15" t="e">
        <f>VLOOKUP(C15,#REF!,2,FALSE)</f>
        <v>#REF!</v>
      </c>
      <c r="C15" t="str">
        <f t="shared" si="0"/>
        <v>0012.006500.164.000.2</v>
      </c>
      <c r="D15" t="s">
        <v>3254</v>
      </c>
      <c r="E15" t="s">
        <v>3200</v>
      </c>
      <c r="F15" s="49" t="s">
        <v>3196</v>
      </c>
      <c r="G15" t="s">
        <v>1116</v>
      </c>
      <c r="H15" t="s">
        <v>985</v>
      </c>
      <c r="I15">
        <v>110660</v>
      </c>
      <c r="J15" s="49" t="s">
        <v>2678</v>
      </c>
      <c r="K15" s="44" t="s">
        <v>2825</v>
      </c>
      <c r="L15" s="44" t="s">
        <v>2962</v>
      </c>
      <c r="M15" s="44">
        <v>180013</v>
      </c>
      <c r="N15" s="44" t="s">
        <v>3220</v>
      </c>
      <c r="O15" s="44" t="s">
        <v>3221</v>
      </c>
      <c r="P15" s="44">
        <v>7</v>
      </c>
      <c r="Q15" s="44"/>
      <c r="R15" s="44"/>
      <c r="S15" s="44"/>
      <c r="T15" s="44"/>
    </row>
    <row r="16" spans="2:20" x14ac:dyDescent="0.25">
      <c r="B16" t="s">
        <v>3273</v>
      </c>
      <c r="C16" t="s">
        <v>3272</v>
      </c>
      <c r="D16" t="s">
        <v>3287</v>
      </c>
      <c r="E16" t="s">
        <v>3200</v>
      </c>
      <c r="F16" s="49" t="s">
        <v>2242</v>
      </c>
      <c r="G16" t="s">
        <v>2242</v>
      </c>
      <c r="H16" t="s">
        <v>2242</v>
      </c>
      <c r="I16" t="s">
        <v>2242</v>
      </c>
      <c r="J16" s="49" t="s">
        <v>2678</v>
      </c>
      <c r="K16" s="44" t="s">
        <v>2826</v>
      </c>
      <c r="L16" s="44" t="s">
        <v>2963</v>
      </c>
      <c r="M16" s="44">
        <v>180014</v>
      </c>
      <c r="N16" s="44" t="s">
        <v>3222</v>
      </c>
      <c r="O16" s="44" t="s">
        <v>3223</v>
      </c>
      <c r="P16" s="44">
        <v>13</v>
      </c>
      <c r="Q16" s="44"/>
      <c r="R16" s="44"/>
      <c r="S16" s="44"/>
      <c r="T16" s="44"/>
    </row>
    <row r="17" spans="2:20" x14ac:dyDescent="0.25">
      <c r="B17" t="e">
        <f>VLOOKUP(C17,#REF!,2,FALSE)</f>
        <v>#REF!</v>
      </c>
      <c r="C17" t="str">
        <f t="shared" ref="C17:C23" si="1">LEFT(H17,20)&amp;"2"</f>
        <v>0012.024200.010.000.2</v>
      </c>
      <c r="D17" t="s">
        <v>3255</v>
      </c>
      <c r="E17" t="s">
        <v>3200</v>
      </c>
      <c r="F17" s="49" t="s">
        <v>3196</v>
      </c>
      <c r="G17" t="s">
        <v>2212</v>
      </c>
      <c r="H17" t="s">
        <v>986</v>
      </c>
      <c r="I17">
        <v>110666</v>
      </c>
      <c r="J17" s="49" t="s">
        <v>2678</v>
      </c>
      <c r="K17" s="44" t="s">
        <v>2827</v>
      </c>
      <c r="L17" s="44" t="s">
        <v>2964</v>
      </c>
      <c r="M17" s="44">
        <v>180015</v>
      </c>
      <c r="N17" s="44" t="s">
        <v>3218</v>
      </c>
      <c r="O17" s="44" t="s">
        <v>3219</v>
      </c>
      <c r="P17" s="44">
        <v>13</v>
      </c>
      <c r="Q17" s="44"/>
      <c r="R17" s="44"/>
      <c r="S17" s="44"/>
      <c r="T17" s="44"/>
    </row>
    <row r="18" spans="2:20" hidden="1" x14ac:dyDescent="0.25">
      <c r="B18" t="e">
        <f>VLOOKUP(C18,#REF!,2,FALSE)</f>
        <v>#REF!</v>
      </c>
      <c r="C18" t="str">
        <f t="shared" si="1"/>
        <v>---2</v>
      </c>
      <c r="D18" t="s">
        <v>2242</v>
      </c>
      <c r="E18" t="s">
        <v>2242</v>
      </c>
      <c r="G18" t="s">
        <v>2242</v>
      </c>
      <c r="H18" t="s">
        <v>2242</v>
      </c>
      <c r="I18" t="s">
        <v>2242</v>
      </c>
      <c r="J18" s="49" t="s">
        <v>2678</v>
      </c>
      <c r="K18" s="44" t="s">
        <v>2828</v>
      </c>
      <c r="L18" s="44" t="s">
        <v>2965</v>
      </c>
      <c r="M18" s="44">
        <v>180016</v>
      </c>
      <c r="N18" s="44"/>
      <c r="P18" s="44"/>
      <c r="Q18" s="44"/>
      <c r="R18" s="44"/>
      <c r="S18" s="44"/>
      <c r="T18" s="44"/>
    </row>
    <row r="19" spans="2:20" x14ac:dyDescent="0.25">
      <c r="B19" t="e">
        <f>VLOOKUP(C19,#REF!,2,FALSE)</f>
        <v>#REF!</v>
      </c>
      <c r="C19" t="str">
        <f t="shared" si="1"/>
        <v>0012.024424.010.000.2</v>
      </c>
      <c r="D19" t="s">
        <v>3256</v>
      </c>
      <c r="E19" t="s">
        <v>3200</v>
      </c>
      <c r="F19" s="49" t="s">
        <v>3196</v>
      </c>
      <c r="G19" t="s">
        <v>2463</v>
      </c>
      <c r="H19" t="s">
        <v>2458</v>
      </c>
      <c r="I19">
        <v>110710</v>
      </c>
      <c r="J19" s="49" t="s">
        <v>2678</v>
      </c>
      <c r="K19" s="44" t="s">
        <v>2829</v>
      </c>
      <c r="L19" s="44" t="s">
        <v>2966</v>
      </c>
      <c r="M19" s="44">
        <v>180017</v>
      </c>
      <c r="N19" s="44" t="s">
        <v>3218</v>
      </c>
      <c r="O19" s="44" t="s">
        <v>3219</v>
      </c>
      <c r="P19" s="44">
        <v>14</v>
      </c>
      <c r="Q19" s="44"/>
      <c r="R19" s="44"/>
      <c r="S19" s="44"/>
      <c r="T19" s="44"/>
    </row>
    <row r="20" spans="2:20" x14ac:dyDescent="0.25">
      <c r="B20" t="e">
        <f>VLOOKUP(C20,#REF!,2,FALSE)</f>
        <v>#REF!</v>
      </c>
      <c r="C20" t="str">
        <f t="shared" si="1"/>
        <v>0012.024424.104.000.2</v>
      </c>
      <c r="D20" t="s">
        <v>3257</v>
      </c>
      <c r="E20" t="s">
        <v>3200</v>
      </c>
      <c r="F20" s="49" t="s">
        <v>3196</v>
      </c>
      <c r="G20" t="s">
        <v>2464</v>
      </c>
      <c r="H20" t="s">
        <v>2459</v>
      </c>
      <c r="I20">
        <v>110711</v>
      </c>
      <c r="J20" s="49" t="s">
        <v>2678</v>
      </c>
      <c r="K20" s="44" t="s">
        <v>2830</v>
      </c>
      <c r="L20" s="44" t="s">
        <v>2967</v>
      </c>
      <c r="M20" s="44">
        <v>180018</v>
      </c>
      <c r="N20" s="44" t="s">
        <v>3218</v>
      </c>
      <c r="O20" s="44" t="s">
        <v>3219</v>
      </c>
      <c r="P20" s="44">
        <v>14</v>
      </c>
      <c r="Q20" s="44"/>
      <c r="R20" s="44"/>
      <c r="S20" s="44"/>
      <c r="T20" s="44"/>
    </row>
    <row r="21" spans="2:20" x14ac:dyDescent="0.25">
      <c r="B21" t="e">
        <f>VLOOKUP(C21,#REF!,2,FALSE)</f>
        <v>#REF!</v>
      </c>
      <c r="C21" t="str">
        <f t="shared" si="1"/>
        <v>0012.024424.154.000.2</v>
      </c>
      <c r="D21" t="s">
        <v>3258</v>
      </c>
      <c r="E21" t="s">
        <v>3200</v>
      </c>
      <c r="F21" s="49" t="s">
        <v>3196</v>
      </c>
      <c r="G21" t="s">
        <v>2466</v>
      </c>
      <c r="H21" t="s">
        <v>2461</v>
      </c>
      <c r="I21">
        <v>110712</v>
      </c>
      <c r="J21" s="49" t="s">
        <v>2678</v>
      </c>
      <c r="K21" s="44" t="s">
        <v>2831</v>
      </c>
      <c r="L21" s="44" t="s">
        <v>2968</v>
      </c>
      <c r="M21" s="44">
        <v>180019</v>
      </c>
      <c r="N21" s="44" t="s">
        <v>3218</v>
      </c>
      <c r="O21" s="44" t="s">
        <v>3219</v>
      </c>
      <c r="P21" s="44">
        <v>14</v>
      </c>
      <c r="Q21" s="44"/>
      <c r="R21" s="44"/>
      <c r="S21" s="44"/>
      <c r="T21" s="44"/>
    </row>
    <row r="22" spans="2:20" x14ac:dyDescent="0.25">
      <c r="B22" t="e">
        <f>VLOOKUP(C22,#REF!,2,FALSE)</f>
        <v>#REF!</v>
      </c>
      <c r="C22" t="str">
        <f t="shared" si="1"/>
        <v>0012.024424.114.000.2</v>
      </c>
      <c r="D22" t="s">
        <v>3259</v>
      </c>
      <c r="E22" t="s">
        <v>3200</v>
      </c>
      <c r="F22" s="49" t="s">
        <v>3196</v>
      </c>
      <c r="G22" t="s">
        <v>2465</v>
      </c>
      <c r="H22" t="s">
        <v>2460</v>
      </c>
      <c r="I22">
        <v>110713</v>
      </c>
      <c r="J22" s="49" t="s">
        <v>2678</v>
      </c>
      <c r="K22" s="44" t="s">
        <v>2832</v>
      </c>
      <c r="L22" s="44" t="s">
        <v>2969</v>
      </c>
      <c r="M22" s="44">
        <v>180020</v>
      </c>
      <c r="N22" s="44" t="s">
        <v>3218</v>
      </c>
      <c r="O22" s="44" t="s">
        <v>3219</v>
      </c>
      <c r="P22" s="44">
        <v>14</v>
      </c>
      <c r="Q22" s="44"/>
      <c r="R22" s="44"/>
      <c r="S22" s="44"/>
      <c r="T22" s="44"/>
    </row>
    <row r="23" spans="2:20" x14ac:dyDescent="0.25">
      <c r="B23" t="e">
        <f>VLOOKUP(C23,#REF!,2,FALSE)</f>
        <v>#REF!</v>
      </c>
      <c r="C23" t="str">
        <f t="shared" si="1"/>
        <v>0012.024424.164.000.2</v>
      </c>
      <c r="D23" t="s">
        <v>3260</v>
      </c>
      <c r="E23" t="s">
        <v>3200</v>
      </c>
      <c r="F23" s="49" t="s">
        <v>3196</v>
      </c>
      <c r="G23" t="s">
        <v>2482</v>
      </c>
      <c r="H23" t="s">
        <v>2462</v>
      </c>
      <c r="I23">
        <v>110714</v>
      </c>
      <c r="J23" s="49" t="s">
        <v>2678</v>
      </c>
      <c r="K23" s="44" t="s">
        <v>2833</v>
      </c>
      <c r="L23" s="44" t="s">
        <v>2970</v>
      </c>
      <c r="M23" s="44">
        <v>180021</v>
      </c>
      <c r="N23" s="44" t="s">
        <v>3218</v>
      </c>
      <c r="O23" s="44" t="s">
        <v>3219</v>
      </c>
      <c r="P23" s="44">
        <v>14</v>
      </c>
      <c r="Q23" s="44"/>
      <c r="R23" s="44"/>
      <c r="S23" s="44"/>
      <c r="T23" s="44"/>
    </row>
    <row r="24" spans="2:20" x14ac:dyDescent="0.25">
      <c r="B24" t="s">
        <v>3274</v>
      </c>
      <c r="C24" t="s">
        <v>3277</v>
      </c>
      <c r="D24" t="s">
        <v>3288</v>
      </c>
      <c r="E24" t="s">
        <v>3200</v>
      </c>
      <c r="F24" s="49" t="s">
        <v>2242</v>
      </c>
      <c r="G24" t="s">
        <v>2242</v>
      </c>
      <c r="H24" t="s">
        <v>2242</v>
      </c>
      <c r="I24" t="s">
        <v>2242</v>
      </c>
      <c r="J24" s="49" t="s">
        <v>2678</v>
      </c>
      <c r="K24" s="44" t="s">
        <v>2834</v>
      </c>
      <c r="L24" s="44" t="s">
        <v>2971</v>
      </c>
      <c r="M24" s="44">
        <v>180022</v>
      </c>
      <c r="N24" s="44" t="s">
        <v>3222</v>
      </c>
      <c r="O24" s="44" t="s">
        <v>3223</v>
      </c>
      <c r="P24" s="44">
        <v>11</v>
      </c>
      <c r="Q24" s="44"/>
      <c r="R24" s="44"/>
      <c r="S24" s="44"/>
      <c r="T24" s="44"/>
    </row>
    <row r="25" spans="2:20" x14ac:dyDescent="0.25">
      <c r="B25" t="s">
        <v>3275</v>
      </c>
      <c r="C25" t="s">
        <v>3278</v>
      </c>
      <c r="D25" t="s">
        <v>3289</v>
      </c>
      <c r="E25" t="s">
        <v>3200</v>
      </c>
      <c r="F25" s="49" t="s">
        <v>2242</v>
      </c>
      <c r="G25" t="s">
        <v>2242</v>
      </c>
      <c r="H25" t="s">
        <v>2242</v>
      </c>
      <c r="I25" t="s">
        <v>2242</v>
      </c>
      <c r="J25" s="49" t="s">
        <v>2678</v>
      </c>
      <c r="K25" s="44" t="s">
        <v>2835</v>
      </c>
      <c r="L25" s="44" t="s">
        <v>2972</v>
      </c>
      <c r="M25" s="44">
        <v>180023</v>
      </c>
      <c r="N25" s="44" t="s">
        <v>3222</v>
      </c>
      <c r="O25" s="44" t="s">
        <v>3223</v>
      </c>
      <c r="P25" s="44">
        <v>11</v>
      </c>
      <c r="Q25" s="44"/>
      <c r="R25" s="44"/>
      <c r="S25" s="44"/>
      <c r="T25" s="44"/>
    </row>
    <row r="26" spans="2:20" x14ac:dyDescent="0.25">
      <c r="B26" t="s">
        <v>3276</v>
      </c>
      <c r="C26" t="s">
        <v>3279</v>
      </c>
      <c r="D26" t="s">
        <v>3290</v>
      </c>
      <c r="E26" t="s">
        <v>3200</v>
      </c>
      <c r="F26" s="49" t="s">
        <v>2242</v>
      </c>
      <c r="G26" t="s">
        <v>2242</v>
      </c>
      <c r="H26" t="s">
        <v>2242</v>
      </c>
      <c r="I26" t="s">
        <v>2242</v>
      </c>
      <c r="J26" s="49" t="s">
        <v>2678</v>
      </c>
      <c r="K26" s="44" t="s">
        <v>2836</v>
      </c>
      <c r="L26" s="44" t="s">
        <v>2973</v>
      </c>
      <c r="M26" s="44">
        <v>180024</v>
      </c>
      <c r="N26" s="44" t="s">
        <v>3222</v>
      </c>
      <c r="O26" s="44" t="s">
        <v>3223</v>
      </c>
      <c r="P26" s="44">
        <v>11</v>
      </c>
      <c r="Q26" s="44"/>
      <c r="R26" s="44"/>
      <c r="S26" s="44"/>
      <c r="T26" s="44"/>
    </row>
    <row r="27" spans="2:20" hidden="1" x14ac:dyDescent="0.25">
      <c r="B27" t="e">
        <f>VLOOKUP(C27,#REF!,2,FALSE)</f>
        <v>#REF!</v>
      </c>
      <c r="C27" t="str">
        <f t="shared" ref="C27:C32" si="2">LEFT(H27,20)&amp;"2"</f>
        <v>---2</v>
      </c>
      <c r="D27" t="s">
        <v>2242</v>
      </c>
      <c r="E27" t="s">
        <v>2242</v>
      </c>
      <c r="G27" t="s">
        <v>2242</v>
      </c>
      <c r="H27" t="s">
        <v>2242</v>
      </c>
      <c r="I27" t="s">
        <v>2242</v>
      </c>
      <c r="J27" s="49" t="s">
        <v>2678</v>
      </c>
      <c r="K27" s="44" t="s">
        <v>2749</v>
      </c>
      <c r="L27" s="44" t="s">
        <v>2974</v>
      </c>
      <c r="M27" s="44">
        <v>180025</v>
      </c>
      <c r="N27" s="44"/>
      <c r="P27" s="44"/>
      <c r="Q27" s="44"/>
      <c r="R27" s="44"/>
      <c r="S27" s="44"/>
      <c r="T27" s="44"/>
    </row>
    <row r="28" spans="2:20" hidden="1" x14ac:dyDescent="0.25">
      <c r="B28" t="e">
        <f>VLOOKUP(C28,#REF!,2,FALSE)</f>
        <v>#REF!</v>
      </c>
      <c r="C28" t="str">
        <f t="shared" si="2"/>
        <v>---2</v>
      </c>
      <c r="D28" t="s">
        <v>2242</v>
      </c>
      <c r="E28" t="s">
        <v>2242</v>
      </c>
      <c r="G28" t="s">
        <v>2242</v>
      </c>
      <c r="H28" t="s">
        <v>2242</v>
      </c>
      <c r="I28" t="s">
        <v>2242</v>
      </c>
      <c r="J28" s="49" t="s">
        <v>2678</v>
      </c>
      <c r="K28" s="44" t="s">
        <v>2552</v>
      </c>
      <c r="L28" s="44" t="s">
        <v>2975</v>
      </c>
      <c r="M28" s="44">
        <v>180026</v>
      </c>
      <c r="N28" s="44"/>
      <c r="P28" s="44"/>
      <c r="Q28" s="44"/>
      <c r="R28" s="44"/>
      <c r="S28" s="44"/>
      <c r="T28" s="44"/>
    </row>
    <row r="29" spans="2:20" x14ac:dyDescent="0.25">
      <c r="B29" t="e">
        <f>VLOOKUP(C29,#REF!,2,FALSE)</f>
        <v>#REF!</v>
      </c>
      <c r="C29" t="str">
        <f t="shared" si="2"/>
        <v>0012.024427.010.010.2</v>
      </c>
      <c r="D29" t="s">
        <v>3261</v>
      </c>
      <c r="E29" t="s">
        <v>3200</v>
      </c>
      <c r="F29" s="49" t="s">
        <v>3196</v>
      </c>
      <c r="G29" t="s">
        <v>2487</v>
      </c>
      <c r="H29" t="s">
        <v>2485</v>
      </c>
      <c r="I29">
        <v>110682</v>
      </c>
      <c r="J29" s="49" t="s">
        <v>2678</v>
      </c>
      <c r="K29" s="44" t="s">
        <v>2837</v>
      </c>
      <c r="L29" s="44" t="s">
        <v>2976</v>
      </c>
      <c r="M29" s="44">
        <v>180028</v>
      </c>
      <c r="N29" s="44" t="s">
        <v>3218</v>
      </c>
      <c r="O29" s="44" t="s">
        <v>3219</v>
      </c>
      <c r="P29" s="44">
        <v>1</v>
      </c>
      <c r="Q29" s="44"/>
      <c r="R29" s="44"/>
      <c r="S29" s="44"/>
      <c r="T29" s="44"/>
    </row>
    <row r="30" spans="2:20" hidden="1" x14ac:dyDescent="0.25">
      <c r="B30" t="e">
        <f>VLOOKUP(C30,#REF!,2,FALSE)</f>
        <v>#REF!</v>
      </c>
      <c r="C30" t="str">
        <f t="shared" si="2"/>
        <v>---2</v>
      </c>
      <c r="D30" t="s">
        <v>2242</v>
      </c>
      <c r="E30" t="s">
        <v>2242</v>
      </c>
      <c r="G30" t="s">
        <v>2242</v>
      </c>
      <c r="H30" t="s">
        <v>2242</v>
      </c>
      <c r="I30" t="s">
        <v>2242</v>
      </c>
      <c r="J30" s="49" t="s">
        <v>2678</v>
      </c>
      <c r="K30" s="44" t="s">
        <v>2838</v>
      </c>
      <c r="L30" s="44" t="s">
        <v>2977</v>
      </c>
      <c r="M30" s="44">
        <v>180212</v>
      </c>
      <c r="N30" s="44"/>
      <c r="P30" s="44"/>
      <c r="Q30" s="44"/>
      <c r="R30" s="44"/>
      <c r="S30" s="44"/>
      <c r="T30" s="44"/>
    </row>
    <row r="31" spans="2:20" hidden="1" x14ac:dyDescent="0.25">
      <c r="B31" t="e">
        <f>VLOOKUP(C31,#REF!,2,FALSE)</f>
        <v>#REF!</v>
      </c>
      <c r="C31" t="str">
        <f t="shared" si="2"/>
        <v>---2</v>
      </c>
      <c r="D31" t="s">
        <v>2242</v>
      </c>
      <c r="E31" t="s">
        <v>3199</v>
      </c>
      <c r="G31" t="s">
        <v>2242</v>
      </c>
      <c r="H31" t="s">
        <v>2242</v>
      </c>
      <c r="I31" t="s">
        <v>2242</v>
      </c>
      <c r="J31" s="49" t="s">
        <v>2678</v>
      </c>
      <c r="K31" s="44" t="s">
        <v>2839</v>
      </c>
      <c r="L31" s="44" t="s">
        <v>2978</v>
      </c>
      <c r="M31" s="44">
        <v>180035</v>
      </c>
      <c r="N31" s="44"/>
      <c r="P31" s="44"/>
      <c r="Q31" s="44"/>
      <c r="R31" s="44"/>
      <c r="S31" s="44"/>
      <c r="T31" s="44"/>
    </row>
    <row r="32" spans="2:20" hidden="1" x14ac:dyDescent="0.25">
      <c r="B32" t="e">
        <f>VLOOKUP(C32,#REF!,2,FALSE)</f>
        <v>#REF!</v>
      </c>
      <c r="C32" t="str">
        <f t="shared" si="2"/>
        <v>---2</v>
      </c>
      <c r="D32" t="s">
        <v>2242</v>
      </c>
      <c r="E32" t="s">
        <v>3199</v>
      </c>
      <c r="G32" t="s">
        <v>2242</v>
      </c>
      <c r="H32" t="s">
        <v>2242</v>
      </c>
      <c r="I32" t="s">
        <v>2242</v>
      </c>
      <c r="J32" s="49" t="s">
        <v>2678</v>
      </c>
      <c r="K32" s="44" t="s">
        <v>2840</v>
      </c>
      <c r="L32" s="44" t="s">
        <v>2979</v>
      </c>
      <c r="M32" s="44">
        <v>180036</v>
      </c>
      <c r="N32" s="44"/>
      <c r="P32" s="44"/>
      <c r="Q32" s="44"/>
      <c r="R32" s="44"/>
      <c r="S32" s="44"/>
      <c r="T32" s="44"/>
    </row>
    <row r="33" spans="2:20" x14ac:dyDescent="0.25">
      <c r="B33" t="s">
        <v>3280</v>
      </c>
      <c r="C33" t="s">
        <v>3282</v>
      </c>
      <c r="D33" t="s">
        <v>3291</v>
      </c>
      <c r="E33" t="s">
        <v>3200</v>
      </c>
      <c r="G33" t="s">
        <v>2242</v>
      </c>
      <c r="H33" t="s">
        <v>2242</v>
      </c>
      <c r="I33" t="s">
        <v>2242</v>
      </c>
      <c r="J33" s="49" t="s">
        <v>2678</v>
      </c>
      <c r="K33" s="44" t="s">
        <v>3271</v>
      </c>
      <c r="L33" s="44" t="s">
        <v>2980</v>
      </c>
      <c r="M33" s="44">
        <v>180031</v>
      </c>
      <c r="N33" s="44" t="s">
        <v>3222</v>
      </c>
      <c r="O33" s="44" t="s">
        <v>3223</v>
      </c>
      <c r="P33" s="44">
        <v>11</v>
      </c>
      <c r="Q33" s="44"/>
      <c r="R33" s="44"/>
      <c r="S33" s="44"/>
      <c r="T33" s="44"/>
    </row>
    <row r="34" spans="2:20" x14ac:dyDescent="0.25">
      <c r="B34" t="s">
        <v>3281</v>
      </c>
      <c r="C34" t="s">
        <v>3283</v>
      </c>
      <c r="D34" t="s">
        <v>3292</v>
      </c>
      <c r="E34" t="s">
        <v>3200</v>
      </c>
      <c r="F34" s="49" t="s">
        <v>2242</v>
      </c>
      <c r="G34" t="s">
        <v>2242</v>
      </c>
      <c r="H34" t="s">
        <v>2242</v>
      </c>
      <c r="I34" t="s">
        <v>2242</v>
      </c>
      <c r="J34" s="49" t="s">
        <v>2678</v>
      </c>
      <c r="K34" s="44" t="s">
        <v>2842</v>
      </c>
      <c r="L34" s="44" t="s">
        <v>2981</v>
      </c>
      <c r="M34" s="44">
        <v>180032</v>
      </c>
      <c r="N34" s="44" t="s">
        <v>3222</v>
      </c>
      <c r="O34" s="44" t="s">
        <v>3223</v>
      </c>
      <c r="P34" s="44">
        <v>12</v>
      </c>
      <c r="Q34" s="44"/>
      <c r="R34" s="44"/>
      <c r="S34" s="44"/>
      <c r="T34" s="44"/>
    </row>
    <row r="35" spans="2:20" x14ac:dyDescent="0.25">
      <c r="B35" t="e">
        <f>VLOOKUP(C35,#REF!,2,FALSE)</f>
        <v>#REF!</v>
      </c>
      <c r="C35" t="str">
        <f t="shared" ref="C35:C56" si="3">LEFT(H35,20)&amp;"2"</f>
        <v>0012.024100.104.000.2</v>
      </c>
      <c r="D35" t="s">
        <v>3262</v>
      </c>
      <c r="E35" t="s">
        <v>3200</v>
      </c>
      <c r="F35" s="49" t="s">
        <v>3196</v>
      </c>
      <c r="G35" t="s">
        <v>2210</v>
      </c>
      <c r="H35" t="s">
        <v>988</v>
      </c>
      <c r="I35">
        <v>110663</v>
      </c>
      <c r="J35" s="49" t="s">
        <v>2678</v>
      </c>
      <c r="K35" s="44" t="s">
        <v>2843</v>
      </c>
      <c r="L35" s="44" t="s">
        <v>3035</v>
      </c>
      <c r="M35" s="44">
        <v>180037</v>
      </c>
      <c r="N35" s="44" t="s">
        <v>3218</v>
      </c>
      <c r="O35" s="44" t="s">
        <v>3219</v>
      </c>
      <c r="P35" s="44">
        <v>12</v>
      </c>
      <c r="Q35" s="44"/>
      <c r="R35" s="44"/>
      <c r="S35" s="44"/>
      <c r="T35" s="44"/>
    </row>
    <row r="36" spans="2:20" x14ac:dyDescent="0.25">
      <c r="B36" t="e">
        <f>VLOOKUP(C36,#REF!,2,FALSE)</f>
        <v>#REF!</v>
      </c>
      <c r="C36" t="str">
        <f t="shared" si="3"/>
        <v>0012.024200.104.000.2</v>
      </c>
      <c r="D36" t="s">
        <v>3263</v>
      </c>
      <c r="E36" t="s">
        <v>3200</v>
      </c>
      <c r="F36" s="49" t="s">
        <v>3196</v>
      </c>
      <c r="G36" t="s">
        <v>2208</v>
      </c>
      <c r="H36" t="s">
        <v>1001</v>
      </c>
      <c r="I36">
        <v>110667</v>
      </c>
      <c r="J36" s="49" t="s">
        <v>2678</v>
      </c>
      <c r="K36" s="44" t="s">
        <v>2991</v>
      </c>
      <c r="L36" s="44" t="s">
        <v>2982</v>
      </c>
      <c r="M36" s="44">
        <v>180038</v>
      </c>
      <c r="N36" s="44" t="s">
        <v>3218</v>
      </c>
      <c r="O36" s="44" t="s">
        <v>3219</v>
      </c>
      <c r="P36" s="44">
        <v>13</v>
      </c>
      <c r="Q36" s="44"/>
      <c r="R36" s="44"/>
      <c r="S36" s="44"/>
      <c r="T36" s="44"/>
    </row>
    <row r="37" spans="2:20" x14ac:dyDescent="0.25">
      <c r="B37" t="e">
        <f>VLOOKUP(C37,#REF!,2,FALSE)</f>
        <v>#REF!</v>
      </c>
      <c r="C37" t="str">
        <f t="shared" si="3"/>
        <v>0012.024200.154.000.2</v>
      </c>
      <c r="D37" t="s">
        <v>3264</v>
      </c>
      <c r="E37" t="s">
        <v>3200</v>
      </c>
      <c r="F37" s="49" t="s">
        <v>3196</v>
      </c>
      <c r="G37" t="s">
        <v>3182</v>
      </c>
      <c r="H37" t="s">
        <v>2750</v>
      </c>
      <c r="I37">
        <v>110720</v>
      </c>
      <c r="J37" s="49" t="s">
        <v>2678</v>
      </c>
      <c r="K37" s="44" t="s">
        <v>2844</v>
      </c>
      <c r="L37" s="44" t="s">
        <v>2992</v>
      </c>
      <c r="M37" s="44">
        <v>180039</v>
      </c>
      <c r="N37" s="44" t="s">
        <v>3218</v>
      </c>
      <c r="O37" s="44" t="s">
        <v>3219</v>
      </c>
      <c r="P37" s="44">
        <v>12</v>
      </c>
      <c r="Q37" s="44"/>
      <c r="R37" s="44"/>
      <c r="S37" s="44"/>
      <c r="T37" s="44"/>
    </row>
    <row r="38" spans="2:20" hidden="1" x14ac:dyDescent="0.25">
      <c r="B38" t="e">
        <f>VLOOKUP(C38,#REF!,2,FALSE)</f>
        <v>#REF!</v>
      </c>
      <c r="C38" t="str">
        <f t="shared" si="3"/>
        <v>0012.089000.010.000.2</v>
      </c>
      <c r="D38" t="s">
        <v>2242</v>
      </c>
      <c r="E38" s="68" t="s">
        <v>2242</v>
      </c>
      <c r="F38" s="49" t="s">
        <v>3196</v>
      </c>
      <c r="G38" t="s">
        <v>3018</v>
      </c>
      <c r="H38" t="s">
        <v>2483</v>
      </c>
      <c r="I38">
        <v>110709</v>
      </c>
      <c r="J38" s="49" t="s">
        <v>2678</v>
      </c>
      <c r="K38" s="44" t="s">
        <v>2845</v>
      </c>
      <c r="L38" s="44" t="s">
        <v>2983</v>
      </c>
      <c r="M38" s="44">
        <v>180040</v>
      </c>
      <c r="N38" s="44"/>
      <c r="O38" s="44"/>
      <c r="P38" s="44"/>
      <c r="Q38" s="44"/>
      <c r="R38" s="44"/>
      <c r="S38" s="44"/>
      <c r="T38" s="44"/>
    </row>
    <row r="39" spans="2:20" hidden="1" x14ac:dyDescent="0.25">
      <c r="B39" t="e">
        <f>VLOOKUP(C39,#REF!,2,FALSE)</f>
        <v>#REF!</v>
      </c>
      <c r="C39" t="str">
        <f t="shared" si="3"/>
        <v>---2</v>
      </c>
      <c r="D39" t="s">
        <v>2242</v>
      </c>
      <c r="E39" t="s">
        <v>2242</v>
      </c>
      <c r="G39" t="s">
        <v>2242</v>
      </c>
      <c r="H39" t="s">
        <v>2242</v>
      </c>
      <c r="I39" t="s">
        <v>2242</v>
      </c>
      <c r="J39" s="49" t="s">
        <v>2678</v>
      </c>
      <c r="K39" s="44" t="s">
        <v>2846</v>
      </c>
      <c r="L39" s="44" t="s">
        <v>2984</v>
      </c>
      <c r="M39" s="44">
        <v>180041</v>
      </c>
      <c r="N39" s="44"/>
      <c r="O39" s="44"/>
      <c r="P39" s="44"/>
      <c r="Q39" s="44"/>
      <c r="R39" s="44"/>
      <c r="S39" s="44"/>
      <c r="T39" s="44"/>
    </row>
    <row r="40" spans="2:20" hidden="1" x14ac:dyDescent="0.25">
      <c r="B40" t="e">
        <f>VLOOKUP(C40,#REF!,2,FALSE)</f>
        <v>#REF!</v>
      </c>
      <c r="C40" t="str">
        <f t="shared" si="3"/>
        <v>---2</v>
      </c>
      <c r="D40" t="s">
        <v>2242</v>
      </c>
      <c r="E40" t="s">
        <v>2242</v>
      </c>
      <c r="G40" t="s">
        <v>2242</v>
      </c>
      <c r="H40" t="s">
        <v>2242</v>
      </c>
      <c r="I40" t="s">
        <v>2242</v>
      </c>
      <c r="J40" s="49" t="s">
        <v>2678</v>
      </c>
      <c r="K40" s="44" t="s">
        <v>2847</v>
      </c>
      <c r="L40" s="44" t="s">
        <v>2985</v>
      </c>
      <c r="M40" s="44">
        <v>180042</v>
      </c>
      <c r="N40" s="44"/>
      <c r="O40" s="44"/>
      <c r="P40" s="44"/>
      <c r="Q40" s="44"/>
      <c r="R40" s="44"/>
      <c r="S40" s="44"/>
      <c r="T40" s="44"/>
    </row>
    <row r="41" spans="2:20" hidden="1" x14ac:dyDescent="0.25">
      <c r="B41" t="e">
        <f>VLOOKUP(C41,#REF!,2,FALSE)</f>
        <v>#REF!</v>
      </c>
      <c r="C41" t="str">
        <f t="shared" si="3"/>
        <v>---2</v>
      </c>
      <c r="D41" t="s">
        <v>2242</v>
      </c>
      <c r="E41" t="s">
        <v>2242</v>
      </c>
      <c r="G41" t="s">
        <v>2242</v>
      </c>
      <c r="H41" t="s">
        <v>2242</v>
      </c>
      <c r="I41" t="s">
        <v>2242</v>
      </c>
      <c r="J41" s="49" t="s">
        <v>2678</v>
      </c>
      <c r="K41" s="44" t="s">
        <v>2848</v>
      </c>
      <c r="L41" s="44" t="s">
        <v>2986</v>
      </c>
      <c r="M41" s="44">
        <v>180043</v>
      </c>
      <c r="N41" s="44"/>
      <c r="O41" s="44"/>
      <c r="P41" s="44"/>
      <c r="Q41" s="44"/>
      <c r="R41" s="44"/>
      <c r="S41" s="44"/>
      <c r="T41" s="44"/>
    </row>
    <row r="42" spans="2:20" hidden="1" x14ac:dyDescent="0.25">
      <c r="B42" t="e">
        <f>VLOOKUP(C42,#REF!,2,FALSE)</f>
        <v>#REF!</v>
      </c>
      <c r="C42" t="str">
        <f t="shared" si="3"/>
        <v>0010.080004.010.010.2</v>
      </c>
      <c r="D42" t="s">
        <v>2242</v>
      </c>
      <c r="E42" t="s">
        <v>3201</v>
      </c>
      <c r="F42" s="49" t="s">
        <v>3196</v>
      </c>
      <c r="G42" t="s">
        <v>989</v>
      </c>
      <c r="H42" t="s">
        <v>992</v>
      </c>
      <c r="I42">
        <v>110651</v>
      </c>
      <c r="J42" s="49" t="s">
        <v>2678</v>
      </c>
      <c r="K42" s="44" t="s">
        <v>2849</v>
      </c>
      <c r="L42" s="44" t="s">
        <v>2987</v>
      </c>
      <c r="M42" s="44">
        <v>180044</v>
      </c>
      <c r="N42" s="44"/>
      <c r="O42" s="44"/>
      <c r="P42" s="44"/>
      <c r="Q42" s="44"/>
      <c r="R42" s="44"/>
      <c r="S42" s="44"/>
      <c r="T42" s="44"/>
    </row>
    <row r="43" spans="2:20" hidden="1" x14ac:dyDescent="0.25">
      <c r="B43" t="e">
        <f>VLOOKUP(C43,#REF!,2,FALSE)</f>
        <v>#REF!</v>
      </c>
      <c r="C43" t="str">
        <f t="shared" si="3"/>
        <v>0010.080004.010.020.2</v>
      </c>
      <c r="D43" t="s">
        <v>2242</v>
      </c>
      <c r="E43" t="s">
        <v>3201</v>
      </c>
      <c r="F43" s="49" t="s">
        <v>3196</v>
      </c>
      <c r="G43" t="s">
        <v>990</v>
      </c>
      <c r="H43" t="s">
        <v>993</v>
      </c>
      <c r="I43">
        <v>110652</v>
      </c>
      <c r="J43" s="49" t="s">
        <v>2678</v>
      </c>
      <c r="K43" s="44" t="s">
        <v>2850</v>
      </c>
      <c r="L43" s="44" t="s">
        <v>2988</v>
      </c>
      <c r="M43" s="44">
        <v>180045</v>
      </c>
      <c r="N43" s="44"/>
      <c r="O43" s="44"/>
      <c r="P43" s="44"/>
      <c r="Q43" s="44"/>
      <c r="R43" s="44"/>
      <c r="S43" s="44"/>
      <c r="T43" s="44"/>
    </row>
    <row r="44" spans="2:20" hidden="1" x14ac:dyDescent="0.25">
      <c r="B44" t="e">
        <f>VLOOKUP(C44,#REF!,2,FALSE)</f>
        <v>#REF!</v>
      </c>
      <c r="C44" t="str">
        <f t="shared" si="3"/>
        <v>0010.080004.010.030.2</v>
      </c>
      <c r="D44" t="s">
        <v>2242</v>
      </c>
      <c r="E44" t="s">
        <v>3201</v>
      </c>
      <c r="F44" s="49" t="s">
        <v>3196</v>
      </c>
      <c r="G44" t="s">
        <v>991</v>
      </c>
      <c r="H44" t="s">
        <v>994</v>
      </c>
      <c r="I44">
        <v>110653</v>
      </c>
      <c r="J44" s="49" t="s">
        <v>2678</v>
      </c>
      <c r="K44" s="44" t="s">
        <v>2851</v>
      </c>
      <c r="L44" s="44" t="s">
        <v>2989</v>
      </c>
      <c r="M44" s="44">
        <v>180046</v>
      </c>
      <c r="N44" s="44"/>
      <c r="O44" s="44"/>
      <c r="P44" s="44"/>
      <c r="Q44" s="44"/>
      <c r="R44" s="44"/>
      <c r="S44" s="44"/>
      <c r="T44" s="44"/>
    </row>
    <row r="45" spans="2:20" hidden="1" x14ac:dyDescent="0.25">
      <c r="B45" t="e">
        <f>VLOOKUP(C45,#REF!,2,FALSE)</f>
        <v>#REF!</v>
      </c>
      <c r="C45" t="str">
        <f t="shared" si="3"/>
        <v>0012.089203.010.090.2</v>
      </c>
      <c r="D45" t="s">
        <v>2242</v>
      </c>
      <c r="E45" t="s">
        <v>3202</v>
      </c>
      <c r="F45" s="49" t="s">
        <v>3196</v>
      </c>
      <c r="G45" t="s">
        <v>3183</v>
      </c>
      <c r="H45" t="str">
        <f>INDEX('MCS PV MMS-&gt;AIS'!C:C,MATCH(Multi_Source_Mapping!I45,'MCS PV MMS-&gt;AIS'!E:E,0))</f>
        <v>0012.089203.010.090.0</v>
      </c>
      <c r="I45">
        <v>110726</v>
      </c>
      <c r="J45" s="49" t="s">
        <v>2678</v>
      </c>
      <c r="K45" s="44" t="s">
        <v>2852</v>
      </c>
      <c r="L45" s="44" t="s">
        <v>2926</v>
      </c>
      <c r="M45" s="44">
        <v>180047</v>
      </c>
      <c r="N45" s="44"/>
      <c r="O45" s="44"/>
      <c r="P45" s="44"/>
      <c r="Q45" s="44"/>
      <c r="R45" s="44"/>
      <c r="S45" s="44"/>
      <c r="T45" s="44"/>
    </row>
    <row r="46" spans="2:20" hidden="1" x14ac:dyDescent="0.25">
      <c r="B46" t="e">
        <f>VLOOKUP(C46,#REF!,2,FALSE)</f>
        <v>#REF!</v>
      </c>
      <c r="C46" t="str">
        <f t="shared" si="3"/>
        <v>---2</v>
      </c>
      <c r="D46" t="s">
        <v>2242</v>
      </c>
      <c r="E46" t="s">
        <v>3203</v>
      </c>
      <c r="G46" t="s">
        <v>2242</v>
      </c>
      <c r="H46" t="s">
        <v>2242</v>
      </c>
      <c r="I46" t="s">
        <v>2242</v>
      </c>
      <c r="J46" s="49" t="s">
        <v>2678</v>
      </c>
      <c r="K46" s="44" t="s">
        <v>2853</v>
      </c>
      <c r="L46" s="44" t="s">
        <v>2927</v>
      </c>
      <c r="M46" s="44">
        <v>180048</v>
      </c>
      <c r="N46" s="44"/>
      <c r="O46" s="44"/>
      <c r="P46" s="44"/>
      <c r="Q46" s="44"/>
      <c r="R46" s="44"/>
      <c r="S46" s="44"/>
      <c r="T46" s="44"/>
    </row>
    <row r="47" spans="2:20" hidden="1" x14ac:dyDescent="0.25">
      <c r="B47" t="e">
        <f>VLOOKUP(C47,#REF!,2,FALSE)</f>
        <v>#REF!</v>
      </c>
      <c r="C47" t="str">
        <f t="shared" si="3"/>
        <v>0012.089203.010.100.2</v>
      </c>
      <c r="D47" t="s">
        <v>2242</v>
      </c>
      <c r="E47" t="s">
        <v>3202</v>
      </c>
      <c r="F47" s="49" t="s">
        <v>3196</v>
      </c>
      <c r="G47" t="s">
        <v>3184</v>
      </c>
      <c r="H47" t="s">
        <v>2909</v>
      </c>
      <c r="I47" t="s">
        <v>3185</v>
      </c>
      <c r="J47" s="49" t="s">
        <v>2678</v>
      </c>
      <c r="K47" s="44" t="s">
        <v>2856</v>
      </c>
      <c r="L47" s="44" t="s">
        <v>2928</v>
      </c>
      <c r="M47" s="44">
        <v>180049</v>
      </c>
      <c r="N47" s="44"/>
      <c r="O47" s="44"/>
      <c r="P47" s="44"/>
      <c r="Q47" s="44"/>
      <c r="R47" s="44"/>
      <c r="S47" s="44"/>
      <c r="T47" s="44"/>
    </row>
    <row r="48" spans="2:20" hidden="1" x14ac:dyDescent="0.25">
      <c r="B48" t="e">
        <f>VLOOKUP(C48,#REF!,2,FALSE)</f>
        <v>#REF!</v>
      </c>
      <c r="C48" t="str">
        <f t="shared" si="3"/>
        <v>---2</v>
      </c>
      <c r="D48" t="s">
        <v>2242</v>
      </c>
      <c r="E48" t="s">
        <v>3203</v>
      </c>
      <c r="G48" t="s">
        <v>2242</v>
      </c>
      <c r="H48" t="s">
        <v>2242</v>
      </c>
      <c r="I48" t="s">
        <v>2242</v>
      </c>
      <c r="J48" s="49" t="s">
        <v>2678</v>
      </c>
      <c r="K48" s="44" t="s">
        <v>2857</v>
      </c>
      <c r="L48" s="44" t="s">
        <v>2929</v>
      </c>
      <c r="M48" s="44">
        <v>180050</v>
      </c>
      <c r="N48" s="44"/>
      <c r="O48" s="44"/>
      <c r="P48" s="44"/>
      <c r="Q48" s="44"/>
      <c r="R48" s="44"/>
      <c r="S48" s="44"/>
      <c r="T48" s="44"/>
    </row>
    <row r="49" spans="2:20" hidden="1" x14ac:dyDescent="0.25">
      <c r="B49" t="e">
        <f>VLOOKUP(C49,#REF!,2,FALSE)</f>
        <v>#REF!</v>
      </c>
      <c r="C49" t="str">
        <f t="shared" si="3"/>
        <v>0012.089203.012.340.2</v>
      </c>
      <c r="D49" t="s">
        <v>2242</v>
      </c>
      <c r="E49" t="s">
        <v>3202</v>
      </c>
      <c r="F49" s="49" t="s">
        <v>3196</v>
      </c>
      <c r="G49" t="s">
        <v>3186</v>
      </c>
      <c r="H49" t="str">
        <f>INDEX('MCS PV MMS-&gt;AIS'!C:C,MATCH(Multi_Source_Mapping!I49,'MCS PV MMS-&gt;AIS'!E:E,0))</f>
        <v>0012.089203.012.340.0</v>
      </c>
      <c r="I49">
        <v>110725</v>
      </c>
      <c r="J49" s="49" t="s">
        <v>2678</v>
      </c>
      <c r="K49" s="44" t="s">
        <v>2854</v>
      </c>
      <c r="L49" s="44" t="s">
        <v>2930</v>
      </c>
      <c r="M49" s="44">
        <v>180051</v>
      </c>
      <c r="N49" s="44"/>
      <c r="O49" s="44"/>
      <c r="P49" s="44"/>
      <c r="Q49" s="44"/>
      <c r="R49" s="44"/>
      <c r="S49" s="44"/>
      <c r="T49" s="44"/>
    </row>
    <row r="50" spans="2:20" hidden="1" x14ac:dyDescent="0.25">
      <c r="B50" t="e">
        <f>VLOOKUP(C50,#REF!,2,FALSE)</f>
        <v>#REF!</v>
      </c>
      <c r="C50" t="str">
        <f t="shared" si="3"/>
        <v>02</v>
      </c>
      <c r="D50" t="s">
        <v>2242</v>
      </c>
      <c r="E50" t="s">
        <v>3203</v>
      </c>
      <c r="G50" t="s">
        <v>2242</v>
      </c>
      <c r="H50">
        <v>0</v>
      </c>
      <c r="I50" t="s">
        <v>2242</v>
      </c>
      <c r="J50" s="49" t="s">
        <v>2678</v>
      </c>
      <c r="K50" s="44" t="s">
        <v>2855</v>
      </c>
      <c r="L50" s="44" t="s">
        <v>2931</v>
      </c>
      <c r="M50" s="44">
        <v>180052</v>
      </c>
      <c r="N50" s="44"/>
      <c r="O50" s="44"/>
      <c r="P50" s="44"/>
      <c r="Q50" s="44"/>
      <c r="R50" s="44"/>
      <c r="S50" s="44"/>
      <c r="T50" s="44"/>
    </row>
    <row r="51" spans="2:20" hidden="1" x14ac:dyDescent="0.25">
      <c r="B51" t="e">
        <f>VLOOKUP(C51,#REF!,2,FALSE)</f>
        <v>#REF!</v>
      </c>
      <c r="C51" t="str">
        <f t="shared" si="3"/>
        <v>0012.089203.010.100.2</v>
      </c>
      <c r="D51" t="s">
        <v>2242</v>
      </c>
      <c r="E51" t="s">
        <v>3202</v>
      </c>
      <c r="F51" s="49" t="s">
        <v>3196</v>
      </c>
      <c r="G51" t="s">
        <v>3187</v>
      </c>
      <c r="H51" t="s">
        <v>2909</v>
      </c>
      <c r="I51" t="s">
        <v>3188</v>
      </c>
      <c r="J51" s="49" t="s">
        <v>2678</v>
      </c>
      <c r="K51" s="44" t="s">
        <v>2858</v>
      </c>
      <c r="L51" s="44" t="s">
        <v>2932</v>
      </c>
      <c r="M51" s="44">
        <v>180053</v>
      </c>
      <c r="N51" s="44"/>
      <c r="O51" s="44"/>
      <c r="P51" s="44"/>
      <c r="Q51" s="44"/>
      <c r="R51" s="44"/>
      <c r="S51" s="44"/>
      <c r="T51" s="44"/>
    </row>
    <row r="52" spans="2:20" hidden="1" x14ac:dyDescent="0.25">
      <c r="B52" t="e">
        <f>VLOOKUP(C52,#REF!,2,FALSE)</f>
        <v>#REF!</v>
      </c>
      <c r="C52" t="str">
        <f t="shared" si="3"/>
        <v>02</v>
      </c>
      <c r="D52" t="s">
        <v>2242</v>
      </c>
      <c r="E52" t="s">
        <v>3203</v>
      </c>
      <c r="G52" t="s">
        <v>2242</v>
      </c>
      <c r="H52">
        <v>0</v>
      </c>
      <c r="I52" t="s">
        <v>2242</v>
      </c>
      <c r="J52" s="49" t="s">
        <v>2678</v>
      </c>
      <c r="K52" s="44" t="s">
        <v>2859</v>
      </c>
      <c r="L52" s="44" t="s">
        <v>2933</v>
      </c>
      <c r="M52" s="44">
        <v>180054</v>
      </c>
      <c r="N52" s="44"/>
      <c r="O52" s="44"/>
      <c r="P52" s="44"/>
      <c r="Q52" s="44"/>
      <c r="R52" s="44"/>
      <c r="S52" s="44"/>
      <c r="T52" s="44"/>
    </row>
    <row r="53" spans="2:20" hidden="1" x14ac:dyDescent="0.25">
      <c r="B53" t="e">
        <f>VLOOKUP(C53,#REF!,2,FALSE)</f>
        <v>#REF!</v>
      </c>
      <c r="C53" t="str">
        <f t="shared" si="3"/>
        <v>0012.089203.012.340.2</v>
      </c>
      <c r="D53" t="s">
        <v>2242</v>
      </c>
      <c r="E53" t="s">
        <v>3202</v>
      </c>
      <c r="F53" s="49" t="s">
        <v>3196</v>
      </c>
      <c r="G53" t="s">
        <v>3189</v>
      </c>
      <c r="H53" t="str">
        <f>INDEX('MCS PV MMS-&gt;AIS'!C:C,MATCH(Multi_Source_Mapping!I53,'MCS PV MMS-&gt;AIS'!E:E,0))</f>
        <v>0012.089203.012.340.0</v>
      </c>
      <c r="I53">
        <v>110725</v>
      </c>
      <c r="J53" s="49" t="s">
        <v>2678</v>
      </c>
      <c r="K53" s="44" t="s">
        <v>2860</v>
      </c>
      <c r="L53" s="44" t="s">
        <v>2934</v>
      </c>
      <c r="M53" s="44">
        <v>180055</v>
      </c>
      <c r="N53" s="44"/>
      <c r="O53" s="44"/>
      <c r="P53" s="44"/>
      <c r="Q53" s="44"/>
      <c r="R53" s="44"/>
      <c r="S53" s="44"/>
      <c r="T53" s="44"/>
    </row>
    <row r="54" spans="2:20" hidden="1" x14ac:dyDescent="0.25">
      <c r="B54" t="e">
        <f>VLOOKUP(C54,#REF!,2,FALSE)</f>
        <v>#REF!</v>
      </c>
      <c r="C54" t="str">
        <f t="shared" si="3"/>
        <v>---2</v>
      </c>
      <c r="D54" t="s">
        <v>2242</v>
      </c>
      <c r="E54" t="s">
        <v>3203</v>
      </c>
      <c r="G54" t="s">
        <v>2242</v>
      </c>
      <c r="H54" t="s">
        <v>2242</v>
      </c>
      <c r="I54" t="s">
        <v>2242</v>
      </c>
      <c r="J54" s="49" t="s">
        <v>2678</v>
      </c>
      <c r="K54" s="44" t="s">
        <v>2861</v>
      </c>
      <c r="L54" s="44" t="s">
        <v>2935</v>
      </c>
      <c r="M54" s="44">
        <v>180056</v>
      </c>
      <c r="N54" s="44"/>
      <c r="O54" s="44"/>
      <c r="P54" s="44"/>
      <c r="Q54" s="44"/>
      <c r="R54" s="44"/>
      <c r="S54" s="44"/>
      <c r="T54" s="44"/>
    </row>
    <row r="55" spans="2:20" hidden="1" x14ac:dyDescent="0.25">
      <c r="B55" t="e">
        <f>VLOOKUP(C55,#REF!,2,FALSE)</f>
        <v>#REF!</v>
      </c>
      <c r="C55" t="str">
        <f t="shared" si="3"/>
        <v>---2</v>
      </c>
      <c r="D55" t="s">
        <v>2242</v>
      </c>
      <c r="E55" t="s">
        <v>2242</v>
      </c>
      <c r="G55" t="s">
        <v>2242</v>
      </c>
      <c r="H55" t="s">
        <v>2242</v>
      </c>
      <c r="I55" t="s">
        <v>2242</v>
      </c>
      <c r="J55" s="49" t="s">
        <v>2678</v>
      </c>
      <c r="K55" s="44" t="s">
        <v>2862</v>
      </c>
      <c r="L55" s="44" t="s">
        <v>2936</v>
      </c>
      <c r="M55" s="44">
        <v>180057</v>
      </c>
      <c r="N55" s="44"/>
      <c r="O55" s="44"/>
      <c r="P55" s="44"/>
      <c r="Q55" s="44"/>
      <c r="R55" s="44"/>
      <c r="S55" s="44"/>
      <c r="T55" s="44"/>
    </row>
    <row r="56" spans="2:20" hidden="1" x14ac:dyDescent="0.25">
      <c r="B56" t="e">
        <f>VLOOKUP(C56,#REF!,2,FALSE)</f>
        <v>#REF!</v>
      </c>
      <c r="C56" t="str">
        <f t="shared" si="3"/>
        <v>---2</v>
      </c>
      <c r="D56" t="s">
        <v>2242</v>
      </c>
      <c r="E56" t="s">
        <v>2242</v>
      </c>
      <c r="G56" t="s">
        <v>2242</v>
      </c>
      <c r="H56" t="s">
        <v>2242</v>
      </c>
      <c r="I56" t="s">
        <v>2242</v>
      </c>
      <c r="J56" s="49" t="s">
        <v>2678</v>
      </c>
      <c r="K56" s="44" t="s">
        <v>2863</v>
      </c>
      <c r="L56" s="44" t="s">
        <v>2937</v>
      </c>
      <c r="M56" s="44">
        <v>180058</v>
      </c>
      <c r="N56" s="44"/>
      <c r="O56" s="44"/>
      <c r="P56" s="44"/>
      <c r="Q56" s="44"/>
      <c r="R56" s="44"/>
      <c r="S56" s="44"/>
      <c r="T56" s="44"/>
    </row>
    <row r="57" spans="2:20" hidden="1" x14ac:dyDescent="0.25">
      <c r="B57" t="e">
        <f>VLOOKUP(C57,#REF!,2,FALSE)</f>
        <v>#REF!</v>
      </c>
      <c r="C57" t="e">
        <f>LEFT(#REF!,16)&amp;"0"&amp;MID(#REF!,18,3)&amp;"2"</f>
        <v>#REF!</v>
      </c>
      <c r="D57" t="s">
        <v>2242</v>
      </c>
      <c r="E57" t="s">
        <v>3202</v>
      </c>
      <c r="F57" s="49" t="s">
        <v>3196</v>
      </c>
      <c r="G57" t="s">
        <v>3190</v>
      </c>
      <c r="H57" t="s">
        <v>2909</v>
      </c>
      <c r="I57" t="s">
        <v>3191</v>
      </c>
      <c r="J57" s="49" t="s">
        <v>2678</v>
      </c>
      <c r="K57" s="44" t="s">
        <v>2864</v>
      </c>
      <c r="L57" s="44" t="s">
        <v>2938</v>
      </c>
      <c r="M57" s="44">
        <v>180059</v>
      </c>
      <c r="N57" s="44"/>
      <c r="O57" s="44"/>
      <c r="P57" s="44"/>
      <c r="Q57" s="44"/>
      <c r="R57" s="44"/>
      <c r="S57" s="44"/>
      <c r="T57" s="44"/>
    </row>
    <row r="58" spans="2:20" hidden="1" x14ac:dyDescent="0.25">
      <c r="B58" t="e">
        <f>VLOOKUP(C58,#REF!,2,FALSE)</f>
        <v>#REF!</v>
      </c>
      <c r="C58" t="e">
        <f>LEFT(#REF!,16)&amp;"0"&amp;MID(#REF!,18,3)&amp;"2"</f>
        <v>#REF!</v>
      </c>
      <c r="D58" t="s">
        <v>2242</v>
      </c>
      <c r="E58" t="s">
        <v>3203</v>
      </c>
      <c r="G58" t="s">
        <v>2242</v>
      </c>
      <c r="H58" t="s">
        <v>2242</v>
      </c>
      <c r="I58" t="s">
        <v>2242</v>
      </c>
      <c r="J58" s="49" t="s">
        <v>2678</v>
      </c>
      <c r="K58" s="44" t="s">
        <v>2865</v>
      </c>
      <c r="L58" s="44" t="s">
        <v>2939</v>
      </c>
      <c r="M58" s="44">
        <v>180060</v>
      </c>
      <c r="N58" s="44"/>
      <c r="O58" s="44"/>
      <c r="P58" s="44"/>
      <c r="Q58" s="44"/>
      <c r="R58" s="44"/>
      <c r="S58" s="44"/>
      <c r="T58" s="44"/>
    </row>
    <row r="59" spans="2:20" hidden="1" x14ac:dyDescent="0.25">
      <c r="B59" t="e">
        <f>VLOOKUP(C59,#REF!,2,FALSE)</f>
        <v>#REF!</v>
      </c>
      <c r="C59" t="e">
        <f>LEFT(#REF!,16)&amp;"0"&amp;MID(#REF!,18,3)&amp;"2"</f>
        <v>#REF!</v>
      </c>
      <c r="D59" t="s">
        <v>2242</v>
      </c>
      <c r="E59" t="s">
        <v>3202</v>
      </c>
      <c r="F59" s="49" t="s">
        <v>3196</v>
      </c>
      <c r="G59" t="s">
        <v>3192</v>
      </c>
      <c r="H59">
        <v>0</v>
      </c>
      <c r="I59" t="s">
        <v>2242</v>
      </c>
      <c r="J59" s="49" t="s">
        <v>2678</v>
      </c>
      <c r="K59" s="44" t="s">
        <v>2868</v>
      </c>
      <c r="L59" s="44" t="s">
        <v>2942</v>
      </c>
      <c r="M59" s="44">
        <v>180061</v>
      </c>
      <c r="N59" s="44"/>
      <c r="O59" s="44"/>
      <c r="P59" s="44"/>
      <c r="Q59" s="44"/>
      <c r="R59" s="44"/>
      <c r="S59" s="44"/>
      <c r="T59" s="44"/>
    </row>
    <row r="60" spans="2:20" hidden="1" x14ac:dyDescent="0.25">
      <c r="B60" t="e">
        <f>VLOOKUP(C60,#REF!,2,FALSE)</f>
        <v>#REF!</v>
      </c>
      <c r="C60" t="e">
        <f>LEFT(#REF!,16)&amp;"0"&amp;MID(#REF!,18,3)&amp;"2"</f>
        <v>#REF!</v>
      </c>
      <c r="D60" t="s">
        <v>2242</v>
      </c>
      <c r="E60" t="s">
        <v>3203</v>
      </c>
      <c r="G60" t="s">
        <v>2242</v>
      </c>
      <c r="H60" t="s">
        <v>2242</v>
      </c>
      <c r="I60" t="s">
        <v>2242</v>
      </c>
      <c r="J60" s="49" t="s">
        <v>2678</v>
      </c>
      <c r="K60" s="44" t="s">
        <v>3019</v>
      </c>
      <c r="L60" s="44" t="s">
        <v>2943</v>
      </c>
      <c r="M60" s="44">
        <v>180062</v>
      </c>
      <c r="N60" s="44"/>
      <c r="O60" s="44"/>
      <c r="P60" s="44"/>
      <c r="Q60" s="44"/>
      <c r="R60" s="44"/>
      <c r="S60" s="44"/>
      <c r="T60" s="44"/>
    </row>
    <row r="61" spans="2:20" hidden="1" x14ac:dyDescent="0.25">
      <c r="B61" t="e">
        <f>VLOOKUP(C61,#REF!,2,FALSE)</f>
        <v>#REF!</v>
      </c>
      <c r="C61" t="str">
        <f>LEFT(H61,20)&amp;"2"</f>
        <v>0012.089203.012.380.2</v>
      </c>
      <c r="D61" t="s">
        <v>2242</v>
      </c>
      <c r="E61" t="s">
        <v>3202</v>
      </c>
      <c r="F61" s="49" t="s">
        <v>3196</v>
      </c>
      <c r="G61" t="s">
        <v>3193</v>
      </c>
      <c r="H61" t="str">
        <f>INDEX('MCS PV MMS-&gt;AIS'!C:C,MATCH(Multi_Source_Mapping!I61,'MCS PV MMS-&gt;AIS'!E:E,0))</f>
        <v>0012.089203.012.380.0</v>
      </c>
      <c r="I61">
        <v>110729</v>
      </c>
      <c r="J61" s="49" t="s">
        <v>2678</v>
      </c>
      <c r="K61" s="44" t="s">
        <v>2866</v>
      </c>
      <c r="L61" s="44" t="s">
        <v>2940</v>
      </c>
      <c r="M61" s="44">
        <v>180063</v>
      </c>
      <c r="N61" s="44"/>
      <c r="O61" s="44"/>
      <c r="P61" s="44"/>
      <c r="Q61" s="44"/>
      <c r="R61" s="44"/>
      <c r="S61" s="44"/>
      <c r="T61" s="44"/>
    </row>
    <row r="62" spans="2:20" hidden="1" x14ac:dyDescent="0.25">
      <c r="B62" t="e">
        <f>VLOOKUP(C62,#REF!,2,FALSE)</f>
        <v>#REF!</v>
      </c>
      <c r="C62" t="str">
        <f>LEFT(H62,20)&amp;"2"</f>
        <v>---2</v>
      </c>
      <c r="D62" t="s">
        <v>2242</v>
      </c>
      <c r="E62" t="s">
        <v>3203</v>
      </c>
      <c r="G62" t="s">
        <v>2242</v>
      </c>
      <c r="H62" t="s">
        <v>2242</v>
      </c>
      <c r="I62" t="s">
        <v>2242</v>
      </c>
      <c r="J62" s="49" t="s">
        <v>2678</v>
      </c>
      <c r="K62" s="44" t="s">
        <v>2867</v>
      </c>
      <c r="L62" s="44" t="s">
        <v>2941</v>
      </c>
      <c r="M62" s="44">
        <v>180064</v>
      </c>
      <c r="N62" s="44"/>
      <c r="O62" s="44"/>
      <c r="P62" s="44"/>
      <c r="Q62" s="44"/>
      <c r="R62" s="44"/>
      <c r="S62" s="44"/>
      <c r="T62" s="44"/>
    </row>
    <row r="63" spans="2:20" hidden="1" x14ac:dyDescent="0.25">
      <c r="B63" t="e">
        <f>VLOOKUP(C63,#REF!,2,FALSE)</f>
        <v>#REF!</v>
      </c>
      <c r="C63" t="str">
        <f>LEFT(H63,20)&amp;"2"</f>
        <v>02</v>
      </c>
      <c r="D63" t="s">
        <v>2242</v>
      </c>
      <c r="E63" t="s">
        <v>3202</v>
      </c>
      <c r="F63" s="49" t="s">
        <v>3196</v>
      </c>
      <c r="G63" t="s">
        <v>3194</v>
      </c>
      <c r="H63">
        <v>0</v>
      </c>
      <c r="I63" t="s">
        <v>2242</v>
      </c>
      <c r="J63" s="49" t="s">
        <v>2678</v>
      </c>
      <c r="K63" s="44" t="s">
        <v>2869</v>
      </c>
      <c r="L63" s="44" t="s">
        <v>2944</v>
      </c>
      <c r="M63" s="44">
        <v>180065</v>
      </c>
      <c r="N63" s="44"/>
      <c r="O63" s="44"/>
      <c r="P63" s="44"/>
      <c r="Q63" s="44"/>
      <c r="R63" s="44"/>
      <c r="S63" s="44"/>
      <c r="T63" s="44"/>
    </row>
    <row r="64" spans="2:20" hidden="1" x14ac:dyDescent="0.25">
      <c r="B64" t="e">
        <f>VLOOKUP(C64,#REF!,2,FALSE)</f>
        <v>#REF!</v>
      </c>
      <c r="C64" t="str">
        <f>LEFT(H64,20)&amp;"2"</f>
        <v>02</v>
      </c>
      <c r="D64" t="s">
        <v>2242</v>
      </c>
      <c r="E64" t="s">
        <v>3202</v>
      </c>
      <c r="F64" s="49" t="s">
        <v>3196</v>
      </c>
      <c r="G64" t="s">
        <v>3195</v>
      </c>
      <c r="H64">
        <v>0</v>
      </c>
      <c r="I64" t="s">
        <v>2242</v>
      </c>
      <c r="J64" s="49" t="s">
        <v>2678</v>
      </c>
      <c r="K64" s="44" t="s">
        <v>2870</v>
      </c>
      <c r="L64" s="44" t="s">
        <v>2945</v>
      </c>
      <c r="M64" s="44">
        <v>180066</v>
      </c>
      <c r="N64" s="44"/>
      <c r="O64" s="44"/>
      <c r="P64" s="44"/>
      <c r="Q64" s="44"/>
      <c r="R64" s="44"/>
      <c r="S64" s="44"/>
      <c r="T64" s="44"/>
    </row>
    <row r="65" spans="2:20" hidden="1" x14ac:dyDescent="0.25">
      <c r="B65" t="e">
        <f>VLOOKUP(C65,#REF!,2,FALSE)</f>
        <v>#REF!</v>
      </c>
      <c r="C65" t="str">
        <f>LEFT(H65,20)&amp;"2"</f>
        <v>---2</v>
      </c>
      <c r="D65" t="s">
        <v>2242</v>
      </c>
      <c r="E65" t="s">
        <v>2242</v>
      </c>
      <c r="G65" t="s">
        <v>2242</v>
      </c>
      <c r="H65" t="s">
        <v>2242</v>
      </c>
      <c r="I65" t="s">
        <v>2242</v>
      </c>
      <c r="J65" s="49" t="s">
        <v>2678</v>
      </c>
      <c r="K65" s="44" t="s">
        <v>2871</v>
      </c>
      <c r="L65" s="44" t="s">
        <v>2946</v>
      </c>
      <c r="M65" s="44">
        <v>180067</v>
      </c>
      <c r="N65" s="44"/>
      <c r="O65" s="44"/>
      <c r="P65" s="44"/>
      <c r="Q65" s="44"/>
      <c r="R65" s="44"/>
      <c r="S65" s="44"/>
      <c r="T65" s="44"/>
    </row>
    <row r="66" spans="2:20" hidden="1" x14ac:dyDescent="0.25">
      <c r="B66" t="s">
        <v>3240</v>
      </c>
      <c r="C66" t="s">
        <v>3239</v>
      </c>
      <c r="E66" t="s">
        <v>3203</v>
      </c>
      <c r="F66" s="49" t="s">
        <v>2242</v>
      </c>
      <c r="G66" t="s">
        <v>2242</v>
      </c>
      <c r="H66" t="s">
        <v>2242</v>
      </c>
      <c r="I66" t="s">
        <v>2242</v>
      </c>
      <c r="J66" s="49" t="s">
        <v>2678</v>
      </c>
      <c r="K66" s="44" t="s">
        <v>2872</v>
      </c>
      <c r="L66" s="44" t="s">
        <v>2947</v>
      </c>
      <c r="M66" s="44">
        <v>180068</v>
      </c>
      <c r="N66" s="44"/>
      <c r="O66" s="44"/>
      <c r="P66" s="44">
        <v>2</v>
      </c>
      <c r="Q66" s="44"/>
      <c r="R66" s="44"/>
      <c r="S66" s="44"/>
      <c r="T66" s="44"/>
    </row>
    <row r="67" spans="2:20" hidden="1" x14ac:dyDescent="0.25">
      <c r="B67" t="e">
        <f>VLOOKUP(C67,#REF!,2,FALSE)</f>
        <v>#REF!</v>
      </c>
      <c r="C67" t="str">
        <f>LEFT(H67,20)&amp;"2"</f>
        <v>---2</v>
      </c>
      <c r="D67" t="s">
        <v>2242</v>
      </c>
      <c r="E67" t="s">
        <v>3203</v>
      </c>
      <c r="G67" t="s">
        <v>2242</v>
      </c>
      <c r="H67" t="s">
        <v>2242</v>
      </c>
      <c r="I67" t="s">
        <v>2242</v>
      </c>
      <c r="J67" s="49" t="s">
        <v>2678</v>
      </c>
      <c r="K67" s="44" t="s">
        <v>2873</v>
      </c>
      <c r="L67" s="44" t="s">
        <v>2948</v>
      </c>
      <c r="M67" s="44">
        <v>180069</v>
      </c>
      <c r="N67" s="44"/>
      <c r="O67" s="44"/>
      <c r="P67" s="44"/>
      <c r="Q67" s="44"/>
      <c r="R67" s="44"/>
      <c r="S67" s="44"/>
      <c r="T67" s="44"/>
    </row>
    <row r="68" spans="2:20" hidden="1" x14ac:dyDescent="0.25">
      <c r="B68" t="e">
        <f>VLOOKUP(C68,#REF!,2,FALSE)</f>
        <v>#REF!</v>
      </c>
      <c r="C68" t="str">
        <f>LEFT(H68,20)&amp;"2"</f>
        <v>---2</v>
      </c>
      <c r="D68" t="s">
        <v>2242</v>
      </c>
      <c r="E68" t="s">
        <v>2242</v>
      </c>
      <c r="G68" t="s">
        <v>2242</v>
      </c>
      <c r="H68" t="s">
        <v>2242</v>
      </c>
      <c r="I68" t="s">
        <v>2242</v>
      </c>
      <c r="J68" s="49" t="s">
        <v>2678</v>
      </c>
      <c r="K68" s="44" t="s">
        <v>2874</v>
      </c>
      <c r="L68" s="44" t="s">
        <v>2949</v>
      </c>
      <c r="M68" s="44">
        <v>180070</v>
      </c>
      <c r="N68" s="44"/>
      <c r="O68" s="44"/>
      <c r="P68" s="44"/>
      <c r="Q68" s="44"/>
      <c r="R68" s="44"/>
      <c r="S68" s="44"/>
      <c r="T68" s="44"/>
    </row>
    <row r="69" spans="2:20" x14ac:dyDescent="0.25">
      <c r="B69" t="s">
        <v>3284</v>
      </c>
      <c r="C69" t="s">
        <v>3285</v>
      </c>
      <c r="D69" t="s">
        <v>3293</v>
      </c>
      <c r="E69" t="s">
        <v>3200</v>
      </c>
      <c r="F69" s="49" t="s">
        <v>2242</v>
      </c>
      <c r="G69" t="s">
        <v>2242</v>
      </c>
      <c r="H69" t="s">
        <v>2242</v>
      </c>
      <c r="I69" t="s">
        <v>2242</v>
      </c>
      <c r="J69" s="49" t="s">
        <v>2678</v>
      </c>
      <c r="K69" s="44" t="s">
        <v>2875</v>
      </c>
      <c r="L69" s="44" t="s">
        <v>2990</v>
      </c>
      <c r="M69" s="44">
        <v>180072</v>
      </c>
      <c r="N69" s="44" t="s">
        <v>3218</v>
      </c>
      <c r="O69" s="44" t="s">
        <v>3219</v>
      </c>
      <c r="P69" s="44">
        <v>1</v>
      </c>
      <c r="Q69" s="44"/>
      <c r="R69" s="44"/>
      <c r="S69" s="44"/>
      <c r="T69" s="44"/>
    </row>
    <row r="70" spans="2:20" hidden="1" x14ac:dyDescent="0.25">
      <c r="B70" t="e">
        <f>VLOOKUP(C70,#REF!,2,FALSE)</f>
        <v>#REF!</v>
      </c>
      <c r="C70" t="str">
        <f>LEFT(H70,20)&amp;"2"</f>
        <v>0012.089203.234.000.2</v>
      </c>
      <c r="D70" t="s">
        <v>2242</v>
      </c>
      <c r="E70" t="s">
        <v>3202</v>
      </c>
      <c r="F70" s="49" t="s">
        <v>3196</v>
      </c>
      <c r="G70" s="44" t="s">
        <v>2908</v>
      </c>
      <c r="H70" s="44" t="s">
        <v>2907</v>
      </c>
      <c r="I70" t="s">
        <v>2242</v>
      </c>
      <c r="J70" s="49" t="s">
        <v>2678</v>
      </c>
      <c r="K70" s="44" t="s">
        <v>3013</v>
      </c>
      <c r="L70" s="44" t="s">
        <v>3016</v>
      </c>
      <c r="M70" s="44">
        <v>180073</v>
      </c>
      <c r="N70" s="44"/>
      <c r="O70" s="44"/>
      <c r="P70" s="44"/>
      <c r="Q70" s="44"/>
      <c r="R70" s="44"/>
      <c r="S70" s="44"/>
      <c r="T70" s="44"/>
    </row>
    <row r="71" spans="2:20" hidden="1" x14ac:dyDescent="0.25">
      <c r="B71" t="e">
        <f>VLOOKUP(C71,#REF!,2,FALSE)</f>
        <v>#REF!</v>
      </c>
      <c r="C71" t="str">
        <f>LEFT(H71,20)&amp;"2"</f>
        <v>---2</v>
      </c>
      <c r="D71" t="s">
        <v>2242</v>
      </c>
      <c r="E71" t="s">
        <v>3203</v>
      </c>
      <c r="G71" t="s">
        <v>2242</v>
      </c>
      <c r="H71" t="s">
        <v>2242</v>
      </c>
      <c r="I71" t="s">
        <v>2242</v>
      </c>
      <c r="J71" s="49" t="s">
        <v>2678</v>
      </c>
      <c r="K71" s="44" t="s">
        <v>3014</v>
      </c>
      <c r="L71" s="44" t="s">
        <v>3017</v>
      </c>
      <c r="M71" s="44">
        <v>180074</v>
      </c>
      <c r="N71" s="44"/>
      <c r="O71" s="44"/>
      <c r="P71" s="44"/>
      <c r="Q71" s="44"/>
      <c r="R71" s="44"/>
      <c r="S71" s="44"/>
      <c r="T71" s="44"/>
    </row>
    <row r="72" spans="2:20" hidden="1" x14ac:dyDescent="0.25">
      <c r="B72" t="e">
        <f>VLOOKUP(C72,#REF!,2,FALSE)</f>
        <v>#REF!</v>
      </c>
      <c r="C72" t="str">
        <f>LEFT(H72,20)&amp;"2"</f>
        <v>---2</v>
      </c>
      <c r="D72" t="s">
        <v>2242</v>
      </c>
      <c r="E72" t="s">
        <v>3203</v>
      </c>
      <c r="G72" t="s">
        <v>2242</v>
      </c>
      <c r="H72" t="s">
        <v>2242</v>
      </c>
      <c r="I72" t="s">
        <v>2242</v>
      </c>
      <c r="J72" s="49" t="s">
        <v>2678</v>
      </c>
      <c r="K72" s="44" t="s">
        <v>2951</v>
      </c>
      <c r="L72" s="44" t="s">
        <v>2950</v>
      </c>
      <c r="M72" s="44">
        <v>180075</v>
      </c>
      <c r="N72" s="44" t="s">
        <v>3222</v>
      </c>
      <c r="P72" s="44">
        <v>11</v>
      </c>
      <c r="Q72" s="44"/>
      <c r="R72" s="44"/>
      <c r="S72" s="44"/>
      <c r="T72" s="44"/>
    </row>
    <row r="73" spans="2:20" x14ac:dyDescent="0.25">
      <c r="B73" t="s">
        <v>3302</v>
      </c>
      <c r="C73" t="s">
        <v>3301</v>
      </c>
      <c r="D73" t="s">
        <v>3299</v>
      </c>
      <c r="E73" t="s">
        <v>3200</v>
      </c>
      <c r="F73" s="49" t="s">
        <v>3196</v>
      </c>
      <c r="G73" t="s">
        <v>2505</v>
      </c>
      <c r="H73" t="s">
        <v>2506</v>
      </c>
      <c r="I73">
        <v>110683</v>
      </c>
      <c r="J73" s="49" t="s">
        <v>2242</v>
      </c>
      <c r="K73" t="s">
        <v>2242</v>
      </c>
      <c r="L73" t="s">
        <v>2242</v>
      </c>
      <c r="M73" t="s">
        <v>2242</v>
      </c>
    </row>
    <row r="74" spans="2:20" x14ac:dyDescent="0.25">
      <c r="B74" t="s">
        <v>3303</v>
      </c>
      <c r="C74" t="s">
        <v>3265</v>
      </c>
      <c r="D74" t="s">
        <v>3300</v>
      </c>
      <c r="E74" t="s">
        <v>3200</v>
      </c>
      <c r="F74" s="49" t="s">
        <v>3196</v>
      </c>
      <c r="G74" t="s">
        <v>2507</v>
      </c>
      <c r="H74" t="s">
        <v>2508</v>
      </c>
      <c r="I74">
        <v>110684</v>
      </c>
      <c r="J74" s="49" t="s">
        <v>2242</v>
      </c>
      <c r="K74" t="s">
        <v>2242</v>
      </c>
      <c r="L74" t="s">
        <v>2242</v>
      </c>
      <c r="M74" t="s">
        <v>2242</v>
      </c>
    </row>
  </sheetData>
  <autoFilter ref="A1:M74" xr:uid="{00000000-0009-0000-0000-000002000000}">
    <filterColumn colId="4">
      <filters>
        <filter val="FSW EMS/SysIDMapper"/>
      </filters>
    </filterColumn>
  </autoFilter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>
    <tabColor theme="4"/>
  </sheetPr>
  <dimension ref="A1:S56"/>
  <sheetViews>
    <sheetView workbookViewId="0">
      <pane ySplit="3" topLeftCell="A4" activePane="bottomLeft" state="frozen"/>
      <selection activeCell="Q51" sqref="Q51"/>
      <selection pane="bottomLeft" activeCell="B31" sqref="B31"/>
    </sheetView>
  </sheetViews>
  <sheetFormatPr baseColWidth="10" defaultRowHeight="15" x14ac:dyDescent="0.25"/>
  <cols>
    <col min="2" max="2" width="30" bestFit="1" customWidth="1"/>
    <col min="3" max="3" width="20.42578125" bestFit="1" customWidth="1"/>
    <col min="4" max="4" width="30" bestFit="1" customWidth="1"/>
    <col min="14" max="14" width="35.42578125" bestFit="1" customWidth="1"/>
    <col min="15" max="15" width="14.140625" bestFit="1" customWidth="1"/>
    <col min="16" max="16" width="35.28515625" bestFit="1" customWidth="1"/>
    <col min="18" max="19" width="28.85546875" bestFit="1" customWidth="1"/>
  </cols>
  <sheetData>
    <row r="1" spans="1:19" x14ac:dyDescent="0.25">
      <c r="R1" t="s">
        <v>1285</v>
      </c>
      <c r="S1" t="s">
        <v>1284</v>
      </c>
    </row>
    <row r="2" spans="1:19" x14ac:dyDescent="0.25">
      <c r="O2" s="1"/>
      <c r="P2" s="1"/>
      <c r="R2" t="s">
        <v>1283</v>
      </c>
      <c r="S2" t="s">
        <v>1283</v>
      </c>
    </row>
    <row r="3" spans="1:19" ht="33.75" x14ac:dyDescent="0.5">
      <c r="A3" s="3" t="s">
        <v>95</v>
      </c>
      <c r="B3" s="14" t="s">
        <v>1414</v>
      </c>
      <c r="C3" s="14" t="s">
        <v>8</v>
      </c>
      <c r="D3" s="14" t="s">
        <v>5</v>
      </c>
      <c r="E3" s="14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M3" s="38" t="s">
        <v>1134</v>
      </c>
      <c r="N3" s="10" t="s">
        <v>2488</v>
      </c>
      <c r="O3" s="10" t="s">
        <v>955</v>
      </c>
      <c r="P3" s="10" t="s">
        <v>1</v>
      </c>
      <c r="R3" s="39" t="s">
        <v>1267</v>
      </c>
      <c r="S3" s="39" t="s">
        <v>1268</v>
      </c>
    </row>
    <row r="4" spans="1:19" x14ac:dyDescent="0.25">
      <c r="B4" s="37" t="s">
        <v>2107</v>
      </c>
      <c r="C4" s="37" t="s">
        <v>17</v>
      </c>
      <c r="D4" s="37" t="s">
        <v>16</v>
      </c>
      <c r="E4" s="37">
        <v>110805</v>
      </c>
      <c r="F4" s="37">
        <v>1111</v>
      </c>
      <c r="G4" s="37">
        <v>9</v>
      </c>
      <c r="H4" s="37">
        <v>2</v>
      </c>
      <c r="I4" s="37" t="s">
        <v>18</v>
      </c>
      <c r="J4" s="37">
        <v>1</v>
      </c>
      <c r="K4" s="37">
        <v>0</v>
      </c>
      <c r="O4" s="2" t="s">
        <v>105</v>
      </c>
      <c r="P4" s="2"/>
      <c r="R4" s="21" t="s">
        <v>99</v>
      </c>
      <c r="S4" s="21" t="s">
        <v>99</v>
      </c>
    </row>
    <row r="5" spans="1:19" x14ac:dyDescent="0.25">
      <c r="B5" s="37" t="s">
        <v>2101</v>
      </c>
      <c r="C5" s="37" t="s">
        <v>103</v>
      </c>
      <c r="D5" s="37" t="s">
        <v>1120</v>
      </c>
      <c r="E5" s="37">
        <v>110839</v>
      </c>
      <c r="F5" s="37">
        <v>1110</v>
      </c>
      <c r="G5" s="37">
        <v>12</v>
      </c>
      <c r="H5" s="37">
        <v>2</v>
      </c>
      <c r="I5" s="37" t="s">
        <v>18</v>
      </c>
      <c r="J5" s="37">
        <v>1</v>
      </c>
      <c r="K5" s="37">
        <v>0</v>
      </c>
      <c r="O5" s="2" t="s">
        <v>105</v>
      </c>
      <c r="P5" s="2"/>
      <c r="R5" s="21" t="s">
        <v>99</v>
      </c>
      <c r="S5" s="21">
        <v>360641</v>
      </c>
    </row>
    <row r="6" spans="1:19" x14ac:dyDescent="0.25">
      <c r="B6" s="37" t="s">
        <v>2110</v>
      </c>
      <c r="C6" s="37" t="s">
        <v>20</v>
      </c>
      <c r="D6" s="37" t="s">
        <v>19</v>
      </c>
      <c r="E6" s="37">
        <v>110845</v>
      </c>
      <c r="F6" s="37">
        <v>1111</v>
      </c>
      <c r="G6" s="37">
        <v>12</v>
      </c>
      <c r="H6" s="37">
        <v>2</v>
      </c>
      <c r="I6" s="37" t="s">
        <v>21</v>
      </c>
      <c r="J6" s="37">
        <v>10</v>
      </c>
      <c r="K6" s="37">
        <v>0</v>
      </c>
      <c r="O6" s="2" t="s">
        <v>105</v>
      </c>
      <c r="P6" s="2"/>
      <c r="R6" s="21" t="s">
        <v>99</v>
      </c>
      <c r="S6" s="21" t="s">
        <v>99</v>
      </c>
    </row>
    <row r="7" spans="1:19" x14ac:dyDescent="0.25">
      <c r="B7" s="37" t="s">
        <v>2138</v>
      </c>
      <c r="C7" s="37" t="s">
        <v>23</v>
      </c>
      <c r="D7" s="37" t="s">
        <v>22</v>
      </c>
      <c r="E7" s="37">
        <v>110846</v>
      </c>
      <c r="F7" s="37">
        <v>1111</v>
      </c>
      <c r="G7" s="37">
        <v>13</v>
      </c>
      <c r="H7" s="37">
        <v>2</v>
      </c>
      <c r="I7" s="37" t="s">
        <v>18</v>
      </c>
      <c r="J7" s="37">
        <v>1</v>
      </c>
      <c r="K7" s="37">
        <v>0</v>
      </c>
      <c r="O7" s="2" t="s">
        <v>105</v>
      </c>
      <c r="P7" s="2"/>
      <c r="R7" s="21" t="s">
        <v>99</v>
      </c>
      <c r="S7" s="21" t="s">
        <v>99</v>
      </c>
    </row>
    <row r="8" spans="1:19" x14ac:dyDescent="0.25">
      <c r="B8" s="37" t="s">
        <v>2111</v>
      </c>
      <c r="C8" s="37" t="s">
        <v>25</v>
      </c>
      <c r="D8" s="37" t="s">
        <v>24</v>
      </c>
      <c r="E8" s="37">
        <v>110847</v>
      </c>
      <c r="F8" s="37">
        <v>1111</v>
      </c>
      <c r="G8" s="37">
        <v>14</v>
      </c>
      <c r="H8" s="37">
        <v>2</v>
      </c>
      <c r="I8" s="37" t="s">
        <v>26</v>
      </c>
      <c r="J8" s="37">
        <v>1</v>
      </c>
      <c r="K8" s="37">
        <v>0</v>
      </c>
      <c r="O8" s="2" t="s">
        <v>105</v>
      </c>
      <c r="P8" s="2"/>
      <c r="R8" s="21" t="s">
        <v>99</v>
      </c>
      <c r="S8" s="21" t="s">
        <v>99</v>
      </c>
    </row>
    <row r="9" spans="1:19" x14ac:dyDescent="0.25">
      <c r="B9" s="37" t="s">
        <v>2100</v>
      </c>
      <c r="C9" s="37" t="s">
        <v>104</v>
      </c>
      <c r="D9" s="37" t="s">
        <v>1119</v>
      </c>
      <c r="E9" s="37">
        <v>110867</v>
      </c>
      <c r="F9" s="37">
        <v>1110</v>
      </c>
      <c r="G9" s="37">
        <v>9</v>
      </c>
      <c r="H9" s="37">
        <v>2</v>
      </c>
      <c r="I9" s="37" t="s">
        <v>26</v>
      </c>
      <c r="J9" s="37">
        <v>1</v>
      </c>
      <c r="K9" s="37">
        <v>0</v>
      </c>
      <c r="O9" s="2" t="s">
        <v>105</v>
      </c>
      <c r="P9" s="2"/>
      <c r="R9" s="21" t="s">
        <v>99</v>
      </c>
      <c r="S9" s="21">
        <v>350156</v>
      </c>
    </row>
    <row r="10" spans="1:19" x14ac:dyDescent="0.25">
      <c r="B10" s="37" t="s">
        <v>2112</v>
      </c>
      <c r="C10" s="37" t="s">
        <v>28</v>
      </c>
      <c r="D10" s="37" t="s">
        <v>27</v>
      </c>
      <c r="E10" s="37">
        <v>110887</v>
      </c>
      <c r="F10" s="37">
        <v>1111</v>
      </c>
      <c r="G10" s="37">
        <v>15</v>
      </c>
      <c r="H10" s="37">
        <v>2</v>
      </c>
      <c r="I10" s="37" t="s">
        <v>18</v>
      </c>
      <c r="J10" s="37">
        <v>1</v>
      </c>
      <c r="K10" s="37">
        <v>0</v>
      </c>
      <c r="O10" s="2" t="s">
        <v>105</v>
      </c>
      <c r="P10" s="2"/>
      <c r="R10" s="21" t="s">
        <v>99</v>
      </c>
      <c r="S10" s="21" t="s">
        <v>99</v>
      </c>
    </row>
    <row r="11" spans="1:19" x14ac:dyDescent="0.25">
      <c r="B11" s="37" t="s">
        <v>2113</v>
      </c>
      <c r="C11" s="37" t="s">
        <v>30</v>
      </c>
      <c r="D11" s="37" t="s">
        <v>29</v>
      </c>
      <c r="E11" s="37">
        <v>110889</v>
      </c>
      <c r="F11" s="37">
        <v>1111</v>
      </c>
      <c r="G11" s="37">
        <v>16</v>
      </c>
      <c r="H11" s="37">
        <v>2</v>
      </c>
      <c r="I11" s="37" t="s">
        <v>31</v>
      </c>
      <c r="J11" s="37">
        <v>10</v>
      </c>
      <c r="K11" s="37">
        <v>0</v>
      </c>
      <c r="O11" s="2" t="s">
        <v>105</v>
      </c>
      <c r="P11" s="2"/>
      <c r="R11" s="21" t="s">
        <v>99</v>
      </c>
      <c r="S11" s="21" t="s">
        <v>99</v>
      </c>
    </row>
    <row r="12" spans="1:19" x14ac:dyDescent="0.25">
      <c r="B12" s="37" t="s">
        <v>2137</v>
      </c>
      <c r="C12" s="37" t="s">
        <v>32</v>
      </c>
      <c r="D12" s="37" t="s">
        <v>1118</v>
      </c>
      <c r="E12" s="37">
        <v>110934</v>
      </c>
      <c r="F12" s="37">
        <v>1110</v>
      </c>
      <c r="G12" s="37">
        <v>1</v>
      </c>
      <c r="H12" s="37">
        <v>2</v>
      </c>
      <c r="I12" s="37" t="s">
        <v>18</v>
      </c>
      <c r="J12" s="37">
        <v>1</v>
      </c>
      <c r="K12" s="37">
        <v>0</v>
      </c>
      <c r="O12" s="2" t="s">
        <v>105</v>
      </c>
      <c r="P12" s="2"/>
      <c r="R12" s="21" t="s">
        <v>99</v>
      </c>
      <c r="S12" s="21" t="s">
        <v>99</v>
      </c>
    </row>
    <row r="13" spans="1:19" x14ac:dyDescent="0.25">
      <c r="B13" s="37" t="s">
        <v>2217</v>
      </c>
      <c r="C13" s="37" t="s">
        <v>1002</v>
      </c>
      <c r="D13" s="37" t="s">
        <v>2218</v>
      </c>
      <c r="E13" s="37">
        <v>110937</v>
      </c>
      <c r="F13" s="37">
        <v>1110</v>
      </c>
      <c r="G13" s="37">
        <v>22</v>
      </c>
      <c r="H13" s="37">
        <v>2</v>
      </c>
      <c r="I13" s="37" t="s">
        <v>120</v>
      </c>
      <c r="J13" s="37">
        <v>1000</v>
      </c>
      <c r="K13" s="37">
        <v>0</v>
      </c>
      <c r="O13" s="2" t="s">
        <v>105</v>
      </c>
      <c r="P13" s="2" t="s">
        <v>980</v>
      </c>
      <c r="R13" s="21">
        <v>413303</v>
      </c>
      <c r="S13" s="21">
        <v>451157</v>
      </c>
    </row>
    <row r="14" spans="1:19" x14ac:dyDescent="0.25">
      <c r="B14" s="37" t="s">
        <v>2136</v>
      </c>
      <c r="C14" s="37" t="s">
        <v>979</v>
      </c>
      <c r="D14" s="37" t="s">
        <v>1288</v>
      </c>
      <c r="E14" s="37">
        <v>110938</v>
      </c>
      <c r="F14" s="37">
        <v>1110</v>
      </c>
      <c r="G14" s="37">
        <v>23</v>
      </c>
      <c r="H14" s="37">
        <v>2</v>
      </c>
      <c r="I14" s="37" t="s">
        <v>26</v>
      </c>
      <c r="J14" s="37">
        <v>1</v>
      </c>
      <c r="K14" s="37">
        <v>0</v>
      </c>
      <c r="O14" s="2" t="s">
        <v>105</v>
      </c>
      <c r="P14" s="2"/>
      <c r="R14" s="21">
        <v>403835</v>
      </c>
      <c r="S14" s="21">
        <v>451156</v>
      </c>
    </row>
    <row r="15" spans="1:19" x14ac:dyDescent="0.25">
      <c r="B15" s="48" t="s">
        <v>2501</v>
      </c>
      <c r="C15" s="48" t="s">
        <v>2500</v>
      </c>
      <c r="D15" s="48" t="s">
        <v>2484</v>
      </c>
      <c r="E15" s="48">
        <v>110939</v>
      </c>
      <c r="F15" s="48">
        <v>1111</v>
      </c>
      <c r="G15" s="48">
        <v>1</v>
      </c>
      <c r="H15" s="48">
        <v>2</v>
      </c>
      <c r="I15" s="48" t="s">
        <v>18</v>
      </c>
      <c r="J15" s="48">
        <v>1</v>
      </c>
      <c r="K15" s="48">
        <v>0</v>
      </c>
      <c r="O15" s="2" t="s">
        <v>105</v>
      </c>
      <c r="P15" s="2" t="s">
        <v>2520</v>
      </c>
      <c r="R15" s="21"/>
      <c r="S15" s="21"/>
    </row>
    <row r="16" spans="1:19" x14ac:dyDescent="0.25">
      <c r="B16" s="37" t="s">
        <v>3021</v>
      </c>
      <c r="C16" s="37" t="s">
        <v>2167</v>
      </c>
      <c r="D16" s="37" t="s">
        <v>2219</v>
      </c>
      <c r="E16" s="37">
        <v>110940</v>
      </c>
      <c r="F16" s="37">
        <v>1111</v>
      </c>
      <c r="G16" s="37">
        <v>4</v>
      </c>
      <c r="H16" s="37">
        <v>2</v>
      </c>
      <c r="I16" s="37" t="s">
        <v>120</v>
      </c>
      <c r="J16" s="37">
        <v>1000</v>
      </c>
      <c r="K16" s="37">
        <v>0</v>
      </c>
      <c r="O16" s="2" t="s">
        <v>105</v>
      </c>
      <c r="P16" s="2" t="s">
        <v>2177</v>
      </c>
      <c r="R16" s="21"/>
      <c r="S16" s="21"/>
    </row>
    <row r="17" spans="2:19" x14ac:dyDescent="0.25">
      <c r="B17" s="37" t="s">
        <v>3020</v>
      </c>
      <c r="C17" s="37" t="s">
        <v>2168</v>
      </c>
      <c r="D17" s="37" t="s">
        <v>2220</v>
      </c>
      <c r="E17" s="37">
        <v>110941</v>
      </c>
      <c r="F17" s="37">
        <v>1111</v>
      </c>
      <c r="G17" s="37">
        <v>5</v>
      </c>
      <c r="H17" s="37">
        <v>2</v>
      </c>
      <c r="I17" s="37" t="s">
        <v>120</v>
      </c>
      <c r="J17" s="37">
        <v>1000</v>
      </c>
      <c r="K17" s="37">
        <v>0</v>
      </c>
      <c r="O17" s="2" t="s">
        <v>105</v>
      </c>
      <c r="P17" s="2" t="s">
        <v>2177</v>
      </c>
      <c r="R17" s="37"/>
      <c r="S17" s="37"/>
    </row>
    <row r="18" spans="2:19" x14ac:dyDescent="0.25">
      <c r="B18" s="37" t="s">
        <v>2133</v>
      </c>
      <c r="C18" s="37" t="s">
        <v>34</v>
      </c>
      <c r="D18" s="37" t="s">
        <v>33</v>
      </c>
      <c r="E18" s="37">
        <v>990126</v>
      </c>
      <c r="F18" s="37">
        <v>1112</v>
      </c>
      <c r="G18" s="37">
        <v>22</v>
      </c>
      <c r="H18" s="37">
        <v>2</v>
      </c>
      <c r="I18" s="37" t="s">
        <v>18</v>
      </c>
      <c r="J18" s="37">
        <v>1</v>
      </c>
      <c r="K18" s="37">
        <v>0</v>
      </c>
      <c r="O18" s="2" t="s">
        <v>105</v>
      </c>
      <c r="P18" s="2"/>
      <c r="R18" s="21" t="s">
        <v>99</v>
      </c>
      <c r="S18" s="21" t="s">
        <v>99</v>
      </c>
    </row>
    <row r="19" spans="2:19" x14ac:dyDescent="0.25">
      <c r="B19" s="37" t="s">
        <v>2128</v>
      </c>
      <c r="C19" s="37" t="s">
        <v>36</v>
      </c>
      <c r="D19" s="37" t="s">
        <v>35</v>
      </c>
      <c r="E19" s="37">
        <v>990129</v>
      </c>
      <c r="F19" s="37">
        <v>1112</v>
      </c>
      <c r="G19" s="37">
        <v>13</v>
      </c>
      <c r="H19" s="37">
        <v>2</v>
      </c>
      <c r="I19" s="37" t="s">
        <v>18</v>
      </c>
      <c r="J19" s="37">
        <v>1</v>
      </c>
      <c r="K19" s="37">
        <v>0</v>
      </c>
      <c r="O19" s="2" t="s">
        <v>105</v>
      </c>
      <c r="P19" s="2"/>
      <c r="R19" s="21" t="s">
        <v>99</v>
      </c>
      <c r="S19" s="21" t="s">
        <v>99</v>
      </c>
    </row>
    <row r="20" spans="2:19" x14ac:dyDescent="0.25">
      <c r="B20" s="37" t="s">
        <v>2129</v>
      </c>
      <c r="C20" s="37" t="s">
        <v>38</v>
      </c>
      <c r="D20" s="37" t="s">
        <v>37</v>
      </c>
      <c r="E20" s="37">
        <v>990131</v>
      </c>
      <c r="F20" s="37">
        <v>1112</v>
      </c>
      <c r="G20" s="37">
        <v>14</v>
      </c>
      <c r="H20" s="37">
        <v>2</v>
      </c>
      <c r="I20" s="37" t="s">
        <v>18</v>
      </c>
      <c r="J20" s="37">
        <v>1</v>
      </c>
      <c r="K20" s="37">
        <v>0</v>
      </c>
      <c r="O20" s="2" t="s">
        <v>105</v>
      </c>
      <c r="P20" s="2"/>
      <c r="R20" s="21" t="s">
        <v>99</v>
      </c>
      <c r="S20" s="21" t="s">
        <v>99</v>
      </c>
    </row>
    <row r="21" spans="2:19" x14ac:dyDescent="0.25">
      <c r="B21" s="37" t="s">
        <v>2119</v>
      </c>
      <c r="C21" s="37" t="s">
        <v>40</v>
      </c>
      <c r="D21" s="37" t="s">
        <v>39</v>
      </c>
      <c r="E21" s="37">
        <v>990135</v>
      </c>
      <c r="F21" s="37">
        <v>1111</v>
      </c>
      <c r="G21" s="37">
        <v>22</v>
      </c>
      <c r="H21" s="37">
        <v>2</v>
      </c>
      <c r="I21" s="37" t="s">
        <v>18</v>
      </c>
      <c r="J21" s="37">
        <v>1</v>
      </c>
      <c r="K21" s="37">
        <v>0</v>
      </c>
      <c r="O21" s="2" t="s">
        <v>105</v>
      </c>
      <c r="P21" s="2"/>
      <c r="R21" s="21" t="s">
        <v>99</v>
      </c>
      <c r="S21" s="21" t="s">
        <v>99</v>
      </c>
    </row>
    <row r="22" spans="2:19" x14ac:dyDescent="0.25">
      <c r="B22" s="37" t="s">
        <v>2116</v>
      </c>
      <c r="C22" s="37" t="s">
        <v>42</v>
      </c>
      <c r="D22" s="37" t="s">
        <v>41</v>
      </c>
      <c r="E22" s="37">
        <v>990136</v>
      </c>
      <c r="F22" s="37">
        <v>1111</v>
      </c>
      <c r="G22" s="37">
        <v>19</v>
      </c>
      <c r="H22" s="37">
        <v>2</v>
      </c>
      <c r="I22" s="37" t="s">
        <v>18</v>
      </c>
      <c r="J22" s="37">
        <v>1</v>
      </c>
      <c r="K22" s="37">
        <v>0</v>
      </c>
      <c r="O22" s="2" t="s">
        <v>105</v>
      </c>
      <c r="P22" s="2"/>
      <c r="R22" s="21" t="s">
        <v>99</v>
      </c>
      <c r="S22" s="21" t="s">
        <v>99</v>
      </c>
    </row>
    <row r="23" spans="2:19" x14ac:dyDescent="0.25">
      <c r="B23" s="37" t="s">
        <v>2123</v>
      </c>
      <c r="C23" s="37" t="s">
        <v>44</v>
      </c>
      <c r="D23" s="37" t="s">
        <v>43</v>
      </c>
      <c r="E23" s="37">
        <v>990138</v>
      </c>
      <c r="F23" s="37">
        <v>1112</v>
      </c>
      <c r="G23" s="37">
        <v>1</v>
      </c>
      <c r="H23" s="37">
        <v>2</v>
      </c>
      <c r="I23" s="37" t="s">
        <v>18</v>
      </c>
      <c r="J23" s="37">
        <v>1</v>
      </c>
      <c r="K23" s="37">
        <v>0</v>
      </c>
      <c r="O23" s="2" t="s">
        <v>105</v>
      </c>
      <c r="P23" s="2"/>
      <c r="R23" s="21" t="s">
        <v>99</v>
      </c>
      <c r="S23" s="21" t="s">
        <v>99</v>
      </c>
    </row>
    <row r="24" spans="2:19" x14ac:dyDescent="0.25">
      <c r="B24" s="37" t="s">
        <v>2118</v>
      </c>
      <c r="C24" s="37" t="s">
        <v>46</v>
      </c>
      <c r="D24" s="37" t="s">
        <v>45</v>
      </c>
      <c r="E24" s="37">
        <v>990154</v>
      </c>
      <c r="F24" s="37">
        <v>1111</v>
      </c>
      <c r="G24" s="37">
        <v>21</v>
      </c>
      <c r="H24" s="37">
        <v>2</v>
      </c>
      <c r="I24" s="37" t="s">
        <v>18</v>
      </c>
      <c r="J24" s="37">
        <v>1</v>
      </c>
      <c r="K24" s="37">
        <v>0</v>
      </c>
      <c r="O24" s="2" t="s">
        <v>105</v>
      </c>
      <c r="P24" s="2"/>
      <c r="R24" s="21" t="s">
        <v>99</v>
      </c>
      <c r="S24" s="21" t="s">
        <v>99</v>
      </c>
    </row>
    <row r="25" spans="2:19" x14ac:dyDescent="0.25">
      <c r="B25" s="37" t="s">
        <v>2115</v>
      </c>
      <c r="C25" s="37" t="s">
        <v>48</v>
      </c>
      <c r="D25" s="37" t="s">
        <v>47</v>
      </c>
      <c r="E25" s="37">
        <v>990155</v>
      </c>
      <c r="F25" s="37">
        <v>1111</v>
      </c>
      <c r="G25" s="37">
        <v>18</v>
      </c>
      <c r="H25" s="37">
        <v>2</v>
      </c>
      <c r="I25" s="37" t="s">
        <v>18</v>
      </c>
      <c r="J25" s="37">
        <v>1</v>
      </c>
      <c r="K25" s="37">
        <v>0</v>
      </c>
      <c r="O25" s="2" t="s">
        <v>105</v>
      </c>
      <c r="P25" s="2"/>
      <c r="R25" s="21" t="s">
        <v>99</v>
      </c>
      <c r="S25" s="21" t="s">
        <v>99</v>
      </c>
    </row>
    <row r="26" spans="2:19" x14ac:dyDescent="0.25">
      <c r="B26" s="37" t="s">
        <v>2097</v>
      </c>
      <c r="C26" s="37" t="s">
        <v>50</v>
      </c>
      <c r="D26" s="37" t="s">
        <v>49</v>
      </c>
      <c r="E26" s="37">
        <v>990168</v>
      </c>
      <c r="F26" s="37">
        <v>1110</v>
      </c>
      <c r="G26" s="37">
        <v>0</v>
      </c>
      <c r="H26" s="37">
        <v>2</v>
      </c>
      <c r="I26" s="37" t="s">
        <v>18</v>
      </c>
      <c r="J26" s="37">
        <v>1</v>
      </c>
      <c r="K26" s="37">
        <v>0</v>
      </c>
      <c r="O26" s="2" t="s">
        <v>105</v>
      </c>
      <c r="P26" s="2"/>
      <c r="R26" s="21" t="s">
        <v>99</v>
      </c>
      <c r="S26" s="21" t="s">
        <v>99</v>
      </c>
    </row>
    <row r="27" spans="2:19" x14ac:dyDescent="0.25">
      <c r="B27" s="37" t="s">
        <v>2124</v>
      </c>
      <c r="C27" s="37" t="s">
        <v>52</v>
      </c>
      <c r="D27" s="37" t="s">
        <v>51</v>
      </c>
      <c r="E27" s="37">
        <v>990169</v>
      </c>
      <c r="F27" s="37">
        <v>1112</v>
      </c>
      <c r="G27" s="37">
        <v>2</v>
      </c>
      <c r="H27" s="37">
        <v>2</v>
      </c>
      <c r="I27" s="37" t="s">
        <v>18</v>
      </c>
      <c r="J27" s="37">
        <v>1</v>
      </c>
      <c r="K27" s="37">
        <v>0</v>
      </c>
      <c r="O27" s="2" t="s">
        <v>105</v>
      </c>
      <c r="P27" s="2"/>
      <c r="R27" s="21" t="s">
        <v>99</v>
      </c>
      <c r="S27" s="21" t="s">
        <v>99</v>
      </c>
    </row>
    <row r="28" spans="2:19" x14ac:dyDescent="0.25">
      <c r="B28" s="37" t="s">
        <v>2135</v>
      </c>
      <c r="C28" s="37" t="s">
        <v>54</v>
      </c>
      <c r="D28" s="37" t="s">
        <v>53</v>
      </c>
      <c r="E28" s="37">
        <v>990171</v>
      </c>
      <c r="F28" s="37">
        <v>1112</v>
      </c>
      <c r="G28" s="37">
        <v>24</v>
      </c>
      <c r="H28" s="37">
        <v>2</v>
      </c>
      <c r="I28" s="37" t="s">
        <v>18</v>
      </c>
      <c r="J28" s="37">
        <v>1</v>
      </c>
      <c r="K28" s="37">
        <v>0</v>
      </c>
      <c r="M28" s="37"/>
      <c r="N28" s="37"/>
      <c r="O28" s="2" t="s">
        <v>105</v>
      </c>
      <c r="P28" s="2"/>
      <c r="R28" s="21" t="s">
        <v>99</v>
      </c>
      <c r="S28" s="21" t="s">
        <v>99</v>
      </c>
    </row>
    <row r="29" spans="2:19" x14ac:dyDescent="0.25">
      <c r="B29" s="37" t="s">
        <v>2121</v>
      </c>
      <c r="C29" s="37" t="s">
        <v>56</v>
      </c>
      <c r="D29" s="37" t="s">
        <v>55</v>
      </c>
      <c r="E29" s="37">
        <v>990172</v>
      </c>
      <c r="F29" s="37">
        <v>1111</v>
      </c>
      <c r="G29" s="37">
        <v>24</v>
      </c>
      <c r="H29" s="37">
        <v>2</v>
      </c>
      <c r="I29" s="37" t="s">
        <v>18</v>
      </c>
      <c r="J29" s="37">
        <v>1</v>
      </c>
      <c r="K29" s="37">
        <v>0</v>
      </c>
      <c r="M29" s="37"/>
      <c r="N29" s="37"/>
      <c r="O29" s="2" t="s">
        <v>105</v>
      </c>
      <c r="P29" s="2"/>
      <c r="R29" s="21" t="s">
        <v>99</v>
      </c>
      <c r="S29" s="21">
        <v>350151</v>
      </c>
    </row>
    <row r="30" spans="2:19" x14ac:dyDescent="0.25">
      <c r="B30" s="37" t="s">
        <v>2120</v>
      </c>
      <c r="C30" s="37" t="s">
        <v>58</v>
      </c>
      <c r="D30" s="37" t="s">
        <v>57</v>
      </c>
      <c r="E30" s="37">
        <v>990174</v>
      </c>
      <c r="F30" s="37">
        <v>1111</v>
      </c>
      <c r="G30" s="37">
        <v>23</v>
      </c>
      <c r="H30" s="37">
        <v>2</v>
      </c>
      <c r="I30" s="37" t="s">
        <v>18</v>
      </c>
      <c r="J30" s="37">
        <v>1</v>
      </c>
      <c r="K30" s="37">
        <v>0</v>
      </c>
      <c r="M30" s="37"/>
      <c r="N30" s="37"/>
      <c r="O30" s="2" t="s">
        <v>105</v>
      </c>
      <c r="P30" s="2"/>
      <c r="R30" s="21" t="s">
        <v>99</v>
      </c>
      <c r="S30" s="21">
        <v>360692</v>
      </c>
    </row>
    <row r="31" spans="2:19" x14ac:dyDescent="0.25">
      <c r="B31" s="37" t="s">
        <v>2134</v>
      </c>
      <c r="C31" s="37" t="s">
        <v>60</v>
      </c>
      <c r="D31" s="37" t="s">
        <v>59</v>
      </c>
      <c r="E31" s="37">
        <v>990175</v>
      </c>
      <c r="F31" s="37">
        <v>1112</v>
      </c>
      <c r="G31" s="37">
        <v>23</v>
      </c>
      <c r="H31" s="37">
        <v>2</v>
      </c>
      <c r="I31" s="37" t="s">
        <v>18</v>
      </c>
      <c r="J31" s="37">
        <v>1</v>
      </c>
      <c r="K31" s="37">
        <v>0</v>
      </c>
      <c r="M31" s="37"/>
      <c r="N31" s="37"/>
      <c r="O31" s="2" t="s">
        <v>105</v>
      </c>
      <c r="P31" s="2"/>
      <c r="R31" s="21" t="s">
        <v>99</v>
      </c>
      <c r="S31" s="21" t="s">
        <v>99</v>
      </c>
    </row>
    <row r="32" spans="2:19" x14ac:dyDescent="0.25">
      <c r="B32" s="37" t="s">
        <v>2122</v>
      </c>
      <c r="C32" s="37" t="s">
        <v>62</v>
      </c>
      <c r="D32" s="37" t="s">
        <v>61</v>
      </c>
      <c r="E32" s="37">
        <v>990176</v>
      </c>
      <c r="F32" s="37">
        <v>1112</v>
      </c>
      <c r="G32" s="37">
        <v>0</v>
      </c>
      <c r="H32" s="37">
        <v>2</v>
      </c>
      <c r="I32" s="37" t="s">
        <v>18</v>
      </c>
      <c r="J32" s="37">
        <v>1</v>
      </c>
      <c r="K32" s="37">
        <v>0</v>
      </c>
      <c r="M32" s="37"/>
      <c r="N32" s="37"/>
      <c r="O32" s="2" t="s">
        <v>105</v>
      </c>
      <c r="P32" s="2"/>
      <c r="R32" s="21" t="s">
        <v>99</v>
      </c>
      <c r="S32" s="21" t="s">
        <v>99</v>
      </c>
    </row>
    <row r="33" spans="2:19" x14ac:dyDescent="0.25">
      <c r="B33" s="37" t="s">
        <v>2125</v>
      </c>
      <c r="C33" s="37" t="s">
        <v>64</v>
      </c>
      <c r="D33" s="37" t="s">
        <v>63</v>
      </c>
      <c r="E33" s="37">
        <v>990177</v>
      </c>
      <c r="F33" s="37">
        <v>1112</v>
      </c>
      <c r="G33" s="37">
        <v>3</v>
      </c>
      <c r="H33" s="37">
        <v>2</v>
      </c>
      <c r="I33" s="37" t="s">
        <v>18</v>
      </c>
      <c r="J33" s="37">
        <v>1</v>
      </c>
      <c r="K33" s="37">
        <v>0</v>
      </c>
      <c r="M33" s="37"/>
      <c r="N33" s="37"/>
      <c r="O33" s="2" t="s">
        <v>105</v>
      </c>
      <c r="P33" s="2"/>
      <c r="R33" s="21" t="s">
        <v>99</v>
      </c>
      <c r="S33" s="21" t="s">
        <v>99</v>
      </c>
    </row>
    <row r="34" spans="2:19" x14ac:dyDescent="0.25">
      <c r="B34" s="37" t="s">
        <v>2126</v>
      </c>
      <c r="C34" s="37" t="s">
        <v>66</v>
      </c>
      <c r="D34" s="37" t="s">
        <v>65</v>
      </c>
      <c r="E34" s="37">
        <v>990178</v>
      </c>
      <c r="F34" s="37">
        <v>1112</v>
      </c>
      <c r="G34" s="37">
        <v>11</v>
      </c>
      <c r="H34" s="37">
        <v>2</v>
      </c>
      <c r="I34" s="37" t="s">
        <v>18</v>
      </c>
      <c r="J34" s="37">
        <v>1</v>
      </c>
      <c r="K34" s="37">
        <v>0</v>
      </c>
      <c r="M34" s="37"/>
      <c r="N34" s="37"/>
      <c r="O34" s="2" t="s">
        <v>105</v>
      </c>
      <c r="P34" s="2"/>
      <c r="R34" s="21" t="s">
        <v>99</v>
      </c>
      <c r="S34" s="21" t="s">
        <v>99</v>
      </c>
    </row>
    <row r="35" spans="2:19" x14ac:dyDescent="0.25">
      <c r="B35" s="37" t="s">
        <v>2103</v>
      </c>
      <c r="C35" s="37" t="s">
        <v>68</v>
      </c>
      <c r="D35" s="37" t="s">
        <v>67</v>
      </c>
      <c r="E35" s="37">
        <v>990179</v>
      </c>
      <c r="F35" s="37">
        <v>1110</v>
      </c>
      <c r="G35" s="37">
        <v>15</v>
      </c>
      <c r="H35" s="37">
        <v>2</v>
      </c>
      <c r="I35" s="37" t="s">
        <v>18</v>
      </c>
      <c r="J35" s="37">
        <v>1</v>
      </c>
      <c r="K35" s="37">
        <v>0</v>
      </c>
      <c r="M35" s="37"/>
      <c r="N35" s="37"/>
      <c r="O35" s="2" t="s">
        <v>105</v>
      </c>
      <c r="P35" s="2"/>
      <c r="R35" s="21" t="s">
        <v>99</v>
      </c>
      <c r="S35" s="21" t="s">
        <v>99</v>
      </c>
    </row>
    <row r="36" spans="2:19" x14ac:dyDescent="0.25">
      <c r="B36" s="37" t="s">
        <v>2104</v>
      </c>
      <c r="C36" s="37" t="s">
        <v>70</v>
      </c>
      <c r="D36" s="37" t="s">
        <v>69</v>
      </c>
      <c r="E36" s="37">
        <v>990180</v>
      </c>
      <c r="F36" s="37">
        <v>1110</v>
      </c>
      <c r="G36" s="37">
        <v>16</v>
      </c>
      <c r="H36" s="37">
        <v>2</v>
      </c>
      <c r="I36" s="37" t="s">
        <v>18</v>
      </c>
      <c r="J36" s="37">
        <v>1</v>
      </c>
      <c r="K36" s="37">
        <v>0</v>
      </c>
      <c r="M36" s="37"/>
      <c r="N36" s="37"/>
      <c r="O36" s="2" t="s">
        <v>105</v>
      </c>
      <c r="P36" s="2"/>
      <c r="R36" s="21" t="s">
        <v>99</v>
      </c>
      <c r="S36" s="21" t="s">
        <v>99</v>
      </c>
    </row>
    <row r="37" spans="2:19" x14ac:dyDescent="0.25">
      <c r="B37" s="37" t="s">
        <v>2105</v>
      </c>
      <c r="C37" s="37" t="s">
        <v>72</v>
      </c>
      <c r="D37" s="37" t="s">
        <v>71</v>
      </c>
      <c r="E37" s="37">
        <v>990181</v>
      </c>
      <c r="F37" s="37">
        <v>1110</v>
      </c>
      <c r="G37" s="37">
        <v>17</v>
      </c>
      <c r="H37" s="37">
        <v>2</v>
      </c>
      <c r="I37" s="37" t="s">
        <v>18</v>
      </c>
      <c r="J37" s="37">
        <v>1</v>
      </c>
      <c r="K37" s="37">
        <v>0</v>
      </c>
      <c r="M37" s="37"/>
      <c r="N37" s="37"/>
      <c r="O37" s="2" t="s">
        <v>105</v>
      </c>
      <c r="P37" s="2"/>
      <c r="R37" s="21" t="s">
        <v>99</v>
      </c>
      <c r="S37" s="21" t="s">
        <v>99</v>
      </c>
    </row>
    <row r="38" spans="2:19" x14ac:dyDescent="0.25">
      <c r="B38" s="37" t="s">
        <v>2106</v>
      </c>
      <c r="C38" s="37" t="s">
        <v>74</v>
      </c>
      <c r="D38" s="37" t="s">
        <v>73</v>
      </c>
      <c r="E38" s="37">
        <v>990182</v>
      </c>
      <c r="F38" s="37">
        <v>1110</v>
      </c>
      <c r="G38" s="37">
        <v>18</v>
      </c>
      <c r="H38" s="37">
        <v>2</v>
      </c>
      <c r="I38" s="37" t="s">
        <v>18</v>
      </c>
      <c r="J38" s="37">
        <v>1</v>
      </c>
      <c r="K38" s="37">
        <v>0</v>
      </c>
      <c r="M38" s="37"/>
      <c r="N38" s="37"/>
      <c r="O38" s="2" t="s">
        <v>105</v>
      </c>
      <c r="P38" s="2"/>
      <c r="R38" s="21" t="s">
        <v>99</v>
      </c>
      <c r="S38" s="21" t="s">
        <v>99</v>
      </c>
    </row>
    <row r="39" spans="2:19" x14ac:dyDescent="0.25">
      <c r="B39" s="37" t="s">
        <v>2130</v>
      </c>
      <c r="C39" s="37" t="s">
        <v>76</v>
      </c>
      <c r="D39" s="37" t="s">
        <v>75</v>
      </c>
      <c r="E39" s="37">
        <v>990214</v>
      </c>
      <c r="F39" s="37">
        <v>1112</v>
      </c>
      <c r="G39" s="37">
        <v>19</v>
      </c>
      <c r="H39" s="37">
        <v>2</v>
      </c>
      <c r="I39" s="37" t="s">
        <v>18</v>
      </c>
      <c r="J39" s="37">
        <v>1</v>
      </c>
      <c r="K39" s="37">
        <v>0</v>
      </c>
      <c r="M39" s="37"/>
      <c r="N39" s="37"/>
      <c r="O39" s="2" t="s">
        <v>105</v>
      </c>
      <c r="P39" s="2"/>
      <c r="R39" s="21" t="s">
        <v>99</v>
      </c>
      <c r="S39" s="21" t="s">
        <v>99</v>
      </c>
    </row>
    <row r="40" spans="2:19" x14ac:dyDescent="0.25">
      <c r="B40" s="37" t="s">
        <v>2161</v>
      </c>
      <c r="C40" s="37" t="s">
        <v>78</v>
      </c>
      <c r="D40" s="37" t="s">
        <v>77</v>
      </c>
      <c r="E40" s="37">
        <v>990215</v>
      </c>
      <c r="F40" s="37">
        <v>1110</v>
      </c>
      <c r="G40" s="37">
        <v>13</v>
      </c>
      <c r="H40" s="37">
        <v>2</v>
      </c>
      <c r="I40" s="37" t="s">
        <v>18</v>
      </c>
      <c r="J40" s="37">
        <v>1</v>
      </c>
      <c r="K40" s="37">
        <v>0</v>
      </c>
      <c r="M40" s="37"/>
      <c r="N40" s="37"/>
      <c r="O40" s="2" t="s">
        <v>105</v>
      </c>
      <c r="P40" s="2"/>
      <c r="R40" s="21" t="s">
        <v>99</v>
      </c>
      <c r="S40" s="21" t="s">
        <v>99</v>
      </c>
    </row>
    <row r="41" spans="2:19" x14ac:dyDescent="0.25">
      <c r="B41" s="37" t="s">
        <v>2127</v>
      </c>
      <c r="C41" s="37" t="s">
        <v>80</v>
      </c>
      <c r="D41" s="37" t="s">
        <v>79</v>
      </c>
      <c r="E41" s="37">
        <v>990225</v>
      </c>
      <c r="F41" s="37">
        <v>1112</v>
      </c>
      <c r="G41" s="37">
        <v>12</v>
      </c>
      <c r="H41" s="37">
        <v>2</v>
      </c>
      <c r="I41" s="37" t="s">
        <v>18</v>
      </c>
      <c r="J41" s="37">
        <v>1</v>
      </c>
      <c r="K41" s="37">
        <v>0</v>
      </c>
      <c r="M41" s="37"/>
      <c r="N41" s="37"/>
      <c r="O41" s="2" t="s">
        <v>105</v>
      </c>
      <c r="P41" s="2" t="s">
        <v>995</v>
      </c>
      <c r="R41" s="21" t="s">
        <v>99</v>
      </c>
      <c r="S41" s="21" t="s">
        <v>99</v>
      </c>
    </row>
    <row r="42" spans="2:19" x14ac:dyDescent="0.25">
      <c r="B42" s="37" t="s">
        <v>2117</v>
      </c>
      <c r="C42" s="37" t="s">
        <v>82</v>
      </c>
      <c r="D42" s="37" t="s">
        <v>81</v>
      </c>
      <c r="E42" s="37">
        <v>990400</v>
      </c>
      <c r="F42" s="37">
        <v>1111</v>
      </c>
      <c r="G42" s="37">
        <v>20</v>
      </c>
      <c r="H42" s="37">
        <v>2</v>
      </c>
      <c r="I42" s="37" t="s">
        <v>18</v>
      </c>
      <c r="J42" s="37">
        <v>1</v>
      </c>
      <c r="K42" s="37">
        <v>0</v>
      </c>
      <c r="M42" s="37"/>
      <c r="N42" s="37"/>
      <c r="O42" s="2" t="s">
        <v>105</v>
      </c>
      <c r="P42" s="2"/>
      <c r="R42" s="21" t="s">
        <v>99</v>
      </c>
      <c r="S42" s="21" t="s">
        <v>99</v>
      </c>
    </row>
    <row r="43" spans="2:19" x14ac:dyDescent="0.25">
      <c r="B43" s="37" t="s">
        <v>2098</v>
      </c>
      <c r="C43" s="37" t="s">
        <v>958</v>
      </c>
      <c r="D43" s="37" t="s">
        <v>2139</v>
      </c>
      <c r="E43" s="37">
        <v>990470</v>
      </c>
      <c r="F43" s="37">
        <v>1110</v>
      </c>
      <c r="G43" s="37">
        <v>7</v>
      </c>
      <c r="H43" s="37">
        <v>2</v>
      </c>
      <c r="I43" s="37" t="s">
        <v>26</v>
      </c>
      <c r="J43" s="37">
        <v>1</v>
      </c>
      <c r="K43" s="37">
        <v>1</v>
      </c>
      <c r="M43" s="37"/>
      <c r="N43" s="37"/>
      <c r="O43" s="2" t="s">
        <v>105</v>
      </c>
      <c r="P43" s="2" t="s">
        <v>978</v>
      </c>
      <c r="R43" s="21" t="s">
        <v>99</v>
      </c>
      <c r="S43" s="21">
        <v>360673</v>
      </c>
    </row>
    <row r="44" spans="2:19" x14ac:dyDescent="0.25">
      <c r="B44" s="37" t="s">
        <v>2099</v>
      </c>
      <c r="C44" s="37" t="s">
        <v>959</v>
      </c>
      <c r="D44" s="37" t="s">
        <v>2140</v>
      </c>
      <c r="E44" s="37">
        <v>990471</v>
      </c>
      <c r="F44" s="37">
        <v>1110</v>
      </c>
      <c r="G44" s="37">
        <v>8</v>
      </c>
      <c r="H44" s="37">
        <v>2</v>
      </c>
      <c r="I44" s="37" t="s">
        <v>26</v>
      </c>
      <c r="J44" s="37">
        <v>1</v>
      </c>
      <c r="K44" s="37">
        <v>1</v>
      </c>
      <c r="M44" s="37"/>
      <c r="N44" s="37"/>
      <c r="O44" s="2" t="s">
        <v>105</v>
      </c>
      <c r="P44" s="2"/>
      <c r="R44" s="21" t="s">
        <v>99</v>
      </c>
      <c r="S44" s="21">
        <v>360675</v>
      </c>
    </row>
    <row r="45" spans="2:19" x14ac:dyDescent="0.25">
      <c r="B45" s="37" t="s">
        <v>2114</v>
      </c>
      <c r="C45" s="37" t="s">
        <v>84</v>
      </c>
      <c r="D45" s="37" t="s">
        <v>83</v>
      </c>
      <c r="E45" s="37">
        <v>990600</v>
      </c>
      <c r="F45" s="37">
        <v>1111</v>
      </c>
      <c r="G45" s="37">
        <v>17</v>
      </c>
      <c r="H45" s="37">
        <v>2</v>
      </c>
      <c r="I45" s="37" t="s">
        <v>26</v>
      </c>
      <c r="J45" s="37">
        <v>1</v>
      </c>
      <c r="K45" s="37">
        <v>0</v>
      </c>
      <c r="M45" s="37"/>
      <c r="N45" s="37"/>
      <c r="O45" s="2" t="s">
        <v>105</v>
      </c>
      <c r="P45" s="2"/>
      <c r="R45" s="21" t="s">
        <v>99</v>
      </c>
      <c r="S45" s="21" t="s">
        <v>99</v>
      </c>
    </row>
    <row r="46" spans="2:19" x14ac:dyDescent="0.25">
      <c r="B46" s="37" t="s">
        <v>2131</v>
      </c>
      <c r="C46" s="37" t="s">
        <v>86</v>
      </c>
      <c r="D46" s="37" t="s">
        <v>85</v>
      </c>
      <c r="E46" s="37">
        <v>990800</v>
      </c>
      <c r="F46" s="37">
        <v>1112</v>
      </c>
      <c r="G46" s="37">
        <v>20</v>
      </c>
      <c r="H46" s="37">
        <v>2</v>
      </c>
      <c r="I46" s="37" t="s">
        <v>26</v>
      </c>
      <c r="J46" s="37">
        <v>1</v>
      </c>
      <c r="K46" s="37">
        <v>0</v>
      </c>
      <c r="M46" s="37"/>
      <c r="N46" s="37"/>
      <c r="O46" s="24" t="s">
        <v>105</v>
      </c>
      <c r="P46" s="24"/>
      <c r="R46" s="21" t="s">
        <v>99</v>
      </c>
      <c r="S46" s="21" t="s">
        <v>99</v>
      </c>
    </row>
    <row r="47" spans="2:19" x14ac:dyDescent="0.25">
      <c r="B47" s="37" t="s">
        <v>2132</v>
      </c>
      <c r="C47" s="37" t="s">
        <v>88</v>
      </c>
      <c r="D47" s="37" t="s">
        <v>87</v>
      </c>
      <c r="E47" s="37">
        <v>990801</v>
      </c>
      <c r="F47" s="37">
        <v>1112</v>
      </c>
      <c r="G47" s="37">
        <v>21</v>
      </c>
      <c r="H47" s="37">
        <v>2</v>
      </c>
      <c r="I47" s="37" t="s">
        <v>26</v>
      </c>
      <c r="J47" s="37">
        <v>1</v>
      </c>
      <c r="K47" s="37">
        <v>0</v>
      </c>
      <c r="M47" s="37"/>
      <c r="N47" s="37"/>
      <c r="O47" s="2" t="s">
        <v>105</v>
      </c>
      <c r="P47" s="2"/>
      <c r="R47" s="21" t="s">
        <v>99</v>
      </c>
      <c r="S47" s="21" t="s">
        <v>99</v>
      </c>
    </row>
    <row r="48" spans="2:19" x14ac:dyDescent="0.25">
      <c r="B48" s="37" t="s">
        <v>2108</v>
      </c>
      <c r="C48" s="37" t="s">
        <v>90</v>
      </c>
      <c r="D48" s="37" t="s">
        <v>89</v>
      </c>
      <c r="E48" s="37">
        <v>990808</v>
      </c>
      <c r="F48" s="37">
        <v>1111</v>
      </c>
      <c r="G48" s="37">
        <v>10</v>
      </c>
      <c r="H48" s="37">
        <v>2</v>
      </c>
      <c r="I48" s="37" t="s">
        <v>18</v>
      </c>
      <c r="J48" s="37">
        <v>1</v>
      </c>
      <c r="K48" s="37">
        <v>0</v>
      </c>
      <c r="M48" s="37"/>
      <c r="N48" s="37"/>
      <c r="O48" s="2" t="s">
        <v>105</v>
      </c>
      <c r="P48" s="2"/>
      <c r="R48" s="21" t="s">
        <v>99</v>
      </c>
      <c r="S48" s="21">
        <v>350145</v>
      </c>
    </row>
    <row r="49" spans="2:19" x14ac:dyDescent="0.25">
      <c r="B49" s="37" t="s">
        <v>2109</v>
      </c>
      <c r="C49" s="37" t="s">
        <v>92</v>
      </c>
      <c r="D49" s="37" t="s">
        <v>91</v>
      </c>
      <c r="E49" s="37">
        <v>990809</v>
      </c>
      <c r="F49" s="37">
        <v>1111</v>
      </c>
      <c r="G49" s="37">
        <v>11</v>
      </c>
      <c r="H49" s="37">
        <v>2</v>
      </c>
      <c r="I49" s="37" t="s">
        <v>18</v>
      </c>
      <c r="J49" s="37">
        <v>1</v>
      </c>
      <c r="K49" s="37">
        <v>0</v>
      </c>
      <c r="M49" s="37"/>
      <c r="N49" s="37"/>
      <c r="O49" s="2" t="s">
        <v>105</v>
      </c>
      <c r="P49" s="2"/>
      <c r="R49" s="21" t="s">
        <v>99</v>
      </c>
      <c r="S49" s="21">
        <v>350147</v>
      </c>
    </row>
    <row r="50" spans="2:19" x14ac:dyDescent="0.25">
      <c r="B50" s="47" t="s">
        <v>2102</v>
      </c>
      <c r="C50" s="47" t="s">
        <v>94</v>
      </c>
      <c r="D50" s="47" t="s">
        <v>93</v>
      </c>
      <c r="E50" s="47">
        <v>990844</v>
      </c>
      <c r="F50" s="47">
        <v>1110</v>
      </c>
      <c r="G50" s="47">
        <v>14</v>
      </c>
      <c r="H50" s="47">
        <v>2</v>
      </c>
      <c r="I50" s="47" t="s">
        <v>26</v>
      </c>
      <c r="J50" s="47">
        <v>1</v>
      </c>
      <c r="K50" s="47">
        <v>0</v>
      </c>
      <c r="M50" s="37"/>
      <c r="N50" s="37"/>
      <c r="O50" s="24" t="s">
        <v>105</v>
      </c>
      <c r="P50" s="24"/>
      <c r="R50" s="21" t="s">
        <v>99</v>
      </c>
      <c r="S50" s="21" t="s">
        <v>99</v>
      </c>
    </row>
    <row r="51" spans="2:19" x14ac:dyDescent="0.25">
      <c r="B51" s="37" t="s">
        <v>3295</v>
      </c>
      <c r="C51" s="37" t="s">
        <v>2766</v>
      </c>
      <c r="D51" s="37" t="s">
        <v>2765</v>
      </c>
      <c r="E51" s="37">
        <v>990184</v>
      </c>
      <c r="F51" s="37">
        <v>1111</v>
      </c>
      <c r="G51" s="37">
        <v>3</v>
      </c>
      <c r="H51" s="37">
        <v>2</v>
      </c>
      <c r="I51" s="37" t="s">
        <v>18</v>
      </c>
      <c r="J51" s="37">
        <v>1</v>
      </c>
      <c r="K51" s="37">
        <v>0</v>
      </c>
      <c r="M51" s="37"/>
      <c r="N51" s="37"/>
      <c r="O51" s="24" t="s">
        <v>105</v>
      </c>
      <c r="P51" s="37" t="s">
        <v>2774</v>
      </c>
    </row>
    <row r="52" spans="2:19" x14ac:dyDescent="0.25">
      <c r="B52" s="37" t="s">
        <v>3296</v>
      </c>
      <c r="C52" s="37" t="s">
        <v>2767</v>
      </c>
      <c r="D52" s="37" t="s">
        <v>3407</v>
      </c>
      <c r="E52" s="37">
        <v>990185</v>
      </c>
      <c r="F52" s="37">
        <v>1112</v>
      </c>
      <c r="G52" s="37">
        <v>4</v>
      </c>
      <c r="H52" s="37">
        <v>2</v>
      </c>
      <c r="I52" s="37" t="s">
        <v>18</v>
      </c>
      <c r="J52" s="37">
        <v>1</v>
      </c>
      <c r="K52" s="37">
        <v>0</v>
      </c>
      <c r="M52" s="37"/>
      <c r="N52" s="37"/>
      <c r="O52" s="24" t="s">
        <v>105</v>
      </c>
      <c r="P52" s="37" t="s">
        <v>2774</v>
      </c>
    </row>
    <row r="53" spans="2:19" x14ac:dyDescent="0.25">
      <c r="B53" s="37" t="s">
        <v>2768</v>
      </c>
      <c r="C53" s="37" t="s">
        <v>3039</v>
      </c>
      <c r="D53" s="37" t="s">
        <v>3408</v>
      </c>
      <c r="E53" s="37">
        <v>990186</v>
      </c>
      <c r="F53" s="37">
        <v>1112</v>
      </c>
      <c r="G53" s="37">
        <v>5</v>
      </c>
      <c r="H53" s="37">
        <v>2</v>
      </c>
      <c r="I53" s="37" t="s">
        <v>26</v>
      </c>
      <c r="J53" s="37">
        <v>1</v>
      </c>
      <c r="K53" s="37">
        <v>0</v>
      </c>
      <c r="M53" s="37"/>
      <c r="N53" s="37"/>
      <c r="O53" s="24" t="s">
        <v>105</v>
      </c>
      <c r="P53" s="37" t="s">
        <v>2781</v>
      </c>
    </row>
    <row r="54" spans="2:19" x14ac:dyDescent="0.25">
      <c r="B54" s="37" t="s">
        <v>2769</v>
      </c>
      <c r="C54" s="37" t="s">
        <v>3040</v>
      </c>
      <c r="D54" s="37" t="s">
        <v>3409</v>
      </c>
      <c r="E54" s="37">
        <v>990187</v>
      </c>
      <c r="F54" s="37">
        <v>1112</v>
      </c>
      <c r="G54" s="37">
        <v>6</v>
      </c>
      <c r="H54" s="37">
        <v>2</v>
      </c>
      <c r="I54" s="37" t="s">
        <v>210</v>
      </c>
      <c r="J54" s="37">
        <v>100</v>
      </c>
      <c r="K54" s="37">
        <v>0</v>
      </c>
      <c r="M54" s="37"/>
      <c r="N54" s="37"/>
      <c r="O54" s="24" t="s">
        <v>105</v>
      </c>
      <c r="P54" s="37" t="s">
        <v>2781</v>
      </c>
    </row>
    <row r="55" spans="2:19" x14ac:dyDescent="0.25">
      <c r="B55" s="37" t="s">
        <v>2770</v>
      </c>
      <c r="C55" s="37" t="s">
        <v>3041</v>
      </c>
      <c r="D55" s="37" t="s">
        <v>3410</v>
      </c>
      <c r="E55" s="37">
        <v>990188</v>
      </c>
      <c r="F55" s="37">
        <v>1112</v>
      </c>
      <c r="G55" s="37">
        <v>7</v>
      </c>
      <c r="H55" s="37">
        <v>2</v>
      </c>
      <c r="I55" s="37" t="s">
        <v>210</v>
      </c>
      <c r="J55" s="37">
        <v>100</v>
      </c>
      <c r="K55" s="37">
        <v>0</v>
      </c>
      <c r="M55" s="37"/>
      <c r="N55" s="37"/>
      <c r="O55" s="24" t="s">
        <v>105</v>
      </c>
      <c r="P55" s="37" t="s">
        <v>2781</v>
      </c>
    </row>
    <row r="56" spans="2:19" x14ac:dyDescent="0.25">
      <c r="B56" s="37" t="s">
        <v>2771</v>
      </c>
      <c r="C56" s="37" t="s">
        <v>2772</v>
      </c>
      <c r="D56" s="37" t="s">
        <v>2773</v>
      </c>
      <c r="E56" s="37">
        <v>990183</v>
      </c>
      <c r="F56" s="37">
        <v>1111</v>
      </c>
      <c r="G56" s="37">
        <v>2</v>
      </c>
      <c r="H56" s="37">
        <v>2</v>
      </c>
      <c r="I56" s="37" t="s">
        <v>18</v>
      </c>
      <c r="J56" s="37">
        <v>1</v>
      </c>
      <c r="K56" s="37">
        <v>0</v>
      </c>
      <c r="M56" s="37"/>
      <c r="N56" s="37"/>
      <c r="O56" s="2" t="s">
        <v>105</v>
      </c>
      <c r="P56" s="37" t="s">
        <v>3007</v>
      </c>
    </row>
  </sheetData>
  <autoFilter ref="B3:P50" xr:uid="{00000000-0009-0000-0000-000003000000}"/>
  <sortState xmlns:xlrd2="http://schemas.microsoft.com/office/spreadsheetml/2017/richdata2" ref="C4:T49">
    <sortCondition ref="E4:E49"/>
  </sortState>
  <phoneticPr fontId="49" type="noConversion"/>
  <conditionalFormatting sqref="O2:O56">
    <cfRule type="cellIs" dxfId="1" priority="1" operator="equal">
      <formula>"-"</formula>
    </cfRule>
  </conditionalFormatting>
  <pageMargins left="0.7" right="0.7" top="0.78740157499999996" bottom="0.78740157499999996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3:K35"/>
  <sheetViews>
    <sheetView workbookViewId="0">
      <pane ySplit="3" topLeftCell="A4" activePane="bottomLeft" state="frozen"/>
      <selection pane="bottomLeft" activeCell="B45" sqref="B45"/>
    </sheetView>
  </sheetViews>
  <sheetFormatPr baseColWidth="10" defaultColWidth="9.140625" defaultRowHeight="15" x14ac:dyDescent="0.25"/>
  <cols>
    <col min="1" max="1" width="9.140625" style="1"/>
    <col min="2" max="2" width="16.85546875" style="1" bestFit="1" customWidth="1"/>
    <col min="3" max="4" width="12.5703125" style="1" bestFit="1" customWidth="1"/>
    <col min="5" max="5" width="9.140625" style="1" bestFit="1" customWidth="1"/>
    <col min="6" max="6" width="19" style="1" bestFit="1" customWidth="1"/>
    <col min="7" max="7" width="30.7109375" style="1" bestFit="1" customWidth="1"/>
    <col min="8" max="8" width="9.140625" style="1"/>
    <col min="9" max="9" width="14.140625" style="1" bestFit="1" customWidth="1"/>
    <col min="10" max="10" width="14" style="1" bestFit="1" customWidth="1"/>
    <col min="11" max="11" width="11.42578125" style="1" bestFit="1" customWidth="1"/>
    <col min="12" max="16384" width="9.140625" style="1"/>
  </cols>
  <sheetData>
    <row r="3" spans="1:11" ht="33.75" x14ac:dyDescent="0.5">
      <c r="A3" s="3"/>
      <c r="B3" s="14" t="s">
        <v>7</v>
      </c>
      <c r="C3" s="14" t="s">
        <v>1132</v>
      </c>
      <c r="D3" s="14" t="s">
        <v>1133</v>
      </c>
      <c r="E3" s="14" t="s">
        <v>1005</v>
      </c>
      <c r="F3" s="14" t="s">
        <v>1006</v>
      </c>
      <c r="G3" s="14" t="s">
        <v>1009</v>
      </c>
      <c r="I3" s="10" t="s">
        <v>101</v>
      </c>
      <c r="J3" s="10" t="s">
        <v>102</v>
      </c>
      <c r="K3" s="10" t="s">
        <v>1</v>
      </c>
    </row>
    <row r="4" spans="1:11" x14ac:dyDescent="0.25">
      <c r="B4" s="32" t="s">
        <v>1007</v>
      </c>
      <c r="C4" s="33" t="s">
        <v>1008</v>
      </c>
      <c r="D4" s="33" t="s">
        <v>99</v>
      </c>
      <c r="E4" s="33" t="s">
        <v>99</v>
      </c>
      <c r="F4" s="33" t="s">
        <v>99</v>
      </c>
      <c r="G4" s="34" t="s">
        <v>99</v>
      </c>
      <c r="I4" s="2" t="s">
        <v>105</v>
      </c>
      <c r="J4" s="2" t="s">
        <v>105</v>
      </c>
      <c r="K4" s="2"/>
    </row>
    <row r="5" spans="1:11" x14ac:dyDescent="0.25">
      <c r="B5" s="4" t="s">
        <v>1010</v>
      </c>
      <c r="C5" s="1" t="s">
        <v>1011</v>
      </c>
      <c r="D5" s="1" t="s">
        <v>1086</v>
      </c>
      <c r="E5" s="1" t="s">
        <v>1012</v>
      </c>
      <c r="F5" s="1" t="s">
        <v>1098</v>
      </c>
      <c r="G5" s="5" t="s">
        <v>99</v>
      </c>
      <c r="I5" s="2" t="s">
        <v>105</v>
      </c>
      <c r="J5" s="2" t="s">
        <v>105</v>
      </c>
      <c r="K5" s="2"/>
    </row>
    <row r="6" spans="1:11" x14ac:dyDescent="0.25">
      <c r="B6" s="4" t="s">
        <v>1043</v>
      </c>
      <c r="C6" s="1" t="s">
        <v>1013</v>
      </c>
      <c r="D6" s="1" t="s">
        <v>1088</v>
      </c>
      <c r="E6" s="1" t="s">
        <v>1012</v>
      </c>
      <c r="F6" s="1" t="s">
        <v>1099</v>
      </c>
      <c r="G6" s="5" t="s">
        <v>1045</v>
      </c>
      <c r="I6" s="2" t="s">
        <v>105</v>
      </c>
      <c r="J6" s="2" t="s">
        <v>105</v>
      </c>
      <c r="K6" s="2"/>
    </row>
    <row r="7" spans="1:11" x14ac:dyDescent="0.25">
      <c r="B7" s="4" t="s">
        <v>1044</v>
      </c>
      <c r="C7" s="1" t="s">
        <v>1014</v>
      </c>
      <c r="D7" s="1" t="s">
        <v>1089</v>
      </c>
      <c r="E7" s="1" t="s">
        <v>1012</v>
      </c>
      <c r="F7" s="1" t="s">
        <v>1099</v>
      </c>
      <c r="G7" s="5" t="s">
        <v>1045</v>
      </c>
      <c r="I7" s="2" t="s">
        <v>105</v>
      </c>
      <c r="J7" s="2" t="s">
        <v>105</v>
      </c>
      <c r="K7" s="2"/>
    </row>
    <row r="8" spans="1:11" x14ac:dyDescent="0.25">
      <c r="B8" s="29" t="s">
        <v>1046</v>
      </c>
      <c r="C8" s="30" t="s">
        <v>1015</v>
      </c>
      <c r="D8" s="30" t="s">
        <v>99</v>
      </c>
      <c r="E8" s="30" t="s">
        <v>99</v>
      </c>
      <c r="F8" s="30" t="s">
        <v>99</v>
      </c>
      <c r="G8" s="31" t="s">
        <v>99</v>
      </c>
      <c r="I8" s="2" t="s">
        <v>105</v>
      </c>
      <c r="J8" s="2" t="s">
        <v>105</v>
      </c>
      <c r="K8" s="2"/>
    </row>
    <row r="9" spans="1:11" x14ac:dyDescent="0.25">
      <c r="B9" s="28" t="s">
        <v>1047</v>
      </c>
      <c r="C9" s="26" t="s">
        <v>1016</v>
      </c>
      <c r="D9" s="26" t="s">
        <v>1080</v>
      </c>
      <c r="E9" s="35" t="s">
        <v>99</v>
      </c>
      <c r="F9" s="35" t="s">
        <v>99</v>
      </c>
      <c r="G9" s="36" t="s">
        <v>99</v>
      </c>
      <c r="I9" s="2" t="s">
        <v>105</v>
      </c>
      <c r="J9" s="2" t="s">
        <v>105</v>
      </c>
      <c r="K9" s="2"/>
    </row>
    <row r="10" spans="1:11" x14ac:dyDescent="0.25">
      <c r="B10" s="28" t="s">
        <v>1048</v>
      </c>
      <c r="C10" s="26" t="s">
        <v>1017</v>
      </c>
      <c r="D10" s="26" t="s">
        <v>1078</v>
      </c>
      <c r="E10" s="35" t="s">
        <v>99</v>
      </c>
      <c r="F10" s="35" t="s">
        <v>99</v>
      </c>
      <c r="G10" s="36" t="s">
        <v>99</v>
      </c>
      <c r="I10" s="2" t="s">
        <v>105</v>
      </c>
      <c r="J10" s="2" t="s">
        <v>105</v>
      </c>
      <c r="K10" s="2"/>
    </row>
    <row r="11" spans="1:11" x14ac:dyDescent="0.25">
      <c r="B11" s="4" t="s">
        <v>1049</v>
      </c>
      <c r="C11" s="1" t="s">
        <v>1018</v>
      </c>
      <c r="D11" s="1" t="s">
        <v>1081</v>
      </c>
      <c r="E11" s="1" t="s">
        <v>1052</v>
      </c>
      <c r="F11" s="1" t="s">
        <v>1097</v>
      </c>
      <c r="G11" s="5" t="s">
        <v>1050</v>
      </c>
      <c r="I11" s="2" t="s">
        <v>105</v>
      </c>
      <c r="J11" s="2" t="s">
        <v>105</v>
      </c>
      <c r="K11" s="2"/>
    </row>
    <row r="12" spans="1:11" x14ac:dyDescent="0.25">
      <c r="B12" s="29" t="s">
        <v>1046</v>
      </c>
      <c r="C12" s="30" t="s">
        <v>1019</v>
      </c>
      <c r="D12" s="30" t="s">
        <v>99</v>
      </c>
      <c r="E12" s="30" t="s">
        <v>99</v>
      </c>
      <c r="F12" s="30" t="s">
        <v>99</v>
      </c>
      <c r="G12" s="31" t="s">
        <v>99</v>
      </c>
      <c r="I12" s="2" t="s">
        <v>105</v>
      </c>
      <c r="J12" s="2" t="s">
        <v>105</v>
      </c>
      <c r="K12" s="2"/>
    </row>
    <row r="13" spans="1:11" x14ac:dyDescent="0.25">
      <c r="B13" s="29" t="s">
        <v>1046</v>
      </c>
      <c r="C13" s="30" t="s">
        <v>1020</v>
      </c>
      <c r="D13" s="30" t="s">
        <v>99</v>
      </c>
      <c r="E13" s="30" t="s">
        <v>99</v>
      </c>
      <c r="F13" s="30" t="s">
        <v>99</v>
      </c>
      <c r="G13" s="31" t="s">
        <v>99</v>
      </c>
      <c r="I13" s="2" t="s">
        <v>105</v>
      </c>
      <c r="J13" s="2" t="s">
        <v>105</v>
      </c>
      <c r="K13" s="2"/>
    </row>
    <row r="14" spans="1:11" x14ac:dyDescent="0.25">
      <c r="B14" s="4" t="s">
        <v>1051</v>
      </c>
      <c r="C14" s="1" t="s">
        <v>1021</v>
      </c>
      <c r="D14" s="1" t="s">
        <v>1083</v>
      </c>
      <c r="E14" s="1" t="s">
        <v>1052</v>
      </c>
      <c r="F14" s="1" t="s">
        <v>1053</v>
      </c>
      <c r="G14" s="5" t="s">
        <v>1054</v>
      </c>
      <c r="I14" s="2" t="s">
        <v>105</v>
      </c>
      <c r="J14" s="2" t="s">
        <v>105</v>
      </c>
      <c r="K14" s="2"/>
    </row>
    <row r="15" spans="1:11" x14ac:dyDescent="0.25">
      <c r="B15" s="4" t="s">
        <v>1055</v>
      </c>
      <c r="C15" s="1" t="s">
        <v>1022</v>
      </c>
      <c r="D15" s="1" t="s">
        <v>1084</v>
      </c>
      <c r="E15" s="1" t="s">
        <v>1012</v>
      </c>
      <c r="F15" s="1" t="s">
        <v>1101</v>
      </c>
      <c r="G15" s="5" t="s">
        <v>1057</v>
      </c>
      <c r="I15" s="2" t="s">
        <v>105</v>
      </c>
      <c r="J15" s="2" t="s">
        <v>105</v>
      </c>
      <c r="K15" s="2"/>
    </row>
    <row r="16" spans="1:11" x14ac:dyDescent="0.25">
      <c r="B16" s="4" t="s">
        <v>1056</v>
      </c>
      <c r="C16" s="1" t="s">
        <v>1023</v>
      </c>
      <c r="D16" s="1" t="s">
        <v>1085</v>
      </c>
      <c r="E16" s="1" t="s">
        <v>1012</v>
      </c>
      <c r="F16" s="1" t="s">
        <v>1101</v>
      </c>
      <c r="G16" s="5" t="s">
        <v>1058</v>
      </c>
      <c r="I16" s="2" t="s">
        <v>105</v>
      </c>
      <c r="J16" s="2" t="s">
        <v>105</v>
      </c>
      <c r="K16" s="2"/>
    </row>
    <row r="17" spans="2:11" x14ac:dyDescent="0.25">
      <c r="B17" s="29" t="s">
        <v>1046</v>
      </c>
      <c r="C17" s="30" t="s">
        <v>1024</v>
      </c>
      <c r="D17" s="30" t="s">
        <v>99</v>
      </c>
      <c r="E17" s="30" t="s">
        <v>99</v>
      </c>
      <c r="F17" s="30" t="s">
        <v>99</v>
      </c>
      <c r="G17" s="31" t="s">
        <v>99</v>
      </c>
      <c r="I17" s="2" t="s">
        <v>105</v>
      </c>
      <c r="J17" s="2" t="s">
        <v>105</v>
      </c>
      <c r="K17" s="2"/>
    </row>
    <row r="18" spans="2:11" x14ac:dyDescent="0.25">
      <c r="B18" s="28" t="s">
        <v>1059</v>
      </c>
      <c r="C18" s="26" t="s">
        <v>1025</v>
      </c>
      <c r="D18" s="26" t="s">
        <v>1096</v>
      </c>
      <c r="E18" s="26" t="s">
        <v>99</v>
      </c>
      <c r="F18" s="26" t="s">
        <v>99</v>
      </c>
      <c r="G18" s="27" t="s">
        <v>1066</v>
      </c>
      <c r="I18" s="2" t="s">
        <v>105</v>
      </c>
      <c r="J18" s="2" t="s">
        <v>105</v>
      </c>
      <c r="K18" s="2"/>
    </row>
    <row r="19" spans="2:11" x14ac:dyDescent="0.25">
      <c r="B19" s="28" t="s">
        <v>1059</v>
      </c>
      <c r="C19" s="26" t="s">
        <v>1026</v>
      </c>
      <c r="D19" s="26" t="s">
        <v>1096</v>
      </c>
      <c r="E19" s="26" t="s">
        <v>99</v>
      </c>
      <c r="F19" s="26" t="s">
        <v>99</v>
      </c>
      <c r="G19" s="27" t="s">
        <v>1066</v>
      </c>
      <c r="I19" s="2" t="s">
        <v>105</v>
      </c>
      <c r="J19" s="2" t="s">
        <v>105</v>
      </c>
      <c r="K19" s="2"/>
    </row>
    <row r="20" spans="2:11" x14ac:dyDescent="0.25">
      <c r="B20" s="29" t="s">
        <v>1046</v>
      </c>
      <c r="C20" s="30" t="s">
        <v>1027</v>
      </c>
      <c r="D20" s="30" t="s">
        <v>99</v>
      </c>
      <c r="E20" s="30" t="s">
        <v>99</v>
      </c>
      <c r="F20" s="30" t="s">
        <v>99</v>
      </c>
      <c r="G20" s="31" t="s">
        <v>99</v>
      </c>
      <c r="I20" s="2" t="s">
        <v>105</v>
      </c>
      <c r="J20" s="2" t="s">
        <v>105</v>
      </c>
      <c r="K20" s="2"/>
    </row>
    <row r="21" spans="2:11" x14ac:dyDescent="0.25">
      <c r="B21" s="29" t="s">
        <v>1046</v>
      </c>
      <c r="C21" s="30" t="s">
        <v>1028</v>
      </c>
      <c r="D21" s="30" t="s">
        <v>99</v>
      </c>
      <c r="E21" s="30" t="s">
        <v>99</v>
      </c>
      <c r="F21" s="30" t="s">
        <v>99</v>
      </c>
      <c r="G21" s="31" t="s">
        <v>99</v>
      </c>
      <c r="I21" s="2" t="s">
        <v>105</v>
      </c>
      <c r="J21" s="2" t="s">
        <v>105</v>
      </c>
      <c r="K21" s="2"/>
    </row>
    <row r="22" spans="2:11" x14ac:dyDescent="0.25">
      <c r="B22" s="4" t="s">
        <v>1060</v>
      </c>
      <c r="C22" s="1" t="s">
        <v>1029</v>
      </c>
      <c r="D22" s="1" t="s">
        <v>1092</v>
      </c>
      <c r="E22" s="1" t="s">
        <v>1012</v>
      </c>
      <c r="F22" s="1" t="s">
        <v>1099</v>
      </c>
      <c r="G22" s="5" t="s">
        <v>1062</v>
      </c>
      <c r="I22" s="2" t="s">
        <v>105</v>
      </c>
      <c r="J22" s="2" t="s">
        <v>105</v>
      </c>
      <c r="K22" s="2"/>
    </row>
    <row r="23" spans="2:11" x14ac:dyDescent="0.25">
      <c r="B23" s="4" t="s">
        <v>1061</v>
      </c>
      <c r="C23" s="1" t="s">
        <v>1030</v>
      </c>
      <c r="D23" s="1" t="s">
        <v>1090</v>
      </c>
      <c r="E23" s="1" t="s">
        <v>1012</v>
      </c>
      <c r="F23" s="1" t="s">
        <v>1099</v>
      </c>
      <c r="G23" s="5" t="s">
        <v>1063</v>
      </c>
      <c r="I23" s="2" t="s">
        <v>105</v>
      </c>
      <c r="J23" s="2" t="s">
        <v>105</v>
      </c>
      <c r="K23" s="2"/>
    </row>
    <row r="24" spans="2:11" x14ac:dyDescent="0.25">
      <c r="B24" s="4" t="s">
        <v>1065</v>
      </c>
      <c r="C24" s="1" t="s">
        <v>1031</v>
      </c>
      <c r="D24" s="1" t="s">
        <v>1091</v>
      </c>
      <c r="E24" s="1" t="s">
        <v>1012</v>
      </c>
      <c r="F24" s="1" t="s">
        <v>1099</v>
      </c>
      <c r="G24" s="5" t="s">
        <v>1064</v>
      </c>
      <c r="I24" s="2" t="s">
        <v>105</v>
      </c>
      <c r="J24" s="2" t="s">
        <v>105</v>
      </c>
      <c r="K24" s="2"/>
    </row>
    <row r="25" spans="2:11" x14ac:dyDescent="0.25">
      <c r="B25" s="29" t="s">
        <v>1046</v>
      </c>
      <c r="C25" s="30" t="s">
        <v>1032</v>
      </c>
      <c r="D25" s="30" t="s">
        <v>99</v>
      </c>
      <c r="E25" s="30" t="s">
        <v>99</v>
      </c>
      <c r="F25" s="30" t="s">
        <v>99</v>
      </c>
      <c r="G25" s="31" t="s">
        <v>99</v>
      </c>
      <c r="I25" s="2" t="s">
        <v>105</v>
      </c>
      <c r="J25" s="2" t="s">
        <v>105</v>
      </c>
      <c r="K25" s="2"/>
    </row>
    <row r="26" spans="2:11" x14ac:dyDescent="0.25">
      <c r="B26" s="28" t="s">
        <v>1059</v>
      </c>
      <c r="C26" s="26" t="s">
        <v>1033</v>
      </c>
      <c r="D26" s="26" t="s">
        <v>1095</v>
      </c>
      <c r="E26" s="26" t="s">
        <v>99</v>
      </c>
      <c r="F26" s="26" t="s">
        <v>99</v>
      </c>
      <c r="G26" s="27" t="s">
        <v>1067</v>
      </c>
      <c r="I26" s="2" t="s">
        <v>105</v>
      </c>
      <c r="J26" s="2" t="s">
        <v>105</v>
      </c>
      <c r="K26" s="2"/>
    </row>
    <row r="27" spans="2:11" x14ac:dyDescent="0.25">
      <c r="B27" s="28" t="s">
        <v>1059</v>
      </c>
      <c r="C27" s="26" t="s">
        <v>1034</v>
      </c>
      <c r="D27" s="26" t="s">
        <v>1095</v>
      </c>
      <c r="E27" s="26" t="s">
        <v>99</v>
      </c>
      <c r="F27" s="26" t="s">
        <v>99</v>
      </c>
      <c r="G27" s="27" t="s">
        <v>1067</v>
      </c>
      <c r="I27" s="2" t="s">
        <v>105</v>
      </c>
      <c r="J27" s="2" t="s">
        <v>105</v>
      </c>
      <c r="K27" s="2"/>
    </row>
    <row r="28" spans="2:11" x14ac:dyDescent="0.25">
      <c r="B28" s="4" t="s">
        <v>1068</v>
      </c>
      <c r="C28" s="1" t="s">
        <v>1035</v>
      </c>
      <c r="D28" s="1" t="s">
        <v>1087</v>
      </c>
      <c r="E28" s="1" t="s">
        <v>1012</v>
      </c>
      <c r="F28" s="1" t="s">
        <v>1099</v>
      </c>
      <c r="G28" s="5" t="s">
        <v>1069</v>
      </c>
      <c r="I28" s="2" t="s">
        <v>105</v>
      </c>
      <c r="J28" s="2" t="s">
        <v>105</v>
      </c>
      <c r="K28" s="2"/>
    </row>
    <row r="29" spans="2:11" x14ac:dyDescent="0.25">
      <c r="B29" s="4" t="s">
        <v>1070</v>
      </c>
      <c r="C29" s="1" t="s">
        <v>1036</v>
      </c>
      <c r="D29" s="1" t="s">
        <v>1093</v>
      </c>
      <c r="E29" s="1" t="s">
        <v>1052</v>
      </c>
      <c r="F29" s="1" t="s">
        <v>1053</v>
      </c>
      <c r="G29" s="5" t="s">
        <v>1071</v>
      </c>
      <c r="I29" s="2" t="s">
        <v>105</v>
      </c>
      <c r="J29" s="2" t="s">
        <v>105</v>
      </c>
      <c r="K29" s="2"/>
    </row>
    <row r="30" spans="2:11" x14ac:dyDescent="0.25">
      <c r="B30" s="4" t="s">
        <v>1070</v>
      </c>
      <c r="C30" s="1" t="s">
        <v>1037</v>
      </c>
      <c r="D30" s="1" t="s">
        <v>1093</v>
      </c>
      <c r="E30" s="1" t="s">
        <v>1052</v>
      </c>
      <c r="F30" s="1" t="s">
        <v>1053</v>
      </c>
      <c r="G30" s="5" t="s">
        <v>1071</v>
      </c>
      <c r="I30" s="2" t="s">
        <v>105</v>
      </c>
      <c r="J30" s="2" t="s">
        <v>105</v>
      </c>
      <c r="K30" s="2"/>
    </row>
    <row r="31" spans="2:11" x14ac:dyDescent="0.25">
      <c r="B31" s="4" t="s">
        <v>1072</v>
      </c>
      <c r="C31" s="1" t="s">
        <v>1038</v>
      </c>
      <c r="D31" s="1" t="s">
        <v>1094</v>
      </c>
      <c r="E31" s="1" t="s">
        <v>99</v>
      </c>
      <c r="F31" s="1" t="s">
        <v>99</v>
      </c>
      <c r="G31" s="5" t="s">
        <v>1073</v>
      </c>
      <c r="I31" s="2" t="s">
        <v>105</v>
      </c>
      <c r="J31" s="2" t="s">
        <v>105</v>
      </c>
      <c r="K31" s="2"/>
    </row>
    <row r="32" spans="2:11" x14ac:dyDescent="0.25">
      <c r="B32" s="4" t="s">
        <v>1072</v>
      </c>
      <c r="C32" s="1" t="s">
        <v>1039</v>
      </c>
      <c r="D32" s="1" t="s">
        <v>1094</v>
      </c>
      <c r="E32" s="1" t="s">
        <v>99</v>
      </c>
      <c r="F32" s="1" t="s">
        <v>99</v>
      </c>
      <c r="G32" s="5" t="s">
        <v>1073</v>
      </c>
      <c r="I32" s="2" t="s">
        <v>105</v>
      </c>
      <c r="J32" s="2" t="s">
        <v>105</v>
      </c>
      <c r="K32" s="2"/>
    </row>
    <row r="33" spans="2:11" x14ac:dyDescent="0.25">
      <c r="B33" s="28" t="s">
        <v>1074</v>
      </c>
      <c r="C33" s="26" t="s">
        <v>1040</v>
      </c>
      <c r="D33" s="26" t="s">
        <v>1079</v>
      </c>
      <c r="E33" s="35" t="s">
        <v>99</v>
      </c>
      <c r="F33" s="35" t="s">
        <v>99</v>
      </c>
      <c r="G33" s="36" t="s">
        <v>99</v>
      </c>
      <c r="I33" s="2" t="s">
        <v>105</v>
      </c>
      <c r="J33" s="2" t="s">
        <v>105</v>
      </c>
      <c r="K33" s="2"/>
    </row>
    <row r="34" spans="2:11" x14ac:dyDescent="0.25">
      <c r="B34" s="28" t="s">
        <v>1075</v>
      </c>
      <c r="C34" s="26" t="s">
        <v>1041</v>
      </c>
      <c r="D34" s="26" t="s">
        <v>1077</v>
      </c>
      <c r="E34" s="35" t="s">
        <v>99</v>
      </c>
      <c r="F34" s="35" t="s">
        <v>99</v>
      </c>
      <c r="G34" s="36" t="s">
        <v>99</v>
      </c>
      <c r="I34" s="2" t="s">
        <v>105</v>
      </c>
      <c r="J34" s="2" t="s">
        <v>105</v>
      </c>
      <c r="K34" s="2"/>
    </row>
    <row r="35" spans="2:11" x14ac:dyDescent="0.25">
      <c r="B35" s="6" t="s">
        <v>1076</v>
      </c>
      <c r="C35" s="25" t="s">
        <v>1042</v>
      </c>
      <c r="D35" s="25" t="s">
        <v>1082</v>
      </c>
      <c r="E35" s="25" t="s">
        <v>1012</v>
      </c>
      <c r="F35" s="25" t="s">
        <v>1100</v>
      </c>
      <c r="G35" s="7" t="s">
        <v>1050</v>
      </c>
      <c r="I35" s="2" t="s">
        <v>105</v>
      </c>
      <c r="J35" s="2" t="s">
        <v>105</v>
      </c>
      <c r="K35" s="2"/>
    </row>
  </sheetData>
  <conditionalFormatting sqref="I1:J1048576">
    <cfRule type="cellIs" dxfId="0" priority="34" operator="equal">
      <formula>"-"</formula>
    </cfRule>
  </conditionalFormatting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History</vt:lpstr>
      <vt:lpstr>MCS PV MMS-&gt;AIS</vt:lpstr>
      <vt:lpstr>Multi_Source_Mapping</vt:lpstr>
      <vt:lpstr>MCS PV AIS-&gt;MMS</vt:lpstr>
      <vt:lpstr>MCS HW MMS&lt;-&gt;AIS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2022-03-08T13:00:30Z</dcterms:created>
  <dcterms:modified xsi:type="dcterms:W3CDTF">2025-02-03T09:54:47Z</dcterms:modified>
</cp:coreProperties>
</file>